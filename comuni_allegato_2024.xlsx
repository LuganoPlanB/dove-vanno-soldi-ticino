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ac.ti.ch\redir$\Desktop\isel029\Desktop\"/>
    </mc:Choice>
  </mc:AlternateContent>
  <xr:revisionPtr revIDLastSave="0" documentId="13_ncr:1_{9884AEBF-60F2-49C9-8A4C-D201D563D04F}" xr6:coauthVersionLast="47" xr6:coauthVersionMax="47" xr10:uidLastSave="{00000000-0000-0000-0000-000000000000}"/>
  <bookViews>
    <workbookView xWindow="-120" yWindow="-120" windowWidth="29040" windowHeight="15840" tabRatio="838" xr2:uid="{00000000-000D-0000-FFFF-FFFF00000000}"/>
  </bookViews>
  <sheets>
    <sheet name="indice" sheetId="18" r:id="rId1"/>
    <sheet name="tab8" sheetId="2" r:id="rId2"/>
    <sheet name="tab9" sheetId="1" r:id="rId3"/>
    <sheet name="tab9a" sheetId="3" r:id="rId4"/>
    <sheet name="tab9b" sheetId="4" r:id="rId5"/>
    <sheet name="tab9c" sheetId="10" r:id="rId6"/>
    <sheet name="tab9d" sheetId="11" r:id="rId7"/>
    <sheet name="tab9e" sheetId="5" r:id="rId8"/>
    <sheet name="tab10" sheetId="6" r:id="rId9"/>
    <sheet name="tab10a" sheetId="12" r:id="rId10"/>
    <sheet name="tab10b" sheetId="13" r:id="rId11"/>
    <sheet name="tab10c" sheetId="14" r:id="rId12"/>
    <sheet name="tab11" sheetId="7" r:id="rId13"/>
    <sheet name="tab11a" sheetId="8" r:id="rId14"/>
    <sheet name="tab11b" sheetId="9" r:id="rId15"/>
    <sheet name="tab12" sheetId="15" r:id="rId16"/>
    <sheet name="tab13" sheetId="16" r:id="rId17"/>
    <sheet name="tab14" sheetId="17" r:id="rId18"/>
  </sheets>
  <definedNames>
    <definedName name="Print_Titles" localSheetId="8">'tab10'!$1:$3</definedName>
    <definedName name="Print_Titles" localSheetId="9">tab10a!$1:$2</definedName>
    <definedName name="Print_Titles" localSheetId="10">tab10b!$A:$A,tab10b!$1:$2</definedName>
    <definedName name="Print_Titles" localSheetId="11">tab10c!$A:$A,tab10c!$2:$2</definedName>
    <definedName name="Print_Titles" localSheetId="12">'tab11'!$1:$3</definedName>
    <definedName name="Print_Titles" localSheetId="13">tab11a!$1:$2</definedName>
    <definedName name="Print_Titles" localSheetId="14">tab11b!$1:$2</definedName>
    <definedName name="Print_Titles" localSheetId="15">'tab12'!$A:$A,'tab12'!$1:$2</definedName>
    <definedName name="Print_Titles" localSheetId="1">'tab8'!$1:$2</definedName>
    <definedName name="Print_Titles" localSheetId="2">'tab9'!$1:$2</definedName>
    <definedName name="Print_Titles" localSheetId="3">tab9a!$1:$2</definedName>
    <definedName name="Print_Titles" localSheetId="4">tab9b!$1:$2</definedName>
    <definedName name="Print_Titles" localSheetId="5">tab9c!$A:$A,tab9c!$2:$2</definedName>
    <definedName name="Print_Titles" localSheetId="6">tab9d!$A:$A,tab9d!$2:$2</definedName>
    <definedName name="Print_Titles" localSheetId="7">tab9e!$1:$2</definedName>
    <definedName name="_xlnm.Print_Titles" localSheetId="8">'tab10'!$1:$3</definedName>
    <definedName name="_xlnm.Print_Titles" localSheetId="9">tab10a!$A:$A,tab10a!$1:$2</definedName>
    <definedName name="_xlnm.Print_Titles" localSheetId="10">tab10b!$A:$A,tab10b!$1:$2</definedName>
    <definedName name="_xlnm.Print_Titles" localSheetId="11">tab10c!$A:$A,tab10c!$1:$2</definedName>
    <definedName name="_xlnm.Print_Titles" localSheetId="12">'tab11'!$1:$3</definedName>
    <definedName name="_xlnm.Print_Titles" localSheetId="13">tab11a!$A:$A,tab11a!$1:$2</definedName>
    <definedName name="_xlnm.Print_Titles" localSheetId="14">tab11b!$A:$A,tab11b!$1:$2</definedName>
    <definedName name="_xlnm.Print_Titles" localSheetId="15">'tab12'!$1:$2</definedName>
    <definedName name="_xlnm.Print_Titles" localSheetId="16">'tab13'!$1:$3</definedName>
    <definedName name="_xlnm.Print_Titles" localSheetId="17">'tab14'!$1:$2</definedName>
    <definedName name="_xlnm.Print_Titles" localSheetId="1">'tab8'!$1:$3</definedName>
    <definedName name="_xlnm.Print_Titles" localSheetId="2">'tab9'!$1:$2</definedName>
    <definedName name="_xlnm.Print_Titles" localSheetId="3">tab9a!$1:$2</definedName>
    <definedName name="_xlnm.Print_Titles" localSheetId="4">tab9b!$1:$2</definedName>
    <definedName name="_xlnm.Print_Titles" localSheetId="5">tab9c!$A:$A,tab9c!$1:$2</definedName>
    <definedName name="_xlnm.Print_Titles" localSheetId="6">tab9d!$A:$A,tab9d!$1:$2</definedName>
    <definedName name="_xlnm.Print_Titles" localSheetId="7">tab9e!$1:$2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4" i="3" l="1"/>
  <c r="H56" i="12" l="1"/>
  <c r="H3" i="12" l="1"/>
  <c r="K3" i="3"/>
  <c r="F71" i="16" l="1"/>
  <c r="E71" i="16"/>
  <c r="AX4" i="11" l="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33" i="11"/>
  <c r="AX34" i="11"/>
  <c r="AX35" i="11"/>
  <c r="AX36" i="11"/>
  <c r="AX37" i="11"/>
  <c r="AX38" i="11"/>
  <c r="AX39" i="11"/>
  <c r="AX40" i="11"/>
  <c r="AX41" i="11"/>
  <c r="AX42" i="11"/>
  <c r="AX43" i="11"/>
  <c r="AX44" i="11"/>
  <c r="AX45" i="11"/>
  <c r="AX46" i="11"/>
  <c r="AX47" i="11"/>
  <c r="AX48" i="11"/>
  <c r="AX49" i="11"/>
  <c r="AX50" i="11"/>
  <c r="AX51" i="11"/>
  <c r="AX52" i="11"/>
  <c r="AX53" i="11"/>
  <c r="AX54" i="11"/>
  <c r="AX55" i="11"/>
  <c r="AX56" i="11"/>
  <c r="AX57" i="11"/>
  <c r="AX58" i="11"/>
  <c r="AX59" i="11"/>
  <c r="AX60" i="11"/>
  <c r="AX61" i="11"/>
  <c r="AX62" i="11"/>
  <c r="AX63" i="11"/>
  <c r="AX64" i="11"/>
  <c r="AX65" i="11"/>
  <c r="AX66" i="11"/>
  <c r="AX67" i="11"/>
  <c r="AX68" i="11"/>
  <c r="AX69" i="11"/>
  <c r="AX70" i="11"/>
  <c r="AX71" i="11"/>
  <c r="AX72" i="11"/>
  <c r="AX73" i="11"/>
  <c r="AX74" i="11"/>
  <c r="AX75" i="11"/>
  <c r="AX76" i="11"/>
  <c r="AX77" i="11"/>
  <c r="AX78" i="11"/>
  <c r="AX79" i="11"/>
  <c r="AX80" i="11"/>
  <c r="AX81" i="11"/>
  <c r="AX82" i="11"/>
  <c r="AX83" i="11"/>
  <c r="AX84" i="11"/>
  <c r="AX85" i="11"/>
  <c r="AX86" i="11"/>
  <c r="AX87" i="11"/>
  <c r="AX88" i="11"/>
  <c r="AX89" i="11"/>
  <c r="AX90" i="11"/>
  <c r="AX91" i="11"/>
  <c r="AX92" i="11"/>
  <c r="AX93" i="11"/>
  <c r="AX94" i="11"/>
  <c r="AX95" i="11"/>
  <c r="AX96" i="11"/>
  <c r="AX97" i="11"/>
  <c r="AX98" i="11"/>
  <c r="AX99" i="11"/>
  <c r="AX100" i="11"/>
  <c r="AX101" i="11"/>
  <c r="AX102" i="11"/>
  <c r="AX103" i="11"/>
  <c r="AX104" i="11"/>
  <c r="AX105" i="11"/>
  <c r="AX106" i="11"/>
  <c r="AX107" i="11"/>
  <c r="AX108" i="11"/>
  <c r="AX3" i="11"/>
  <c r="AV4" i="10"/>
  <c r="AV5" i="10"/>
  <c r="AV6" i="10"/>
  <c r="AV7" i="10"/>
  <c r="AV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V29" i="10"/>
  <c r="AV30" i="10"/>
  <c r="AV31" i="10"/>
  <c r="AV32" i="10"/>
  <c r="AV33" i="10"/>
  <c r="AV34" i="10"/>
  <c r="AV35" i="10"/>
  <c r="AV36" i="10"/>
  <c r="AV37" i="10"/>
  <c r="AV38" i="10"/>
  <c r="AV39" i="10"/>
  <c r="AV40" i="10"/>
  <c r="AV41" i="10"/>
  <c r="AV42" i="10"/>
  <c r="AV43" i="10"/>
  <c r="AV44" i="10"/>
  <c r="AV45" i="10"/>
  <c r="AV46" i="10"/>
  <c r="AV47" i="10"/>
  <c r="AV48" i="10"/>
  <c r="AV49" i="10"/>
  <c r="AV50" i="10"/>
  <c r="AV51" i="10"/>
  <c r="AV52" i="10"/>
  <c r="AV53" i="10"/>
  <c r="AV54" i="10"/>
  <c r="AV55" i="10"/>
  <c r="AV56" i="10"/>
  <c r="AV57" i="10"/>
  <c r="AV58" i="10"/>
  <c r="AV59" i="10"/>
  <c r="AV60" i="10"/>
  <c r="AV61" i="10"/>
  <c r="AV62" i="10"/>
  <c r="AV63" i="10"/>
  <c r="AV64" i="10"/>
  <c r="AV65" i="10"/>
  <c r="AV66" i="10"/>
  <c r="AV67" i="10"/>
  <c r="AV68" i="10"/>
  <c r="AV69" i="10"/>
  <c r="AV70" i="10"/>
  <c r="AV71" i="10"/>
  <c r="AV72" i="10"/>
  <c r="AV73" i="10"/>
  <c r="AV74" i="10"/>
  <c r="AV75" i="10"/>
  <c r="AV76" i="10"/>
  <c r="AV77" i="10"/>
  <c r="AV78" i="10"/>
  <c r="AV79" i="10"/>
  <c r="AV80" i="10"/>
  <c r="AV81" i="10"/>
  <c r="AV82" i="10"/>
  <c r="AV83" i="10"/>
  <c r="AV84" i="10"/>
  <c r="AV85" i="10"/>
  <c r="AV86" i="10"/>
  <c r="AV87" i="10"/>
  <c r="AV88" i="10"/>
  <c r="AV89" i="10"/>
  <c r="AV90" i="10"/>
  <c r="AV91" i="10"/>
  <c r="AV92" i="10"/>
  <c r="AV93" i="10"/>
  <c r="AV94" i="10"/>
  <c r="AV95" i="10"/>
  <c r="AV96" i="10"/>
  <c r="AV97" i="10"/>
  <c r="AV98" i="10"/>
  <c r="AV99" i="10"/>
  <c r="AV100" i="10"/>
  <c r="AV101" i="10"/>
  <c r="AV102" i="10"/>
  <c r="AV103" i="10"/>
  <c r="AV104" i="10"/>
  <c r="AV105" i="10"/>
  <c r="AV106" i="10"/>
  <c r="AV107" i="10"/>
  <c r="AV108" i="10"/>
  <c r="AV3" i="10"/>
  <c r="L4" i="4" l="1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3" i="4"/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K31" i="1" s="1"/>
  <c r="Q31" i="1" s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3" i="1"/>
  <c r="E4" i="1"/>
  <c r="E5" i="1"/>
  <c r="E6" i="1"/>
  <c r="K6" i="1" s="1"/>
  <c r="E7" i="1"/>
  <c r="K7" i="1" s="1"/>
  <c r="Q7" i="1" s="1"/>
  <c r="E8" i="1"/>
  <c r="E9" i="1"/>
  <c r="E10" i="1"/>
  <c r="K10" i="1" s="1"/>
  <c r="Q10" i="1" s="1"/>
  <c r="E11" i="1"/>
  <c r="K11" i="1" s="1"/>
  <c r="Q11" i="1" s="1"/>
  <c r="E12" i="1"/>
  <c r="E13" i="1"/>
  <c r="E14" i="1"/>
  <c r="K14" i="1" s="1"/>
  <c r="Q14" i="1" s="1"/>
  <c r="E15" i="1"/>
  <c r="K15" i="1" s="1"/>
  <c r="Q15" i="1" s="1"/>
  <c r="E16" i="1"/>
  <c r="E17" i="1"/>
  <c r="E18" i="1"/>
  <c r="K18" i="1" s="1"/>
  <c r="Q18" i="1" s="1"/>
  <c r="E19" i="1"/>
  <c r="K19" i="1" s="1"/>
  <c r="Q19" i="1" s="1"/>
  <c r="E20" i="1"/>
  <c r="E21" i="1"/>
  <c r="E22" i="1"/>
  <c r="K22" i="1" s="1"/>
  <c r="Q22" i="1" s="1"/>
  <c r="E23" i="1"/>
  <c r="K23" i="1" s="1"/>
  <c r="Q23" i="1" s="1"/>
  <c r="E24" i="1"/>
  <c r="E25" i="1"/>
  <c r="E26" i="1"/>
  <c r="K26" i="1" s="1"/>
  <c r="Q26" i="1" s="1"/>
  <c r="E27" i="1"/>
  <c r="K27" i="1" s="1"/>
  <c r="Q27" i="1" s="1"/>
  <c r="E28" i="1"/>
  <c r="E29" i="1"/>
  <c r="E30" i="1"/>
  <c r="K30" i="1" s="1"/>
  <c r="Q30" i="1" s="1"/>
  <c r="E31" i="1"/>
  <c r="E32" i="1"/>
  <c r="E33" i="1"/>
  <c r="E34" i="1"/>
  <c r="K34" i="1" s="1"/>
  <c r="Q34" i="1" s="1"/>
  <c r="E35" i="1"/>
  <c r="K35" i="1" s="1"/>
  <c r="Q35" i="1" s="1"/>
  <c r="E36" i="1"/>
  <c r="E37" i="1"/>
  <c r="E38" i="1"/>
  <c r="K38" i="1" s="1"/>
  <c r="Q38" i="1" s="1"/>
  <c r="E39" i="1"/>
  <c r="K39" i="1" s="1"/>
  <c r="Q39" i="1" s="1"/>
  <c r="E40" i="1"/>
  <c r="E41" i="1"/>
  <c r="E42" i="1"/>
  <c r="K42" i="1" s="1"/>
  <c r="Q42" i="1" s="1"/>
  <c r="E43" i="1"/>
  <c r="K43" i="1" s="1"/>
  <c r="Q43" i="1" s="1"/>
  <c r="E44" i="1"/>
  <c r="E45" i="1"/>
  <c r="K45" i="1" s="1"/>
  <c r="Q45" i="1" s="1"/>
  <c r="E46" i="1"/>
  <c r="K46" i="1" s="1"/>
  <c r="Q46" i="1" s="1"/>
  <c r="E47" i="1"/>
  <c r="K47" i="1" s="1"/>
  <c r="E48" i="1"/>
  <c r="E49" i="1"/>
  <c r="K49" i="1" s="1"/>
  <c r="Q49" i="1" s="1"/>
  <c r="E50" i="1"/>
  <c r="K50" i="1" s="1"/>
  <c r="Q50" i="1" s="1"/>
  <c r="E51" i="1"/>
  <c r="K51" i="1" s="1"/>
  <c r="E52" i="1"/>
  <c r="E53" i="1"/>
  <c r="K53" i="1" s="1"/>
  <c r="Q53" i="1" s="1"/>
  <c r="E54" i="1"/>
  <c r="K54" i="1" s="1"/>
  <c r="Q54" i="1" s="1"/>
  <c r="E55" i="1"/>
  <c r="K55" i="1" s="1"/>
  <c r="E56" i="1"/>
  <c r="E57" i="1"/>
  <c r="K57" i="1" s="1"/>
  <c r="Q57" i="1" s="1"/>
  <c r="E58" i="1"/>
  <c r="K58" i="1" s="1"/>
  <c r="Q58" i="1" s="1"/>
  <c r="E59" i="1"/>
  <c r="E60" i="1"/>
  <c r="K60" i="1" s="1"/>
  <c r="Q60" i="1" s="1"/>
  <c r="E61" i="1"/>
  <c r="K61" i="1" s="1"/>
  <c r="Q61" i="1" s="1"/>
  <c r="E62" i="1"/>
  <c r="K62" i="1" s="1"/>
  <c r="Q62" i="1" s="1"/>
  <c r="E63" i="1"/>
  <c r="K63" i="1" s="1"/>
  <c r="Q63" i="1" s="1"/>
  <c r="E64" i="1"/>
  <c r="K64" i="1" s="1"/>
  <c r="Q64" i="1" s="1"/>
  <c r="E65" i="1"/>
  <c r="K65" i="1" s="1"/>
  <c r="Q65" i="1" s="1"/>
  <c r="E66" i="1"/>
  <c r="K66" i="1" s="1"/>
  <c r="Q66" i="1" s="1"/>
  <c r="E67" i="1"/>
  <c r="K67" i="1" s="1"/>
  <c r="Q67" i="1" s="1"/>
  <c r="E68" i="1"/>
  <c r="K68" i="1" s="1"/>
  <c r="Q68" i="1" s="1"/>
  <c r="E69" i="1"/>
  <c r="K69" i="1" s="1"/>
  <c r="Q69" i="1" s="1"/>
  <c r="E70" i="1"/>
  <c r="K70" i="1" s="1"/>
  <c r="Q70" i="1" s="1"/>
  <c r="E71" i="1"/>
  <c r="K71" i="1" s="1"/>
  <c r="Q71" i="1" s="1"/>
  <c r="E72" i="1"/>
  <c r="K72" i="1" s="1"/>
  <c r="Q72" i="1" s="1"/>
  <c r="E73" i="1"/>
  <c r="K73" i="1" s="1"/>
  <c r="Q73" i="1" s="1"/>
  <c r="E74" i="1"/>
  <c r="K74" i="1" s="1"/>
  <c r="Q74" i="1" s="1"/>
  <c r="E75" i="1"/>
  <c r="K75" i="1" s="1"/>
  <c r="Q75" i="1" s="1"/>
  <c r="E76" i="1"/>
  <c r="K76" i="1" s="1"/>
  <c r="Q76" i="1" s="1"/>
  <c r="E77" i="1"/>
  <c r="K77" i="1" s="1"/>
  <c r="Q77" i="1" s="1"/>
  <c r="E78" i="1"/>
  <c r="K78" i="1" s="1"/>
  <c r="Q78" i="1" s="1"/>
  <c r="E79" i="1"/>
  <c r="K79" i="1" s="1"/>
  <c r="Q79" i="1" s="1"/>
  <c r="E80" i="1"/>
  <c r="K80" i="1" s="1"/>
  <c r="Q80" i="1" s="1"/>
  <c r="E81" i="1"/>
  <c r="K81" i="1" s="1"/>
  <c r="Q81" i="1" s="1"/>
  <c r="E82" i="1"/>
  <c r="K82" i="1" s="1"/>
  <c r="Q82" i="1" s="1"/>
  <c r="E83" i="1"/>
  <c r="K83" i="1" s="1"/>
  <c r="Q83" i="1" s="1"/>
  <c r="E84" i="1"/>
  <c r="K84" i="1" s="1"/>
  <c r="Q84" i="1" s="1"/>
  <c r="E85" i="1"/>
  <c r="K85" i="1" s="1"/>
  <c r="Q85" i="1" s="1"/>
  <c r="E86" i="1"/>
  <c r="K86" i="1" s="1"/>
  <c r="Q86" i="1" s="1"/>
  <c r="E87" i="1"/>
  <c r="K87" i="1" s="1"/>
  <c r="Q87" i="1" s="1"/>
  <c r="E88" i="1"/>
  <c r="K88" i="1" s="1"/>
  <c r="Q88" i="1" s="1"/>
  <c r="E89" i="1"/>
  <c r="K89" i="1" s="1"/>
  <c r="Q89" i="1" s="1"/>
  <c r="E90" i="1"/>
  <c r="K90" i="1" s="1"/>
  <c r="Q90" i="1" s="1"/>
  <c r="E91" i="1"/>
  <c r="K91" i="1" s="1"/>
  <c r="Q91" i="1" s="1"/>
  <c r="E92" i="1"/>
  <c r="K92" i="1" s="1"/>
  <c r="Q92" i="1" s="1"/>
  <c r="E93" i="1"/>
  <c r="K93" i="1" s="1"/>
  <c r="Q93" i="1" s="1"/>
  <c r="E94" i="1"/>
  <c r="K94" i="1" s="1"/>
  <c r="Q94" i="1" s="1"/>
  <c r="E95" i="1"/>
  <c r="K95" i="1" s="1"/>
  <c r="Q95" i="1" s="1"/>
  <c r="E96" i="1"/>
  <c r="K96" i="1" s="1"/>
  <c r="Q96" i="1" s="1"/>
  <c r="E97" i="1"/>
  <c r="K97" i="1" s="1"/>
  <c r="Q97" i="1" s="1"/>
  <c r="E98" i="1"/>
  <c r="K98" i="1" s="1"/>
  <c r="Q98" i="1" s="1"/>
  <c r="E99" i="1"/>
  <c r="K99" i="1" s="1"/>
  <c r="Q99" i="1" s="1"/>
  <c r="E100" i="1"/>
  <c r="K100" i="1" s="1"/>
  <c r="Q100" i="1" s="1"/>
  <c r="E101" i="1"/>
  <c r="K101" i="1" s="1"/>
  <c r="Q101" i="1" s="1"/>
  <c r="E102" i="1"/>
  <c r="K102" i="1" s="1"/>
  <c r="Q102" i="1" s="1"/>
  <c r="E103" i="1"/>
  <c r="K103" i="1" s="1"/>
  <c r="Q103" i="1" s="1"/>
  <c r="E104" i="1"/>
  <c r="K104" i="1" s="1"/>
  <c r="Q104" i="1" s="1"/>
  <c r="E105" i="1"/>
  <c r="K105" i="1" s="1"/>
  <c r="Q105" i="1" s="1"/>
  <c r="E106" i="1"/>
  <c r="K106" i="1" s="1"/>
  <c r="Q106" i="1" s="1"/>
  <c r="E107" i="1"/>
  <c r="K107" i="1" s="1"/>
  <c r="Q107" i="1" s="1"/>
  <c r="E108" i="1"/>
  <c r="K108" i="1" s="1"/>
  <c r="Q108" i="1" s="1"/>
  <c r="E3" i="1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K59" i="1" l="1"/>
  <c r="Q59" i="1" s="1"/>
  <c r="K44" i="1"/>
  <c r="Q44" i="1" s="1"/>
  <c r="K56" i="1"/>
  <c r="Q56" i="1" s="1"/>
  <c r="Q55" i="1"/>
  <c r="Q51" i="1"/>
  <c r="Q47" i="1"/>
  <c r="K52" i="1"/>
  <c r="Q52" i="1" s="1"/>
  <c r="K48" i="1"/>
  <c r="Q48" i="1" s="1"/>
  <c r="K3" i="1"/>
  <c r="Q3" i="1" s="1"/>
  <c r="K41" i="1"/>
  <c r="Q41" i="1" s="1"/>
  <c r="K37" i="1"/>
  <c r="Q37" i="1" s="1"/>
  <c r="K33" i="1"/>
  <c r="Q33" i="1" s="1"/>
  <c r="K29" i="1"/>
  <c r="Q29" i="1" s="1"/>
  <c r="K25" i="1"/>
  <c r="Q25" i="1" s="1"/>
  <c r="K21" i="1"/>
  <c r="Q21" i="1" s="1"/>
  <c r="K17" i="1"/>
  <c r="Q17" i="1" s="1"/>
  <c r="K13" i="1"/>
  <c r="Q13" i="1" s="1"/>
  <c r="K9" i="1"/>
  <c r="Q9" i="1" s="1"/>
  <c r="K5" i="1"/>
  <c r="Q5" i="1" s="1"/>
  <c r="K40" i="1"/>
  <c r="Q40" i="1" s="1"/>
  <c r="K36" i="1"/>
  <c r="Q36" i="1" s="1"/>
  <c r="K32" i="1"/>
  <c r="Q32" i="1" s="1"/>
  <c r="K28" i="1"/>
  <c r="Q28" i="1" s="1"/>
  <c r="K24" i="1"/>
  <c r="Q24" i="1" s="1"/>
  <c r="K20" i="1"/>
  <c r="Q20" i="1" s="1"/>
  <c r="K16" i="1"/>
  <c r="Q16" i="1" s="1"/>
  <c r="K12" i="1"/>
  <c r="Q12" i="1" s="1"/>
  <c r="K8" i="1"/>
  <c r="Q8" i="1" s="1"/>
  <c r="K4" i="1"/>
  <c r="Q4" i="1" s="1"/>
  <c r="Q6" i="1"/>
  <c r="F5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2" i="16"/>
  <c r="F73" i="16"/>
  <c r="F74" i="16"/>
  <c r="F75" i="16"/>
  <c r="F76" i="16"/>
  <c r="F77" i="16"/>
  <c r="F78" i="16"/>
  <c r="F79" i="16"/>
  <c r="F80" i="16"/>
  <c r="F81" i="16"/>
  <c r="F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2" i="16"/>
  <c r="E73" i="16"/>
  <c r="E74" i="16"/>
  <c r="E75" i="16"/>
  <c r="E76" i="16"/>
  <c r="E77" i="16"/>
  <c r="E78" i="16"/>
  <c r="E79" i="16"/>
  <c r="E80" i="16"/>
  <c r="E81" i="16"/>
  <c r="E4" i="16"/>
  <c r="H82" i="16"/>
  <c r="D82" i="16"/>
  <c r="C82" i="16"/>
  <c r="F82" i="16" l="1"/>
  <c r="E82" i="16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3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6" i="17"/>
  <c r="F57" i="17"/>
  <c r="F58" i="17"/>
  <c r="F59" i="17"/>
  <c r="F60" i="17"/>
  <c r="F61" i="17"/>
  <c r="F62" i="17"/>
  <c r="F63" i="17"/>
  <c r="F64" i="17"/>
  <c r="F65" i="17"/>
  <c r="F66" i="17"/>
  <c r="F67" i="17"/>
  <c r="F68" i="17"/>
  <c r="F69" i="17"/>
  <c r="F70" i="17"/>
  <c r="F71" i="17"/>
  <c r="F72" i="17"/>
  <c r="F73" i="17"/>
  <c r="F74" i="17"/>
  <c r="F75" i="17"/>
  <c r="F76" i="17"/>
  <c r="F77" i="17"/>
  <c r="F78" i="17"/>
  <c r="F79" i="17"/>
  <c r="F80" i="17"/>
  <c r="F81" i="17"/>
  <c r="F82" i="17"/>
  <c r="F83" i="17"/>
  <c r="F84" i="17"/>
  <c r="F85" i="17"/>
  <c r="F86" i="17"/>
  <c r="F87" i="17"/>
  <c r="F88" i="17"/>
  <c r="F89" i="17"/>
  <c r="F90" i="17"/>
  <c r="F91" i="17"/>
  <c r="F92" i="17"/>
  <c r="F93" i="17"/>
  <c r="F94" i="17"/>
  <c r="F95" i="17"/>
  <c r="F96" i="17"/>
  <c r="F97" i="17"/>
  <c r="F98" i="17"/>
  <c r="F99" i="17"/>
  <c r="F100" i="17"/>
  <c r="F101" i="17"/>
  <c r="F102" i="17"/>
  <c r="F103" i="17"/>
  <c r="F104" i="17"/>
  <c r="F105" i="17"/>
  <c r="F106" i="17"/>
  <c r="F107" i="17"/>
  <c r="F108" i="17"/>
  <c r="F4" i="17"/>
  <c r="F5" i="17"/>
  <c r="F3" i="17"/>
  <c r="D109" i="17"/>
  <c r="H109" i="17"/>
  <c r="C109" i="17"/>
  <c r="E109" i="17" l="1"/>
  <c r="F109" i="17"/>
</calcChain>
</file>

<file path=xl/sharedStrings.xml><?xml version="1.0" encoding="utf-8"?>
<sst xmlns="http://schemas.openxmlformats.org/spreadsheetml/2006/main" count="2470" uniqueCount="630">
  <si>
    <t>Spese operative</t>
  </si>
  <si>
    <t>Risultato operativo</t>
  </si>
  <si>
    <t>Risultato finanziario</t>
  </si>
  <si>
    <t>Risultato straordinario</t>
  </si>
  <si>
    <t>Airolo</t>
  </si>
  <si>
    <t>Ascona</t>
  </si>
  <si>
    <t>Balerna</t>
  </si>
  <si>
    <t>Biasca</t>
  </si>
  <si>
    <t>Bodio</t>
  </si>
  <si>
    <t>Campo (Vallemaggia)</t>
  </si>
  <si>
    <t>Canobbio</t>
  </si>
  <si>
    <t>Chiasso</t>
  </si>
  <si>
    <t>Grancia</t>
  </si>
  <si>
    <t>Lavertezzo</t>
  </si>
  <si>
    <t>Locarno</t>
  </si>
  <si>
    <t>Massagno</t>
  </si>
  <si>
    <t>Mendrisio</t>
  </si>
  <si>
    <t>Minusio</t>
  </si>
  <si>
    <t>Morbio Inferiore</t>
  </si>
  <si>
    <t>Muralto</t>
  </si>
  <si>
    <t>Novazzano</t>
  </si>
  <si>
    <t>Sant'Antonino</t>
  </si>
  <si>
    <t>Savosa</t>
  </si>
  <si>
    <t>Stabio</t>
  </si>
  <si>
    <t>Terre di Pedemonte</t>
  </si>
  <si>
    <t>Vacallo</t>
  </si>
  <si>
    <t>Lavizzara</t>
  </si>
  <si>
    <t>Bellinzona</t>
  </si>
  <si>
    <t>Losone</t>
  </si>
  <si>
    <t>Lugano</t>
  </si>
  <si>
    <t>Origlio</t>
  </si>
  <si>
    <t>Acquarossa [*]</t>
  </si>
  <si>
    <t>Agno [*]</t>
  </si>
  <si>
    <t>Alto Malcantone [*]</t>
  </si>
  <si>
    <t>Aranno [*]</t>
  </si>
  <si>
    <t>Arbedo-Castione [*]</t>
  </si>
  <si>
    <t>Arogno [*]</t>
  </si>
  <si>
    <t>Astano [*]</t>
  </si>
  <si>
    <t>Avegno Gordevio [*]</t>
  </si>
  <si>
    <t>Bedano [*]</t>
  </si>
  <si>
    <t>Bedigliora [*]</t>
  </si>
  <si>
    <t>Bedretto [*]</t>
  </si>
  <si>
    <t>Bioggio [*]</t>
  </si>
  <si>
    <t>Bissone [*]</t>
  </si>
  <si>
    <t>Blenio [*]</t>
  </si>
  <si>
    <t>Bosco Gurin [*]</t>
  </si>
  <si>
    <t>Breggia [*]</t>
  </si>
  <si>
    <t>Brione Sopra Minusio</t>
  </si>
  <si>
    <t>Brissago [*]</t>
  </si>
  <si>
    <t>Brusino Arsizio [*]</t>
  </si>
  <si>
    <t>Cademario [*]</t>
  </si>
  <si>
    <t>Cadempino [*]</t>
  </si>
  <si>
    <t>Cadenazzo [*]</t>
  </si>
  <si>
    <t>Capriasca [*]</t>
  </si>
  <si>
    <t>Caslano [*]</t>
  </si>
  <si>
    <t>Castel San Pietro [*]</t>
  </si>
  <si>
    <t>Centovalli [*]</t>
  </si>
  <si>
    <t>Cerentino [*]</t>
  </si>
  <si>
    <t>Cevio [*]</t>
  </si>
  <si>
    <t>Coldrerio [*]</t>
  </si>
  <si>
    <t>Collina d'Oro [*]</t>
  </si>
  <si>
    <t>Comano [*]</t>
  </si>
  <si>
    <t>Cugnasco-Gerra [*]</t>
  </si>
  <si>
    <t>Cureglia [*]</t>
  </si>
  <si>
    <t>Curio [*]</t>
  </si>
  <si>
    <t>Dalpe [*]</t>
  </si>
  <si>
    <t>Faido [*]</t>
  </si>
  <si>
    <t>Gambarogno [*]</t>
  </si>
  <si>
    <t>Giornico [*]</t>
  </si>
  <si>
    <t>Gordola [*]</t>
  </si>
  <si>
    <t>Gravesano [*]</t>
  </si>
  <si>
    <t>Isone [*]</t>
  </si>
  <si>
    <t>Lamone [*]</t>
  </si>
  <si>
    <t>Linescio [*]</t>
  </si>
  <si>
    <t>Lumino [*]</t>
  </si>
  <si>
    <t>Maggia [*]</t>
  </si>
  <si>
    <t>Magliaso [*]</t>
  </si>
  <si>
    <t>Manno [*]</t>
  </si>
  <si>
    <t>Melide [*]</t>
  </si>
  <si>
    <t>Mergoscia [*]</t>
  </si>
  <si>
    <t>Mezzovico-Vira [*]</t>
  </si>
  <si>
    <t>Miglieglia [*]</t>
  </si>
  <si>
    <t>Monteceneri [*]</t>
  </si>
  <si>
    <t>Morcote [*]</t>
  </si>
  <si>
    <t>Muzzano [*]</t>
  </si>
  <si>
    <t>Neggio [*]</t>
  </si>
  <si>
    <t>Novaggio [*]</t>
  </si>
  <si>
    <t>Onsernone [*]</t>
  </si>
  <si>
    <t>Orselina [*]</t>
  </si>
  <si>
    <t>Paradiso [*]</t>
  </si>
  <si>
    <t>Personico [*]</t>
  </si>
  <si>
    <t>Pollegio [*]</t>
  </si>
  <si>
    <t>Ponte Capriasca [*]</t>
  </si>
  <si>
    <t>Porza [*]</t>
  </si>
  <si>
    <t>Prato (Leventina) [*]</t>
  </si>
  <si>
    <t>Pura [*]</t>
  </si>
  <si>
    <t>Quinto [*]</t>
  </si>
  <si>
    <t>Riva San Vitale [*]</t>
  </si>
  <si>
    <t>Riviera [*]</t>
  </si>
  <si>
    <t>Ronco Sopra Ascona</t>
  </si>
  <si>
    <t>Serravalle [*]</t>
  </si>
  <si>
    <t>Sorengo [*]</t>
  </si>
  <si>
    <t>Tenero-Contra [*]</t>
  </si>
  <si>
    <t>Torricella-Taverne [*]</t>
  </si>
  <si>
    <t>Tresa [*]</t>
  </si>
  <si>
    <t>Val Mara [*]</t>
  </si>
  <si>
    <t>Vernate [*]</t>
  </si>
  <si>
    <t>Verzasca [*]</t>
  </si>
  <si>
    <t>Vezia [*]</t>
  </si>
  <si>
    <t>Vico Morcote [*]</t>
  </si>
  <si>
    <t>Indice di 
forza finanziaria 
2025-26</t>
  </si>
  <si>
    <t xml:space="preserve">ACQUAROSSA </t>
  </si>
  <si>
    <t>AGNO</t>
  </si>
  <si>
    <t>AIROLO</t>
  </si>
  <si>
    <t>ALTO MALCANTONE</t>
  </si>
  <si>
    <t>ARANNO</t>
  </si>
  <si>
    <t>ARBEDO-CASTIONE</t>
  </si>
  <si>
    <t>AROGNO</t>
  </si>
  <si>
    <t>ASCONA</t>
  </si>
  <si>
    <t>ASTANO</t>
  </si>
  <si>
    <t>AVEGNO GORDEVIO</t>
  </si>
  <si>
    <t>BALERNA</t>
  </si>
  <si>
    <t>BEDANO</t>
  </si>
  <si>
    <t>BEDIGLIORA</t>
  </si>
  <si>
    <t>BEDRETTO</t>
  </si>
  <si>
    <t>BELLINZONA</t>
  </si>
  <si>
    <t>BIASCA</t>
  </si>
  <si>
    <t>BIOGGIO</t>
  </si>
  <si>
    <t>BISSONE</t>
  </si>
  <si>
    <t>BLENIO</t>
  </si>
  <si>
    <t>BODIO</t>
  </si>
  <si>
    <t>BOSCO GURIN</t>
  </si>
  <si>
    <t>BREGGIA</t>
  </si>
  <si>
    <t>BRIONE sopra MINUSIO</t>
  </si>
  <si>
    <t>BRISSAGO</t>
  </si>
  <si>
    <t>BRUSINO ARSIZIO</t>
  </si>
  <si>
    <t>CADEMARIO</t>
  </si>
  <si>
    <t>CADEMPINO</t>
  </si>
  <si>
    <t>CADENAZZO</t>
  </si>
  <si>
    <t>CAMPO (VALLEMAGGIA)</t>
  </si>
  <si>
    <t>CANOBBIO</t>
  </si>
  <si>
    <t>CAPRIASCA</t>
  </si>
  <si>
    <t>CASLANO</t>
  </si>
  <si>
    <t>CASTEL SAN PIETRO</t>
  </si>
  <si>
    <t>CENTOVALLI</t>
  </si>
  <si>
    <t>CERENTINO</t>
  </si>
  <si>
    <t>CEVIO</t>
  </si>
  <si>
    <t>CHIASSO</t>
  </si>
  <si>
    <t>COLDRERIO</t>
  </si>
  <si>
    <t>COLLINA D'ORO</t>
  </si>
  <si>
    <t>COMANO</t>
  </si>
  <si>
    <t>CUGNASCO-GERRA</t>
  </si>
  <si>
    <t>CUREGLIA</t>
  </si>
  <si>
    <t>CURIO</t>
  </si>
  <si>
    <t>DALPE</t>
  </si>
  <si>
    <t>FAIDO</t>
  </si>
  <si>
    <t>GAMBAROGNO</t>
  </si>
  <si>
    <t>GIORNICO</t>
  </si>
  <si>
    <t>GORDOLA</t>
  </si>
  <si>
    <t>GRANCIA</t>
  </si>
  <si>
    <t>GRAVESANO</t>
  </si>
  <si>
    <t>ISONE</t>
  </si>
  <si>
    <t>LAMONE</t>
  </si>
  <si>
    <t>LAVERTEZZO</t>
  </si>
  <si>
    <t>LAVIZZARA</t>
  </si>
  <si>
    <t>LINESCIO</t>
  </si>
  <si>
    <t>LOCARNO</t>
  </si>
  <si>
    <t>LOSONE</t>
  </si>
  <si>
    <t>LUGANO</t>
  </si>
  <si>
    <t>LUMINO</t>
  </si>
  <si>
    <t>MAGGIA</t>
  </si>
  <si>
    <t>MAGLIASO</t>
  </si>
  <si>
    <t>MANNO</t>
  </si>
  <si>
    <t>MASSAGNO</t>
  </si>
  <si>
    <t>MELIDE</t>
  </si>
  <si>
    <t>MENDRISIO</t>
  </si>
  <si>
    <t>MERGOSCIA</t>
  </si>
  <si>
    <t>MEZZOVICO-VIRA</t>
  </si>
  <si>
    <t>MIGLIEGLIA</t>
  </si>
  <si>
    <t>MINUSIO</t>
  </si>
  <si>
    <t>MONTECENERI</t>
  </si>
  <si>
    <t>MORBIO INFERIORE</t>
  </si>
  <si>
    <t>MORCOTE</t>
  </si>
  <si>
    <t>MURALTO</t>
  </si>
  <si>
    <t>MUZZANO</t>
  </si>
  <si>
    <t>NEGGIO</t>
  </si>
  <si>
    <t>NOVAGGIO</t>
  </si>
  <si>
    <t>NOVAZZANO</t>
  </si>
  <si>
    <t>ONSERNONE</t>
  </si>
  <si>
    <t>ORIGLIO</t>
  </si>
  <si>
    <t>ORSELINA</t>
  </si>
  <si>
    <t>PARADISO</t>
  </si>
  <si>
    <t>PERSONICO</t>
  </si>
  <si>
    <t>POLLEGIO</t>
  </si>
  <si>
    <t>PONTE CAPRIASCA</t>
  </si>
  <si>
    <t>PORZA</t>
  </si>
  <si>
    <t>PRATO (LEVENTINA)</t>
  </si>
  <si>
    <t>PURA</t>
  </si>
  <si>
    <t>QUINTO</t>
  </si>
  <si>
    <t>RIVA SAN VITALE</t>
  </si>
  <si>
    <t>RIVIERA</t>
  </si>
  <si>
    <t>RONCO SOPRA ASCONA</t>
  </si>
  <si>
    <t>SANT'ANTONINO</t>
  </si>
  <si>
    <t>SAVOSA</t>
  </si>
  <si>
    <t>SERRAVALLE</t>
  </si>
  <si>
    <t>SORENGO</t>
  </si>
  <si>
    <t>STABIO</t>
  </si>
  <si>
    <t>TENERO-CONTRA</t>
  </si>
  <si>
    <t>TERRE DI PEDEMONTE</t>
  </si>
  <si>
    <t>TORRICELLA-TAVERNE</t>
  </si>
  <si>
    <t>TRESA</t>
  </si>
  <si>
    <t>VACALLO</t>
  </si>
  <si>
    <t>VAL MARA</t>
  </si>
  <si>
    <t>VERNATE</t>
  </si>
  <si>
    <t>VERZASCA</t>
  </si>
  <si>
    <t>VEZIA</t>
  </si>
  <si>
    <t>VICO MORCOTE</t>
  </si>
  <si>
    <t>Ricavi
operativi</t>
  </si>
  <si>
    <t>Spese finanziarie</t>
  </si>
  <si>
    <t>Ricavi
finanziari</t>
  </si>
  <si>
    <t>RISULTATO ORDINARIO</t>
  </si>
  <si>
    <t>Spese straordinarie</t>
  </si>
  <si>
    <t>Ricavi straordinari</t>
  </si>
  <si>
    <t>RISULTATO TOTALE D'ESERCIZIO</t>
  </si>
  <si>
    <t>TOTALE</t>
  </si>
  <si>
    <t>[*] la contabilità di questi comuni comprende anche i conti relativi all'approvvigionamento idrico, che negli altri comuni sono tenuti separatamente</t>
  </si>
  <si>
    <t>Totale 
spese</t>
  </si>
  <si>
    <r>
      <t xml:space="preserve">33
</t>
    </r>
    <r>
      <rPr>
        <b/>
        <sz val="6"/>
        <rFont val="Arial Narrow"/>
        <family val="2"/>
      </rPr>
      <t>ammortamenti beni amministrativi</t>
    </r>
  </si>
  <si>
    <r>
      <t xml:space="preserve">30
</t>
    </r>
    <r>
      <rPr>
        <b/>
        <sz val="6"/>
        <rFont val="Arial Narrow"/>
        <family val="2"/>
      </rPr>
      <t>spese per il personale</t>
    </r>
  </si>
  <si>
    <r>
      <t xml:space="preserve">31
</t>
    </r>
    <r>
      <rPr>
        <b/>
        <sz val="6"/>
        <rFont val="Arial Narrow"/>
        <family val="2"/>
      </rPr>
      <t>spese per beni e servizi e altre spese d'esercizio</t>
    </r>
  </si>
  <si>
    <r>
      <t xml:space="preserve">34
</t>
    </r>
    <r>
      <rPr>
        <b/>
        <sz val="6"/>
        <rFont val="Arial Narrow"/>
        <family val="2"/>
      </rPr>
      <t>spese finanziarie</t>
    </r>
  </si>
  <si>
    <r>
      <t xml:space="preserve">35
</t>
    </r>
    <r>
      <rPr>
        <b/>
        <sz val="6"/>
        <rFont val="Arial Narrow"/>
        <family val="2"/>
      </rPr>
      <t>versamenti a fondi e finanziamenti speciali</t>
    </r>
  </si>
  <si>
    <r>
      <t xml:space="preserve">36
</t>
    </r>
    <r>
      <rPr>
        <b/>
        <sz val="6"/>
        <rFont val="Arial Narrow"/>
        <family val="2"/>
      </rPr>
      <t>spese di trasferimento</t>
    </r>
  </si>
  <si>
    <r>
      <t xml:space="preserve">37
</t>
    </r>
    <r>
      <rPr>
        <b/>
        <sz val="6"/>
        <rFont val="Arial Narrow"/>
        <family val="2"/>
      </rPr>
      <t>riversamento contributi</t>
    </r>
  </si>
  <si>
    <r>
      <t xml:space="preserve">38
</t>
    </r>
    <r>
      <rPr>
        <b/>
        <sz val="6"/>
        <rFont val="Arial Narrow"/>
        <family val="2"/>
      </rPr>
      <t>spese straordinarie</t>
    </r>
  </si>
  <si>
    <r>
      <t xml:space="preserve">39
</t>
    </r>
    <r>
      <rPr>
        <b/>
        <sz val="6"/>
        <rFont val="Arial Narrow"/>
        <family val="2"/>
      </rPr>
      <t>addebiti interni</t>
    </r>
  </si>
  <si>
    <t>Totale 
ricavi</t>
  </si>
  <si>
    <r>
      <t xml:space="preserve">40
</t>
    </r>
    <r>
      <rPr>
        <b/>
        <sz val="6"/>
        <rFont val="Arial Narrow"/>
        <family val="2"/>
      </rPr>
      <t>ricavi
fiscali</t>
    </r>
  </si>
  <si>
    <r>
      <t xml:space="preserve">41
</t>
    </r>
    <r>
      <rPr>
        <b/>
        <sz val="6"/>
        <rFont val="Arial Narrow"/>
        <family val="2"/>
      </rPr>
      <t>regalie e concessioni</t>
    </r>
  </si>
  <si>
    <r>
      <t xml:space="preserve">42
</t>
    </r>
    <r>
      <rPr>
        <b/>
        <sz val="6"/>
        <rFont val="Arial Narrow"/>
        <family val="2"/>
      </rPr>
      <t>tasse e retribuzioni</t>
    </r>
  </si>
  <si>
    <r>
      <t xml:space="preserve">43
</t>
    </r>
    <r>
      <rPr>
        <b/>
        <sz val="6"/>
        <rFont val="Arial Narrow"/>
        <family val="2"/>
      </rPr>
      <t>ricavi diversi</t>
    </r>
  </si>
  <si>
    <r>
      <t xml:space="preserve">44
</t>
    </r>
    <r>
      <rPr>
        <b/>
        <sz val="6"/>
        <rFont val="Arial Narrow"/>
        <family val="2"/>
      </rPr>
      <t>ricavi finanziari</t>
    </r>
  </si>
  <si>
    <r>
      <t xml:space="preserve">45
</t>
    </r>
    <r>
      <rPr>
        <b/>
        <sz val="6"/>
        <rFont val="Arial Narrow"/>
        <family val="2"/>
      </rPr>
      <t>prelievi da fondi e finanziamenti speciali</t>
    </r>
  </si>
  <si>
    <r>
      <t xml:space="preserve">46
</t>
    </r>
    <r>
      <rPr>
        <b/>
        <sz val="6"/>
        <rFont val="Arial Narrow"/>
        <family val="2"/>
      </rPr>
      <t>ricavi da trasferimento</t>
    </r>
  </si>
  <si>
    <r>
      <t xml:space="preserve">47
</t>
    </r>
    <r>
      <rPr>
        <b/>
        <sz val="6"/>
        <rFont val="Arial Narrow"/>
        <family val="2"/>
      </rPr>
      <t>contributi da riversare</t>
    </r>
  </si>
  <si>
    <r>
      <t xml:space="preserve">48
</t>
    </r>
    <r>
      <rPr>
        <b/>
        <sz val="6"/>
        <rFont val="Arial Narrow"/>
        <family val="2"/>
      </rPr>
      <t>ricavi straordinari</t>
    </r>
  </si>
  <si>
    <r>
      <t xml:space="preserve">49
</t>
    </r>
    <r>
      <rPr>
        <b/>
        <sz val="6"/>
        <rFont val="Arial Narrow"/>
        <family val="2"/>
      </rPr>
      <t>accrediti interni</t>
    </r>
  </si>
  <si>
    <t>Spese</t>
  </si>
  <si>
    <t>Acquarossa</t>
  </si>
  <si>
    <t>Ricavi</t>
  </si>
  <si>
    <t>Spesa netta</t>
  </si>
  <si>
    <t>Agno</t>
  </si>
  <si>
    <t>Alto Malcantone</t>
  </si>
  <si>
    <t>Aranno</t>
  </si>
  <si>
    <t>Arbedo-Castione</t>
  </si>
  <si>
    <t>Arogno</t>
  </si>
  <si>
    <t>Astano</t>
  </si>
  <si>
    <t>Avegno Gordevio</t>
  </si>
  <si>
    <t>Bedano</t>
  </si>
  <si>
    <t>Bedigliora</t>
  </si>
  <si>
    <t>Bedretto</t>
  </si>
  <si>
    <t>Bioggio</t>
  </si>
  <si>
    <t>Bissone</t>
  </si>
  <si>
    <t>Blenio</t>
  </si>
  <si>
    <t>Bosco Gurin</t>
  </si>
  <si>
    <t>Breggia</t>
  </si>
  <si>
    <t>Brissago</t>
  </si>
  <si>
    <t>Brusino Arsizio</t>
  </si>
  <si>
    <t>Cademario</t>
  </si>
  <si>
    <t>Cadempino</t>
  </si>
  <si>
    <t>Cadenazzo</t>
  </si>
  <si>
    <t>Capriasca</t>
  </si>
  <si>
    <t>Caslano</t>
  </si>
  <si>
    <t>Castel San Pietro</t>
  </si>
  <si>
    <t>Centovalli</t>
  </si>
  <si>
    <t>Cerentino</t>
  </si>
  <si>
    <t>Cevio</t>
  </si>
  <si>
    <t>Coldrerio</t>
  </si>
  <si>
    <t>Collina d'Oro</t>
  </si>
  <si>
    <t>Comano</t>
  </si>
  <si>
    <t>Cugnasco-Gerra</t>
  </si>
  <si>
    <t>Cureglia</t>
  </si>
  <si>
    <t>Curio</t>
  </si>
  <si>
    <t>Dalpe</t>
  </si>
  <si>
    <t>Faido</t>
  </si>
  <si>
    <t>Gambarogno</t>
  </si>
  <si>
    <t>Giornico</t>
  </si>
  <si>
    <t>Gordola</t>
  </si>
  <si>
    <t>Gravesano</t>
  </si>
  <si>
    <t>Isone</t>
  </si>
  <si>
    <t>Lamone</t>
  </si>
  <si>
    <t>Linescio</t>
  </si>
  <si>
    <t>Lumino</t>
  </si>
  <si>
    <t>Maggia</t>
  </si>
  <si>
    <t>Magliaso</t>
  </si>
  <si>
    <t>Manno</t>
  </si>
  <si>
    <t>Melide</t>
  </si>
  <si>
    <t>Mergoscia</t>
  </si>
  <si>
    <t>Mezzovico-Vira</t>
  </si>
  <si>
    <t>Miglieglia</t>
  </si>
  <si>
    <t>Monteceneri</t>
  </si>
  <si>
    <t>Morcote</t>
  </si>
  <si>
    <t>Muzzano</t>
  </si>
  <si>
    <t>Neggio</t>
  </si>
  <si>
    <t>Novaggio</t>
  </si>
  <si>
    <t>Onsernone</t>
  </si>
  <si>
    <t>Orselina</t>
  </si>
  <si>
    <t>Paradiso</t>
  </si>
  <si>
    <t>Personico</t>
  </si>
  <si>
    <t>Pollegio</t>
  </si>
  <si>
    <t>Ponte Capriasca</t>
  </si>
  <si>
    <t>Porza</t>
  </si>
  <si>
    <t>Prato (Leventina)</t>
  </si>
  <si>
    <t>Pura</t>
  </si>
  <si>
    <t>Quinto</t>
  </si>
  <si>
    <t>Riva San Vitale</t>
  </si>
  <si>
    <t>Riviera</t>
  </si>
  <si>
    <t>Serravalle</t>
  </si>
  <si>
    <t>Sorengo</t>
  </si>
  <si>
    <t>Tenero-Contra</t>
  </si>
  <si>
    <t>Torricella-Taverne</t>
  </si>
  <si>
    <t>Tresa</t>
  </si>
  <si>
    <t>Val Mara</t>
  </si>
  <si>
    <t>Vernate</t>
  </si>
  <si>
    <t>Verzasca</t>
  </si>
  <si>
    <t>Vezia</t>
  </si>
  <si>
    <t>Vico Morcote</t>
  </si>
  <si>
    <r>
      <t>0</t>
    </r>
    <r>
      <rPr>
        <b/>
        <sz val="7"/>
        <color indexed="8"/>
        <rFont val="Arial Narrow"/>
        <family val="2"/>
      </rPr>
      <t xml:space="preserve">
Ammini-strazione generale</t>
    </r>
  </si>
  <si>
    <r>
      <t>2</t>
    </r>
    <r>
      <rPr>
        <b/>
        <sz val="7"/>
        <color indexed="8"/>
        <rFont val="Arial Narrow"/>
        <family val="2"/>
      </rPr>
      <t xml:space="preserve">
Forma-
zione</t>
    </r>
  </si>
  <si>
    <r>
      <t>4</t>
    </r>
    <r>
      <rPr>
        <b/>
        <sz val="7"/>
        <color indexed="8"/>
        <rFont val="Arial Narrow"/>
        <family val="2"/>
      </rPr>
      <t xml:space="preserve">
Sanità</t>
    </r>
  </si>
  <si>
    <r>
      <t xml:space="preserve">5
</t>
    </r>
    <r>
      <rPr>
        <b/>
        <sz val="7"/>
        <color indexed="8"/>
        <rFont val="Arial Narrow"/>
        <family val="2"/>
      </rPr>
      <t>Sicurezza sociale</t>
    </r>
  </si>
  <si>
    <r>
      <t>6</t>
    </r>
    <r>
      <rPr>
        <b/>
        <sz val="7"/>
        <color indexed="8"/>
        <rFont val="Arial Narrow"/>
        <family val="2"/>
      </rPr>
      <t xml:space="preserve">
Trasporti e comuni-cazioni</t>
    </r>
  </si>
  <si>
    <r>
      <t xml:space="preserve">7
</t>
    </r>
    <r>
      <rPr>
        <b/>
        <sz val="7"/>
        <color indexed="8"/>
        <rFont val="Arial Narrow"/>
        <family val="2"/>
      </rPr>
      <t>Ambiente e territorio</t>
    </r>
  </si>
  <si>
    <r>
      <rPr>
        <b/>
        <sz val="8"/>
        <color indexed="8"/>
        <rFont val="Arial Narrow"/>
        <family val="2"/>
      </rPr>
      <t>8</t>
    </r>
    <r>
      <rPr>
        <b/>
        <sz val="7"/>
        <color indexed="8"/>
        <rFont val="Arial Narrow"/>
        <family val="2"/>
      </rPr>
      <t xml:space="preserve">
Economia pubblica</t>
    </r>
  </si>
  <si>
    <r>
      <t xml:space="preserve">9
</t>
    </r>
    <r>
      <rPr>
        <b/>
        <sz val="7"/>
        <color indexed="8"/>
        <rFont val="Arial Narrow"/>
        <family val="2"/>
      </rPr>
      <t>Finanze e imposte</t>
    </r>
  </si>
  <si>
    <r>
      <t>1</t>
    </r>
    <r>
      <rPr>
        <b/>
        <sz val="6.5"/>
        <color indexed="8"/>
        <rFont val="Arial Narrow"/>
        <family val="2"/>
      </rPr>
      <t xml:space="preserve">
Ordine pubblico, sicurezza, difesa</t>
    </r>
  </si>
  <si>
    <r>
      <t>3</t>
    </r>
    <r>
      <rPr>
        <b/>
        <sz val="6.5"/>
        <color indexed="8"/>
        <rFont val="Arial Narrow"/>
        <family val="2"/>
      </rPr>
      <t xml:space="preserve">
Cultura, sport, tempo libe-ro, chiesa</t>
    </r>
  </si>
  <si>
    <t>Conto degli investimenti</t>
  </si>
  <si>
    <t>Conto di finanziamento</t>
  </si>
  <si>
    <t>Onere netto per investimenti</t>
  </si>
  <si>
    <t>RISULTATO GLOBALE</t>
  </si>
  <si>
    <t>Attivo</t>
  </si>
  <si>
    <t>Passivo</t>
  </si>
  <si>
    <t>Totale attivi</t>
  </si>
  <si>
    <t>Capitale
di terzi</t>
  </si>
  <si>
    <t>di cui eccedenza di bilancio</t>
  </si>
  <si>
    <t>Totale passivi</t>
  </si>
  <si>
    <r>
      <t>100</t>
    </r>
    <r>
      <rPr>
        <b/>
        <sz val="6"/>
        <rFont val="Arial Narrow"/>
        <family val="2"/>
      </rPr>
      <t xml:space="preserve">
liquidità e piazzamenti a breve termine</t>
    </r>
  </si>
  <si>
    <r>
      <t>101</t>
    </r>
    <r>
      <rPr>
        <b/>
        <sz val="6"/>
        <rFont val="Arial Narrow"/>
        <family val="2"/>
      </rPr>
      <t xml:space="preserve">
crediti</t>
    </r>
  </si>
  <si>
    <r>
      <t>102</t>
    </r>
    <r>
      <rPr>
        <b/>
        <sz val="6"/>
        <rFont val="Arial Narrow"/>
        <family val="2"/>
      </rPr>
      <t xml:space="preserve">
investimenti fin. a breve termine</t>
    </r>
  </si>
  <si>
    <r>
      <t>104</t>
    </r>
    <r>
      <rPr>
        <b/>
        <sz val="6"/>
        <rFont val="Arial Narrow"/>
        <family val="2"/>
      </rPr>
      <t xml:space="preserve">
ratei e riscontri attivi</t>
    </r>
  </si>
  <si>
    <r>
      <t>106</t>
    </r>
    <r>
      <rPr>
        <b/>
        <sz val="6"/>
        <rFont val="Arial Narrow"/>
        <family val="2"/>
      </rPr>
      <t xml:space="preserve">
scorte merci</t>
    </r>
  </si>
  <si>
    <r>
      <t>107</t>
    </r>
    <r>
      <rPr>
        <b/>
        <sz val="6"/>
        <rFont val="Arial Narrow"/>
        <family val="2"/>
      </rPr>
      <t xml:space="preserve">
investimenti fin. a lungo termine</t>
    </r>
  </si>
  <si>
    <r>
      <t>108</t>
    </r>
    <r>
      <rPr>
        <b/>
        <sz val="6"/>
        <rFont val="Arial Narrow"/>
        <family val="2"/>
      </rPr>
      <t xml:space="preserve">
investimenti materiali dei BP</t>
    </r>
  </si>
  <si>
    <r>
      <t>109</t>
    </r>
    <r>
      <rPr>
        <b/>
        <sz val="6"/>
        <rFont val="Arial Narrow"/>
        <family val="2"/>
      </rPr>
      <t xml:space="preserve">
crediti verso fin. speciali</t>
    </r>
  </si>
  <si>
    <r>
      <t>140</t>
    </r>
    <r>
      <rPr>
        <b/>
        <sz val="6"/>
        <rFont val="Arial Narrow"/>
        <family val="2"/>
      </rPr>
      <t xml:space="preserve">
investimenti materiali dei BA</t>
    </r>
  </si>
  <si>
    <r>
      <t>142</t>
    </r>
    <r>
      <rPr>
        <b/>
        <sz val="6"/>
        <rFont val="Arial Narrow"/>
        <family val="2"/>
      </rPr>
      <t xml:space="preserve">
investimenti immateriali</t>
    </r>
  </si>
  <si>
    <r>
      <t>144</t>
    </r>
    <r>
      <rPr>
        <b/>
        <sz val="6"/>
        <rFont val="Arial Narrow"/>
        <family val="2"/>
      </rPr>
      <t xml:space="preserve">
prestiti</t>
    </r>
  </si>
  <si>
    <r>
      <t>146</t>
    </r>
    <r>
      <rPr>
        <b/>
        <sz val="6"/>
        <rFont val="Arial Narrow"/>
        <family val="2"/>
      </rPr>
      <t xml:space="preserve">
contributi per investimenti</t>
    </r>
  </si>
  <si>
    <r>
      <t>200</t>
    </r>
    <r>
      <rPr>
        <b/>
        <sz val="6"/>
        <rFont val="Arial Narrow"/>
        <family val="2"/>
      </rPr>
      <t xml:space="preserve">
impegni correnti</t>
    </r>
  </si>
  <si>
    <r>
      <t>201</t>
    </r>
    <r>
      <rPr>
        <b/>
        <sz val="6"/>
        <rFont val="Arial Narrow"/>
        <family val="2"/>
      </rPr>
      <t xml:space="preserve">
impegni a breve termine</t>
    </r>
  </si>
  <si>
    <r>
      <t>204</t>
    </r>
    <r>
      <rPr>
        <b/>
        <sz val="6"/>
        <rFont val="Arial Narrow"/>
        <family val="2"/>
      </rPr>
      <t xml:space="preserve">
ratei e riscontri passivi</t>
    </r>
  </si>
  <si>
    <r>
      <t>205</t>
    </r>
    <r>
      <rPr>
        <b/>
        <sz val="6"/>
        <rFont val="Arial Narrow"/>
        <family val="2"/>
      </rPr>
      <t xml:space="preserve">
accantonamenti a breve termine</t>
    </r>
  </si>
  <si>
    <r>
      <t>206</t>
    </r>
    <r>
      <rPr>
        <b/>
        <sz val="6"/>
        <rFont val="Arial Narrow"/>
        <family val="2"/>
      </rPr>
      <t xml:space="preserve">
impegni a lungo termine</t>
    </r>
  </si>
  <si>
    <r>
      <t>208</t>
    </r>
    <r>
      <rPr>
        <b/>
        <sz val="6"/>
        <rFont val="Arial Narrow"/>
        <family val="2"/>
      </rPr>
      <t xml:space="preserve">
accantonamenti a lungo termine</t>
    </r>
  </si>
  <si>
    <r>
      <t>209</t>
    </r>
    <r>
      <rPr>
        <b/>
        <sz val="6"/>
        <rFont val="Arial Narrow"/>
        <family val="2"/>
      </rPr>
      <t xml:space="preserve">
impegni verso finanziamenti speciali e legati</t>
    </r>
  </si>
  <si>
    <r>
      <t>291</t>
    </r>
    <r>
      <rPr>
        <b/>
        <sz val="6"/>
        <rFont val="Arial Narrow"/>
        <family val="2"/>
      </rPr>
      <t xml:space="preserve">
fondi</t>
    </r>
  </si>
  <si>
    <r>
      <t>292</t>
    </r>
    <r>
      <rPr>
        <b/>
        <sz val="6"/>
        <rFont val="Arial Narrow"/>
        <family val="2"/>
      </rPr>
      <t xml:space="preserve">
riserve budget globali</t>
    </r>
  </si>
  <si>
    <r>
      <t>296</t>
    </r>
    <r>
      <rPr>
        <b/>
        <sz val="6"/>
        <rFont val="Arial Narrow"/>
        <family val="2"/>
      </rPr>
      <t xml:space="preserve">
riserve da rivalutazioni dei beni patrimoniali</t>
    </r>
  </si>
  <si>
    <r>
      <t>299</t>
    </r>
    <r>
      <rPr>
        <b/>
        <sz val="6"/>
        <rFont val="Arial Narrow"/>
        <family val="2"/>
      </rPr>
      <t xml:space="preserve">
eccedenze (+) / disavanzi (-) di bilancio</t>
    </r>
  </si>
  <si>
    <t>Totale spese</t>
  </si>
  <si>
    <r>
      <t>300</t>
    </r>
    <r>
      <rPr>
        <b/>
        <sz val="6"/>
        <rFont val="Arial Narrow"/>
        <family val="2"/>
      </rPr>
      <t xml:space="preserve">
autorità e commissioni</t>
    </r>
  </si>
  <si>
    <r>
      <t>301</t>
    </r>
    <r>
      <rPr>
        <b/>
        <sz val="6"/>
        <rFont val="Arial Narrow"/>
        <family val="2"/>
      </rPr>
      <t xml:space="preserve">
stipendi per il personale amministrativo e di servizio</t>
    </r>
  </si>
  <si>
    <r>
      <t>302</t>
    </r>
    <r>
      <rPr>
        <b/>
        <sz val="6"/>
        <rFont val="Arial Narrow"/>
        <family val="2"/>
      </rPr>
      <t xml:space="preserve">
stipendi dei docenti</t>
    </r>
  </si>
  <si>
    <r>
      <t>303</t>
    </r>
    <r>
      <rPr>
        <b/>
        <sz val="6"/>
        <rFont val="Arial Narrow"/>
        <family val="2"/>
      </rPr>
      <t xml:space="preserve">
personale temporaneo</t>
    </r>
  </si>
  <si>
    <r>
      <t>304</t>
    </r>
    <r>
      <rPr>
        <b/>
        <sz val="6"/>
        <rFont val="Arial Narrow"/>
        <family val="2"/>
      </rPr>
      <t xml:space="preserve">
assegni e indennità</t>
    </r>
  </si>
  <si>
    <r>
      <t>305</t>
    </r>
    <r>
      <rPr>
        <b/>
        <sz val="6"/>
        <rFont val="Arial Narrow"/>
        <family val="2"/>
      </rPr>
      <t xml:space="preserve">
contributi del datore di lavoro</t>
    </r>
  </si>
  <si>
    <r>
      <t>306</t>
    </r>
    <r>
      <rPr>
        <b/>
        <sz val="6"/>
        <rFont val="Arial Narrow"/>
        <family val="2"/>
      </rPr>
      <t xml:space="preserve">
prestazioni di previdenza del datore di lavoro</t>
    </r>
  </si>
  <si>
    <r>
      <t>309</t>
    </r>
    <r>
      <rPr>
        <b/>
        <sz val="6"/>
        <rFont val="Arial Narrow"/>
        <family val="2"/>
      </rPr>
      <t xml:space="preserve">
altre spese per il personale</t>
    </r>
  </si>
  <si>
    <r>
      <t>310</t>
    </r>
    <r>
      <rPr>
        <b/>
        <sz val="6"/>
        <rFont val="Arial Narrow"/>
        <family val="2"/>
      </rPr>
      <t xml:space="preserve">
spese per materiale e merci</t>
    </r>
  </si>
  <si>
    <r>
      <t>311</t>
    </r>
    <r>
      <rPr>
        <b/>
        <sz val="6"/>
        <rFont val="Arial Narrow"/>
        <family val="2"/>
      </rPr>
      <t xml:space="preserve">
investimenti non attivati</t>
    </r>
  </si>
  <si>
    <r>
      <t>312</t>
    </r>
    <r>
      <rPr>
        <b/>
        <sz val="6"/>
        <rFont val="Arial Narrow"/>
        <family val="2"/>
      </rPr>
      <t xml:space="preserve">
approvvigio-namento e smaltimento (BA)</t>
    </r>
  </si>
  <si>
    <r>
      <t>313</t>
    </r>
    <r>
      <rPr>
        <b/>
        <sz val="6"/>
        <rFont val="Arial Narrow"/>
        <family val="2"/>
      </rPr>
      <t xml:space="preserve">
prestazioni per servizi e onorari</t>
    </r>
  </si>
  <si>
    <r>
      <t>314</t>
    </r>
    <r>
      <rPr>
        <b/>
        <sz val="6"/>
        <rFont val="Arial Narrow"/>
        <family val="2"/>
      </rPr>
      <t xml:space="preserve">
manutenzione immobili dei BA</t>
    </r>
  </si>
  <si>
    <r>
      <t>315</t>
    </r>
    <r>
      <rPr>
        <b/>
        <sz val="6"/>
        <rFont val="Arial Narrow"/>
        <family val="2"/>
      </rPr>
      <t xml:space="preserve">
smanutenzione beni mobili e immateriali</t>
    </r>
  </si>
  <si>
    <r>
      <t>316</t>
    </r>
    <r>
      <rPr>
        <b/>
        <sz val="6"/>
        <rFont val="Arial Narrow"/>
        <family val="2"/>
      </rPr>
      <t xml:space="preserve">
pigioni, affitti, leasing, tasse di utilizzo</t>
    </r>
  </si>
  <si>
    <r>
      <t>317</t>
    </r>
    <r>
      <rPr>
        <b/>
        <sz val="6"/>
        <rFont val="Arial Narrow"/>
        <family val="2"/>
      </rPr>
      <t xml:space="preserve">
rimborsi spese</t>
    </r>
  </si>
  <si>
    <r>
      <t>318</t>
    </r>
    <r>
      <rPr>
        <b/>
        <sz val="6"/>
        <rFont val="Arial Narrow"/>
        <family val="2"/>
      </rPr>
      <t xml:space="preserve">
rettifica di valore e perdite su crediti</t>
    </r>
  </si>
  <si>
    <r>
      <t>319</t>
    </r>
    <r>
      <rPr>
        <b/>
        <sz val="6"/>
        <rFont val="Arial Narrow"/>
        <family val="2"/>
      </rPr>
      <t xml:space="preserve">
spese d'esercizio diverse</t>
    </r>
  </si>
  <si>
    <r>
      <t xml:space="preserve">330
</t>
    </r>
    <r>
      <rPr>
        <b/>
        <sz val="6"/>
        <rFont val="Arial Narrow"/>
        <family val="2"/>
      </rPr>
      <t>ammortamenti investimenti materiali</t>
    </r>
  </si>
  <si>
    <r>
      <t xml:space="preserve">332
</t>
    </r>
    <r>
      <rPr>
        <b/>
        <sz val="6"/>
        <rFont val="Arial Narrow"/>
        <family val="2"/>
      </rPr>
      <t>ammortamenti investimenti immateriali</t>
    </r>
  </si>
  <si>
    <r>
      <t xml:space="preserve">340
</t>
    </r>
    <r>
      <rPr>
        <b/>
        <sz val="6"/>
        <rFont val="Arial Narrow"/>
        <family val="2"/>
      </rPr>
      <t>spese per interessi</t>
    </r>
  </si>
  <si>
    <r>
      <t xml:space="preserve">341
</t>
    </r>
    <r>
      <rPr>
        <b/>
        <sz val="6"/>
        <rFont val="Arial Narrow"/>
        <family val="2"/>
      </rPr>
      <t xml:space="preserve">perdite di corso realizzate </t>
    </r>
  </si>
  <si>
    <r>
      <t xml:space="preserve">342
</t>
    </r>
    <r>
      <rPr>
        <b/>
        <sz val="6"/>
        <rFont val="Arial Narrow"/>
        <family val="2"/>
      </rPr>
      <t xml:space="preserve">costi di raccolta e gestione del capitale </t>
    </r>
  </si>
  <si>
    <r>
      <t xml:space="preserve">343
</t>
    </r>
    <r>
      <rPr>
        <b/>
        <sz val="6"/>
        <rFont val="Arial Narrow"/>
        <family val="2"/>
      </rPr>
      <t>spese per immobili dei BP</t>
    </r>
  </si>
  <si>
    <r>
      <t xml:space="preserve">344
</t>
    </r>
    <r>
      <rPr>
        <b/>
        <sz val="6"/>
        <rFont val="Arial Narrow"/>
        <family val="2"/>
      </rPr>
      <t xml:space="preserve">rivalutazioni su investimenti dei BP </t>
    </r>
  </si>
  <si>
    <r>
      <t xml:space="preserve">349
</t>
    </r>
    <r>
      <rPr>
        <b/>
        <sz val="6"/>
        <rFont val="Arial Narrow"/>
        <family val="2"/>
      </rPr>
      <t>altre spese finanziarie</t>
    </r>
  </si>
  <si>
    <r>
      <t xml:space="preserve">350
</t>
    </r>
    <r>
      <rPr>
        <b/>
        <sz val="6"/>
        <rFont val="Arial Narrow"/>
        <family val="2"/>
      </rPr>
      <t>versamenti a finanziamenti speciali del capitale di terzi</t>
    </r>
  </si>
  <si>
    <r>
      <t xml:space="preserve">351
</t>
    </r>
    <r>
      <rPr>
        <b/>
        <sz val="6"/>
        <rFont val="Arial Narrow"/>
        <family val="2"/>
      </rPr>
      <t>versamenti a fondi del capitale proprio</t>
    </r>
  </si>
  <si>
    <r>
      <t xml:space="preserve">360
</t>
    </r>
    <r>
      <rPr>
        <b/>
        <sz val="6"/>
        <rFont val="Arial Narrow"/>
        <family val="2"/>
      </rPr>
      <t>quote di ricavo destinate a terzi</t>
    </r>
  </si>
  <si>
    <r>
      <t xml:space="preserve">361
</t>
    </r>
    <r>
      <rPr>
        <b/>
        <sz val="6"/>
        <rFont val="Arial Narrow"/>
        <family val="2"/>
      </rPr>
      <t>rimborsi a enti pubblici</t>
    </r>
  </si>
  <si>
    <r>
      <t xml:space="preserve">362
</t>
    </r>
    <r>
      <rPr>
        <b/>
        <sz val="6"/>
        <rFont val="Arial Narrow"/>
        <family val="2"/>
      </rPr>
      <t>perequazione finanziaria</t>
    </r>
  </si>
  <si>
    <r>
      <t xml:space="preserve">363
</t>
    </r>
    <r>
      <rPr>
        <b/>
        <sz val="6"/>
        <rFont val="Arial Narrow"/>
        <family val="2"/>
      </rPr>
      <t>contributi a enti pubblici e a terzi</t>
    </r>
  </si>
  <si>
    <r>
      <t xml:space="preserve">364
</t>
    </r>
    <r>
      <rPr>
        <b/>
        <sz val="6"/>
        <rFont val="Arial Narrow"/>
        <family val="2"/>
      </rPr>
      <t>rettifiche di valore su prestiti dei BA</t>
    </r>
  </si>
  <si>
    <r>
      <t xml:space="preserve">365
</t>
    </r>
    <r>
      <rPr>
        <b/>
        <sz val="6"/>
        <rFont val="Arial Narrow"/>
        <family val="2"/>
      </rPr>
      <t>rettifiche di valore su partecipazioni dei BA</t>
    </r>
  </si>
  <si>
    <r>
      <t xml:space="preserve">366
</t>
    </r>
    <r>
      <rPr>
        <b/>
        <sz val="6"/>
        <rFont val="Arial Narrow"/>
        <family val="2"/>
      </rPr>
      <t>ammoratamenti su contributi per investimenti</t>
    </r>
  </si>
  <si>
    <r>
      <t xml:space="preserve">370
</t>
    </r>
    <r>
      <rPr>
        <b/>
        <sz val="6"/>
        <rFont val="Arial Narrow"/>
        <family val="2"/>
      </rPr>
      <t>riversamento contributi</t>
    </r>
  </si>
  <si>
    <r>
      <t xml:space="preserve">381
</t>
    </r>
    <r>
      <rPr>
        <b/>
        <sz val="6"/>
        <rFont val="Arial Narrow"/>
        <family val="2"/>
      </rPr>
      <t>spese straor-dinarie per beni e servizi e d'esercizio</t>
    </r>
  </si>
  <si>
    <r>
      <t xml:space="preserve">389
</t>
    </r>
    <r>
      <rPr>
        <b/>
        <sz val="6"/>
        <rFont val="Arial Narrow"/>
        <family val="2"/>
      </rPr>
      <t>versamenti al capitale proprio</t>
    </r>
  </si>
  <si>
    <r>
      <t xml:space="preserve">390
</t>
    </r>
    <r>
      <rPr>
        <b/>
        <sz val="6"/>
        <rFont val="Arial Narrow"/>
        <family val="2"/>
      </rPr>
      <t>acquisti di materiali e merci</t>
    </r>
  </si>
  <si>
    <r>
      <t xml:space="preserve">391
</t>
    </r>
    <r>
      <rPr>
        <b/>
        <sz val="6"/>
        <rFont val="Arial Narrow"/>
        <family val="2"/>
      </rPr>
      <t>prestazioni per servizi</t>
    </r>
  </si>
  <si>
    <r>
      <t xml:space="preserve">392
</t>
    </r>
    <r>
      <rPr>
        <b/>
        <sz val="6"/>
        <rFont val="Arial Narrow"/>
        <family val="2"/>
      </rPr>
      <t>affitti, pigioni, noleggi e costi di utilizzazione</t>
    </r>
  </si>
  <si>
    <r>
      <t xml:space="preserve">393
</t>
    </r>
    <r>
      <rPr>
        <b/>
        <sz val="6"/>
        <rFont val="Arial Narrow"/>
        <family val="2"/>
      </rPr>
      <t>costi d'esercizio e amministrativi</t>
    </r>
  </si>
  <si>
    <r>
      <t xml:space="preserve">394
</t>
    </r>
    <r>
      <rPr>
        <b/>
        <sz val="6"/>
        <rFont val="Arial Narrow"/>
        <family val="2"/>
      </rPr>
      <t>interessi calcolatori e spese finanziarie</t>
    </r>
  </si>
  <si>
    <r>
      <t xml:space="preserve">395
</t>
    </r>
    <r>
      <rPr>
        <b/>
        <sz val="6"/>
        <rFont val="Arial Narrow"/>
        <family val="2"/>
      </rPr>
      <t>ammortamenti pianificati e non pianificati</t>
    </r>
  </si>
  <si>
    <r>
      <t xml:space="preserve">398
</t>
    </r>
    <r>
      <rPr>
        <b/>
        <sz val="6"/>
        <rFont val="Arial Narrow"/>
        <family val="2"/>
      </rPr>
      <t>riporti</t>
    </r>
  </si>
  <si>
    <r>
      <t xml:space="preserve">399
</t>
    </r>
    <r>
      <rPr>
        <b/>
        <sz val="6"/>
        <rFont val="Arial Narrow"/>
        <family val="2"/>
      </rPr>
      <t>altri addebiti interni</t>
    </r>
  </si>
  <si>
    <r>
      <t>400</t>
    </r>
    <r>
      <rPr>
        <b/>
        <sz val="6"/>
        <rFont val="Arial Narrow"/>
        <family val="2"/>
      </rPr>
      <t xml:space="preserve">
imposte dirette delle persone fisiche</t>
    </r>
  </si>
  <si>
    <r>
      <t>401</t>
    </r>
    <r>
      <rPr>
        <b/>
        <sz val="6"/>
        <rFont val="Arial Narrow"/>
        <family val="2"/>
      </rPr>
      <t xml:space="preserve">
imposte dirette delle persone giuridiche</t>
    </r>
  </si>
  <si>
    <r>
      <t>402</t>
    </r>
    <r>
      <rPr>
        <b/>
        <sz val="6"/>
        <rFont val="Arial Narrow"/>
        <family val="2"/>
      </rPr>
      <t xml:space="preserve">
altre imposte dirette</t>
    </r>
  </si>
  <si>
    <r>
      <t>403</t>
    </r>
    <r>
      <rPr>
        <b/>
        <sz val="6"/>
        <rFont val="Arial Narrow"/>
        <family val="2"/>
      </rPr>
      <t xml:space="preserve">
imposte sul possesso e sulla spesa</t>
    </r>
  </si>
  <si>
    <r>
      <t>412</t>
    </r>
    <r>
      <rPr>
        <b/>
        <sz val="6"/>
        <rFont val="Arial Narrow"/>
        <family val="2"/>
      </rPr>
      <t xml:space="preserve">
concessioni</t>
    </r>
  </si>
  <si>
    <r>
      <t>420</t>
    </r>
    <r>
      <rPr>
        <b/>
        <sz val="6"/>
        <rFont val="Arial Narrow"/>
        <family val="2"/>
      </rPr>
      <t xml:space="preserve">
tasse d'esenzione</t>
    </r>
  </si>
  <si>
    <r>
      <t>421</t>
    </r>
    <r>
      <rPr>
        <b/>
        <sz val="6"/>
        <rFont val="Arial Narrow"/>
        <family val="2"/>
      </rPr>
      <t xml:space="preserve">
tasse per servizi amministrativi</t>
    </r>
  </si>
  <si>
    <r>
      <t>422</t>
    </r>
    <r>
      <rPr>
        <b/>
        <sz val="6"/>
        <rFont val="Arial Narrow"/>
        <family val="2"/>
      </rPr>
      <t xml:space="preserve">
tasse e rette per ospedali e ospizi</t>
    </r>
  </si>
  <si>
    <r>
      <t>423</t>
    </r>
    <r>
      <rPr>
        <b/>
        <sz val="6"/>
        <rFont val="Arial Narrow"/>
        <family val="2"/>
      </rPr>
      <t xml:space="preserve">
tasse scolastiche e per corsi</t>
    </r>
  </si>
  <si>
    <r>
      <t>424</t>
    </r>
    <r>
      <rPr>
        <b/>
        <sz val="6"/>
        <rFont val="Arial Narrow"/>
        <family val="2"/>
      </rPr>
      <t xml:space="preserve">
tasse d'uso per prestazioni di servizio</t>
    </r>
  </si>
  <si>
    <r>
      <t>425</t>
    </r>
    <r>
      <rPr>
        <b/>
        <sz val="6"/>
        <rFont val="Arial Narrow"/>
        <family val="2"/>
      </rPr>
      <t xml:space="preserve">
ricavi da vendite</t>
    </r>
  </si>
  <si>
    <r>
      <t>426</t>
    </r>
    <r>
      <rPr>
        <b/>
        <sz val="6"/>
        <rFont val="Arial Narrow"/>
        <family val="2"/>
      </rPr>
      <t xml:space="preserve">
rimborsi</t>
    </r>
  </si>
  <si>
    <r>
      <t>427</t>
    </r>
    <r>
      <rPr>
        <b/>
        <sz val="6"/>
        <rFont val="Arial Narrow"/>
        <family val="2"/>
      </rPr>
      <t xml:space="preserve">
multe</t>
    </r>
  </si>
  <si>
    <r>
      <t>429</t>
    </r>
    <r>
      <rPr>
        <b/>
        <sz val="6"/>
        <rFont val="Arial Narrow"/>
        <family val="2"/>
      </rPr>
      <t xml:space="preserve">
diversi ricavi e tasse</t>
    </r>
  </si>
  <si>
    <r>
      <t>430</t>
    </r>
    <r>
      <rPr>
        <b/>
        <sz val="6"/>
        <rFont val="Arial Narrow"/>
        <family val="2"/>
      </rPr>
      <t xml:space="preserve">
ricavi d'esercizio diversi</t>
    </r>
  </si>
  <si>
    <r>
      <t>431</t>
    </r>
    <r>
      <rPr>
        <b/>
        <sz val="6"/>
        <rFont val="Arial Narrow"/>
        <family val="2"/>
      </rPr>
      <t xml:space="preserve">
attivazione di prestazioni proprie</t>
    </r>
  </si>
  <si>
    <r>
      <t>439</t>
    </r>
    <r>
      <rPr>
        <b/>
        <sz val="6"/>
        <rFont val="Arial Narrow"/>
        <family val="2"/>
      </rPr>
      <t xml:space="preserve">
altri ricavi</t>
    </r>
  </si>
  <si>
    <r>
      <t>440</t>
    </r>
    <r>
      <rPr>
        <b/>
        <sz val="6"/>
        <rFont val="Arial Narrow"/>
        <family val="2"/>
      </rPr>
      <t xml:space="preserve">
interessi attivi</t>
    </r>
  </si>
  <si>
    <r>
      <t>441</t>
    </r>
    <r>
      <rPr>
        <b/>
        <sz val="6"/>
        <rFont val="Arial Narrow"/>
        <family val="2"/>
      </rPr>
      <t xml:space="preserve">
utili realizzati su BP</t>
    </r>
  </si>
  <si>
    <r>
      <t>442</t>
    </r>
    <r>
      <rPr>
        <b/>
        <sz val="6"/>
        <rFont val="Arial Narrow"/>
        <family val="2"/>
      </rPr>
      <t xml:space="preserve">
redditi da partecipazione dei BP</t>
    </r>
  </si>
  <si>
    <r>
      <t>443</t>
    </r>
    <r>
      <rPr>
        <b/>
        <sz val="6"/>
        <rFont val="Arial Narrow"/>
        <family val="2"/>
      </rPr>
      <t xml:space="preserve">
redditi immobiliari dei BP</t>
    </r>
  </si>
  <si>
    <r>
      <t>444</t>
    </r>
    <r>
      <rPr>
        <b/>
        <sz val="6"/>
        <rFont val="Arial Narrow"/>
        <family val="2"/>
      </rPr>
      <t xml:space="preserve">
rettifiche di valore di investimenti in BP</t>
    </r>
  </si>
  <si>
    <r>
      <t>446</t>
    </r>
    <r>
      <rPr>
        <b/>
        <sz val="6"/>
        <rFont val="Arial Narrow"/>
        <family val="2"/>
      </rPr>
      <t xml:space="preserve">
ricavi da impre-se pubbliche (&gt;50% capitale pubblico)</t>
    </r>
  </si>
  <si>
    <r>
      <t>447</t>
    </r>
    <r>
      <rPr>
        <b/>
        <sz val="6"/>
        <rFont val="Arial Narrow"/>
        <family val="2"/>
      </rPr>
      <t xml:space="preserve">
redditi immobiliari dei BA</t>
    </r>
  </si>
  <si>
    <r>
      <t>448</t>
    </r>
    <r>
      <rPr>
        <b/>
        <sz val="6"/>
        <rFont val="Arial Narrow"/>
        <family val="2"/>
      </rPr>
      <t xml:space="preserve">
redditi da immobili in affitto dei BA</t>
    </r>
  </si>
  <si>
    <r>
      <t>449</t>
    </r>
    <r>
      <rPr>
        <b/>
        <sz val="6"/>
        <rFont val="Arial Narrow"/>
        <family val="2"/>
      </rPr>
      <t xml:space="preserve">
altri ricavi finanziari</t>
    </r>
  </si>
  <si>
    <r>
      <t>450</t>
    </r>
    <r>
      <rPr>
        <b/>
        <sz val="6"/>
        <rFont val="Arial Narrow"/>
        <family val="2"/>
      </rPr>
      <t xml:space="preserve">
prelievi da FS del capitale di terzi</t>
    </r>
  </si>
  <si>
    <r>
      <t>451</t>
    </r>
    <r>
      <rPr>
        <b/>
        <sz val="6"/>
        <rFont val="Arial Narrow"/>
        <family val="2"/>
      </rPr>
      <t xml:space="preserve">
prelievi da fondi del capitale proprio</t>
    </r>
  </si>
  <si>
    <r>
      <t>460</t>
    </r>
    <r>
      <rPr>
        <b/>
        <sz val="6"/>
        <rFont val="Arial Narrow"/>
        <family val="2"/>
      </rPr>
      <t xml:space="preserve">
quote di ricavo da terzi</t>
    </r>
  </si>
  <si>
    <r>
      <t>461</t>
    </r>
    <r>
      <rPr>
        <b/>
        <sz val="6"/>
        <rFont val="Arial Narrow"/>
        <family val="2"/>
      </rPr>
      <t xml:space="preserve">
rimborsi da enti pubblici</t>
    </r>
  </si>
  <si>
    <r>
      <t>462</t>
    </r>
    <r>
      <rPr>
        <b/>
        <sz val="6"/>
        <rFont val="Arial Narrow"/>
        <family val="2"/>
      </rPr>
      <t xml:space="preserve">
perequazione finanziaria</t>
    </r>
  </si>
  <si>
    <r>
      <t>463</t>
    </r>
    <r>
      <rPr>
        <b/>
        <sz val="6"/>
        <rFont val="Arial Narrow"/>
        <family val="2"/>
      </rPr>
      <t xml:space="preserve">
contributi da enti pubblici e da terzi</t>
    </r>
  </si>
  <si>
    <r>
      <t>469</t>
    </r>
    <r>
      <rPr>
        <b/>
        <sz val="6"/>
        <rFont val="Arial Narrow"/>
        <family val="2"/>
      </rPr>
      <t xml:space="preserve">
altri ricavi da trasferimento</t>
    </r>
  </si>
  <si>
    <r>
      <t>470</t>
    </r>
    <r>
      <rPr>
        <b/>
        <sz val="6"/>
        <rFont val="Arial Narrow"/>
        <family val="2"/>
      </rPr>
      <t xml:space="preserve">
contributi da riversare</t>
    </r>
  </si>
  <si>
    <r>
      <t>483</t>
    </r>
    <r>
      <rPr>
        <b/>
        <sz val="6"/>
        <rFont val="Arial Narrow"/>
        <family val="2"/>
      </rPr>
      <t xml:space="preserve">
altri ricavi straordinari</t>
    </r>
  </si>
  <si>
    <r>
      <t>485</t>
    </r>
    <r>
      <rPr>
        <b/>
        <sz val="6"/>
        <rFont val="Arial Narrow"/>
        <family val="2"/>
      </rPr>
      <t xml:space="preserve">
prelievi stroardinari da fondi o FS</t>
    </r>
  </si>
  <si>
    <r>
      <t>486</t>
    </r>
    <r>
      <rPr>
        <b/>
        <sz val="6"/>
        <rFont val="Arial Narrow"/>
        <family val="2"/>
      </rPr>
      <t xml:space="preserve">
ricavi straordinari da trasferimenti</t>
    </r>
  </si>
  <si>
    <r>
      <t>489</t>
    </r>
    <r>
      <rPr>
        <b/>
        <sz val="6"/>
        <rFont val="Arial Narrow"/>
        <family val="2"/>
      </rPr>
      <t xml:space="preserve">
prelievi dal capitale proprio</t>
    </r>
  </si>
  <si>
    <r>
      <t>490</t>
    </r>
    <r>
      <rPr>
        <b/>
        <sz val="6"/>
        <rFont val="Arial Narrow"/>
        <family val="2"/>
      </rPr>
      <t xml:space="preserve">
acquisti di materiali e merci</t>
    </r>
  </si>
  <si>
    <r>
      <t>491</t>
    </r>
    <r>
      <rPr>
        <b/>
        <sz val="6"/>
        <rFont val="Arial Narrow"/>
        <family val="2"/>
      </rPr>
      <t xml:space="preserve">
servizi</t>
    </r>
  </si>
  <si>
    <r>
      <t>492</t>
    </r>
    <r>
      <rPr>
        <b/>
        <sz val="6"/>
        <rFont val="Arial Narrow"/>
        <family val="2"/>
      </rPr>
      <t xml:space="preserve">
affitti, pigioni, noleggi e costi di utilizzazione</t>
    </r>
  </si>
  <si>
    <r>
      <t>493</t>
    </r>
    <r>
      <rPr>
        <b/>
        <sz val="6"/>
        <rFont val="Arial Narrow"/>
        <family val="2"/>
      </rPr>
      <t xml:space="preserve">
costi di esercizio e amministrativi</t>
    </r>
  </si>
  <si>
    <r>
      <t>494</t>
    </r>
    <r>
      <rPr>
        <b/>
        <sz val="6"/>
        <rFont val="Arial Narrow"/>
        <family val="2"/>
      </rPr>
      <t xml:space="preserve">
iinteressi calcolatori e spese finanziarie</t>
    </r>
  </si>
  <si>
    <r>
      <t>495</t>
    </r>
    <r>
      <rPr>
        <b/>
        <sz val="6"/>
        <rFont val="Arial Narrow"/>
        <family val="2"/>
      </rPr>
      <t xml:space="preserve">
ammortamenti pianificati e non pianificati</t>
    </r>
  </si>
  <si>
    <r>
      <t>498</t>
    </r>
    <r>
      <rPr>
        <b/>
        <sz val="6"/>
        <rFont val="Arial Narrow"/>
        <family val="2"/>
      </rPr>
      <t xml:space="preserve">
riporti</t>
    </r>
  </si>
  <si>
    <r>
      <t>499</t>
    </r>
    <r>
      <rPr>
        <b/>
        <sz val="6"/>
        <rFont val="Arial Narrow"/>
        <family val="2"/>
      </rPr>
      <t xml:space="preserve">
altri accrediti interni</t>
    </r>
  </si>
  <si>
    <t>Totale ricavi</t>
  </si>
  <si>
    <r>
      <t>445</t>
    </r>
    <r>
      <rPr>
        <b/>
        <sz val="6"/>
        <rFont val="Arial Narrow"/>
        <family val="2"/>
      </rPr>
      <t xml:space="preserve">
ricavi finanzia-ri da prestiti e partecipazioni dei BA</t>
    </r>
  </si>
  <si>
    <t>Totale 
uscite per investimenti</t>
  </si>
  <si>
    <t>Totale 
entrate per investimenti</t>
  </si>
  <si>
    <r>
      <t xml:space="preserve">50
</t>
    </r>
    <r>
      <rPr>
        <b/>
        <sz val="6"/>
        <rFont val="Arial Narrow"/>
        <family val="2"/>
      </rPr>
      <t>investimenti materiali</t>
    </r>
  </si>
  <si>
    <r>
      <t xml:space="preserve">51
</t>
    </r>
    <r>
      <rPr>
        <b/>
        <sz val="6"/>
        <rFont val="Arial Narrow"/>
        <family val="2"/>
      </rPr>
      <t>investimenti per conto terzi</t>
    </r>
  </si>
  <si>
    <r>
      <t xml:space="preserve">52
</t>
    </r>
    <r>
      <rPr>
        <b/>
        <sz val="6"/>
        <rFont val="Arial Narrow"/>
        <family val="2"/>
      </rPr>
      <t>investimenti immateriali</t>
    </r>
  </si>
  <si>
    <r>
      <t xml:space="preserve">54
</t>
    </r>
    <r>
      <rPr>
        <b/>
        <sz val="6"/>
        <rFont val="Arial Narrow"/>
        <family val="2"/>
      </rPr>
      <t>prestiti</t>
    </r>
  </si>
  <si>
    <r>
      <t xml:space="preserve">55
</t>
    </r>
    <r>
      <rPr>
        <b/>
        <sz val="6"/>
        <rFont val="Arial Narrow"/>
        <family val="2"/>
      </rPr>
      <t>partecipazioni e capitali sociali</t>
    </r>
  </si>
  <si>
    <r>
      <t xml:space="preserve">56
</t>
    </r>
    <r>
      <rPr>
        <b/>
        <sz val="6"/>
        <rFont val="Arial Narrow"/>
        <family val="2"/>
      </rPr>
      <t>contributi per investimenti di terzi</t>
    </r>
  </si>
  <si>
    <r>
      <t xml:space="preserve">63
</t>
    </r>
    <r>
      <rPr>
        <b/>
        <sz val="6"/>
        <rFont val="Arial Narrow"/>
        <family val="2"/>
      </rPr>
      <t>contributi per investimenti propri</t>
    </r>
  </si>
  <si>
    <r>
      <t xml:space="preserve">64
</t>
    </r>
    <r>
      <rPr>
        <b/>
        <sz val="6"/>
        <rFont val="Arial Narrow"/>
        <family val="2"/>
      </rPr>
      <t>rimborso di prestiti</t>
    </r>
  </si>
  <si>
    <r>
      <t xml:space="preserve">66
</t>
    </r>
    <r>
      <rPr>
        <b/>
        <sz val="6"/>
        <rFont val="Arial Narrow"/>
        <family val="2"/>
      </rPr>
      <t>restituzione di contributi per investimenti</t>
    </r>
  </si>
  <si>
    <r>
      <t xml:space="preserve">60
</t>
    </r>
    <r>
      <rPr>
        <b/>
        <sz val="6"/>
        <rFont val="Arial Narrow"/>
        <family val="2"/>
      </rPr>
      <t>trasferimento di investimenti materiali nei beni patrimoniali</t>
    </r>
  </si>
  <si>
    <r>
      <t xml:space="preserve">62
</t>
    </r>
    <r>
      <rPr>
        <b/>
        <sz val="6"/>
        <rFont val="Arial Narrow"/>
        <family val="2"/>
      </rPr>
      <t>trasferimento di investimenti immateriali nei beni patrimoniali</t>
    </r>
  </si>
  <si>
    <r>
      <t xml:space="preserve">65
</t>
    </r>
    <r>
      <rPr>
        <b/>
        <sz val="6"/>
        <rFont val="Arial Narrow"/>
        <family val="2"/>
      </rPr>
      <t>trasferimento di partecipa-zioni e capitali sociali nei beni patrimoniali</t>
    </r>
  </si>
  <si>
    <r>
      <t>500</t>
    </r>
    <r>
      <rPr>
        <b/>
        <sz val="6"/>
        <rFont val="Arial Narrow"/>
        <family val="2"/>
      </rPr>
      <t xml:space="preserve">
terreni</t>
    </r>
  </si>
  <si>
    <r>
      <t>501</t>
    </r>
    <r>
      <rPr>
        <b/>
        <sz val="6"/>
        <rFont val="Arial Narrow"/>
        <family val="2"/>
      </rPr>
      <t xml:space="preserve">
strade, piazze, vie di comunicazione</t>
    </r>
  </si>
  <si>
    <r>
      <t>502</t>
    </r>
    <r>
      <rPr>
        <b/>
        <sz val="6"/>
        <rFont val="Arial Narrow"/>
        <family val="2"/>
      </rPr>
      <t xml:space="preserve">
sistemazione corsi d'acqua e laghi</t>
    </r>
  </si>
  <si>
    <r>
      <t>503</t>
    </r>
    <r>
      <rPr>
        <b/>
        <sz val="6"/>
        <rFont val="Arial Narrow"/>
        <family val="2"/>
      </rPr>
      <t xml:space="preserve">
altre opere del genio civile</t>
    </r>
  </si>
  <si>
    <r>
      <t>504</t>
    </r>
    <r>
      <rPr>
        <b/>
        <sz val="6"/>
        <rFont val="Arial Narrow"/>
        <family val="2"/>
      </rPr>
      <t xml:space="preserve">
immobili</t>
    </r>
  </si>
  <si>
    <r>
      <t>505</t>
    </r>
    <r>
      <rPr>
        <b/>
        <sz val="6"/>
        <rFont val="Arial Narrow"/>
        <family val="2"/>
      </rPr>
      <t xml:space="preserve">
boschi</t>
    </r>
  </si>
  <si>
    <r>
      <t>506</t>
    </r>
    <r>
      <rPr>
        <b/>
        <sz val="6"/>
        <rFont val="Arial Narrow"/>
        <family val="2"/>
      </rPr>
      <t xml:space="preserve">
beni mobili</t>
    </r>
  </si>
  <si>
    <r>
      <t>509</t>
    </r>
    <r>
      <rPr>
        <b/>
        <sz val="6"/>
        <rFont val="Arial Narrow"/>
        <family val="2"/>
      </rPr>
      <t xml:space="preserve">
altri investimenti materiali</t>
    </r>
  </si>
  <si>
    <r>
      <t>511</t>
    </r>
    <r>
      <rPr>
        <b/>
        <sz val="6"/>
        <rFont val="Arial Narrow"/>
        <family val="2"/>
      </rPr>
      <t xml:space="preserve">
strade, vie di comunicazione</t>
    </r>
  </si>
  <si>
    <r>
      <t>513</t>
    </r>
    <r>
      <rPr>
        <b/>
        <sz val="6"/>
        <rFont val="Arial Narrow"/>
        <family val="2"/>
      </rPr>
      <t xml:space="preserve">
altre opere del genio civile</t>
    </r>
  </si>
  <si>
    <r>
      <t>520</t>
    </r>
    <r>
      <rPr>
        <b/>
        <sz val="6"/>
        <rFont val="Arial Narrow"/>
        <family val="2"/>
      </rPr>
      <t xml:space="preserve">
software</t>
    </r>
  </si>
  <si>
    <r>
      <t>529</t>
    </r>
    <r>
      <rPr>
        <b/>
        <sz val="6"/>
        <rFont val="Arial Narrow"/>
        <family val="2"/>
      </rPr>
      <t xml:space="preserve">
altri investimenti in beni immateriali</t>
    </r>
  </si>
  <si>
    <r>
      <t>542</t>
    </r>
    <r>
      <rPr>
        <b/>
        <sz val="6"/>
        <rFont val="Arial Narrow"/>
        <family val="2"/>
      </rPr>
      <t xml:space="preserve">
comuni, consorzi e altri enti locali</t>
    </r>
  </si>
  <si>
    <r>
      <t>545</t>
    </r>
    <r>
      <rPr>
        <b/>
        <sz val="6"/>
        <rFont val="Arial Narrow"/>
        <family val="2"/>
      </rPr>
      <t xml:space="preserve">
imprese private</t>
    </r>
  </si>
  <si>
    <r>
      <t>546</t>
    </r>
    <r>
      <rPr>
        <b/>
        <sz val="6"/>
        <rFont val="Arial Narrow"/>
        <family val="2"/>
      </rPr>
      <t xml:space="preserve">
oganizzazioni private senza scopo di lucro</t>
    </r>
  </si>
  <si>
    <r>
      <t>547</t>
    </r>
    <r>
      <rPr>
        <b/>
        <sz val="6"/>
        <rFont val="Arial Narrow"/>
        <family val="2"/>
      </rPr>
      <t xml:space="preserve">
economie private</t>
    </r>
  </si>
  <si>
    <r>
      <t>552</t>
    </r>
    <r>
      <rPr>
        <b/>
        <sz val="6"/>
        <rFont val="Arial Narrow"/>
        <family val="2"/>
      </rPr>
      <t xml:space="preserve">
comuni, consorzi e altri enti locali</t>
    </r>
  </si>
  <si>
    <r>
      <t>554</t>
    </r>
    <r>
      <rPr>
        <b/>
        <sz val="6"/>
        <rFont val="Arial Narrow"/>
        <family val="2"/>
      </rPr>
      <t xml:space="preserve">
imprese pubbliche</t>
    </r>
  </si>
  <si>
    <r>
      <t>556</t>
    </r>
    <r>
      <rPr>
        <b/>
        <sz val="6"/>
        <rFont val="Arial Narrow"/>
        <family val="2"/>
      </rPr>
      <t xml:space="preserve">
oganizzazioni private senza scopo di lucro</t>
    </r>
  </si>
  <si>
    <r>
      <t>561</t>
    </r>
    <r>
      <rPr>
        <b/>
        <sz val="6"/>
        <rFont val="Arial Narrow"/>
        <family val="2"/>
      </rPr>
      <t xml:space="preserve">
Cantone</t>
    </r>
  </si>
  <si>
    <r>
      <t>562</t>
    </r>
    <r>
      <rPr>
        <b/>
        <sz val="6"/>
        <rFont val="Arial Narrow"/>
        <family val="2"/>
      </rPr>
      <t xml:space="preserve">
comuni, consorzi e altri enti locali</t>
    </r>
  </si>
  <si>
    <r>
      <t>564</t>
    </r>
    <r>
      <rPr>
        <b/>
        <sz val="6"/>
        <rFont val="Arial Narrow"/>
        <family val="2"/>
      </rPr>
      <t xml:space="preserve">
imprese pubbliche</t>
    </r>
  </si>
  <si>
    <r>
      <t>565</t>
    </r>
    <r>
      <rPr>
        <b/>
        <sz val="6"/>
        <rFont val="Arial Narrow"/>
        <family val="2"/>
      </rPr>
      <t xml:space="preserve">
imprese private</t>
    </r>
  </si>
  <si>
    <r>
      <t>566</t>
    </r>
    <r>
      <rPr>
        <b/>
        <sz val="6"/>
        <rFont val="Arial Narrow"/>
        <family val="2"/>
      </rPr>
      <t xml:space="preserve">
organizzazioni private senza scopo di lucro</t>
    </r>
  </si>
  <si>
    <r>
      <t>567</t>
    </r>
    <r>
      <rPr>
        <b/>
        <sz val="6"/>
        <rFont val="Arial Narrow"/>
        <family val="2"/>
      </rPr>
      <t xml:space="preserve">
economie private</t>
    </r>
  </si>
  <si>
    <r>
      <t xml:space="preserve">61
</t>
    </r>
    <r>
      <rPr>
        <b/>
        <sz val="6"/>
        <rFont val="Arial Narrow"/>
        <family val="2"/>
      </rPr>
      <t>rimborso di investimenti per conto terzi</t>
    </r>
  </si>
  <si>
    <r>
      <t>600</t>
    </r>
    <r>
      <rPr>
        <b/>
        <sz val="6"/>
        <rFont val="Arial Narrow"/>
        <family val="2"/>
      </rPr>
      <t xml:space="preserve">
trasferimento di terreni</t>
    </r>
  </si>
  <si>
    <r>
      <t>611</t>
    </r>
    <r>
      <rPr>
        <b/>
        <sz val="6"/>
        <rFont val="Arial Narrow"/>
        <family val="2"/>
      </rPr>
      <t xml:space="preserve">
strade, vie di comunicazione</t>
    </r>
  </si>
  <si>
    <r>
      <t>613</t>
    </r>
    <r>
      <rPr>
        <b/>
        <sz val="6"/>
        <rFont val="Arial Narrow"/>
        <family val="2"/>
      </rPr>
      <t xml:space="preserve">
altre opere del genio civile</t>
    </r>
  </si>
  <si>
    <r>
      <t>614</t>
    </r>
    <r>
      <rPr>
        <b/>
        <sz val="6"/>
        <rFont val="Arial Narrow"/>
        <family val="2"/>
      </rPr>
      <t xml:space="preserve">
immobili</t>
    </r>
  </si>
  <si>
    <r>
      <t>615</t>
    </r>
    <r>
      <rPr>
        <b/>
        <sz val="6"/>
        <rFont val="Arial Narrow"/>
        <family val="2"/>
      </rPr>
      <t xml:space="preserve">
boschi</t>
    </r>
  </si>
  <si>
    <r>
      <t>616</t>
    </r>
    <r>
      <rPr>
        <b/>
        <sz val="6"/>
        <rFont val="Arial Narrow"/>
        <family val="2"/>
      </rPr>
      <t xml:space="preserve">
beni mobili</t>
    </r>
  </si>
  <si>
    <r>
      <t>630</t>
    </r>
    <r>
      <rPr>
        <b/>
        <sz val="6"/>
        <rFont val="Arial Narrow"/>
        <family val="2"/>
      </rPr>
      <t xml:space="preserve">
Confederazione</t>
    </r>
  </si>
  <si>
    <r>
      <t>631</t>
    </r>
    <r>
      <rPr>
        <b/>
        <sz val="6"/>
        <rFont val="Arial Narrow"/>
        <family val="2"/>
      </rPr>
      <t xml:space="preserve">
Cantone</t>
    </r>
  </si>
  <si>
    <r>
      <t>632</t>
    </r>
    <r>
      <rPr>
        <b/>
        <sz val="6"/>
        <rFont val="Arial Narrow"/>
        <family val="2"/>
      </rPr>
      <t xml:space="preserve">
comuni, consorzi e altri enti locali</t>
    </r>
  </si>
  <si>
    <r>
      <t>634</t>
    </r>
    <r>
      <rPr>
        <b/>
        <sz val="6"/>
        <rFont val="Arial Narrow"/>
        <family val="2"/>
      </rPr>
      <t xml:space="preserve">
imprese pubbliche</t>
    </r>
  </si>
  <si>
    <r>
      <t>635</t>
    </r>
    <r>
      <rPr>
        <b/>
        <sz val="6"/>
        <rFont val="Arial Narrow"/>
        <family val="2"/>
      </rPr>
      <t xml:space="preserve">
imprese private</t>
    </r>
  </si>
  <si>
    <r>
      <t>636</t>
    </r>
    <r>
      <rPr>
        <b/>
        <sz val="6"/>
        <rFont val="Arial Narrow"/>
        <family val="2"/>
      </rPr>
      <t xml:space="preserve">
organizzazioni private senza scopo di lucro</t>
    </r>
  </si>
  <si>
    <r>
      <t>637</t>
    </r>
    <r>
      <rPr>
        <b/>
        <sz val="6"/>
        <rFont val="Arial Narrow"/>
        <family val="2"/>
      </rPr>
      <t xml:space="preserve">
economie private</t>
    </r>
  </si>
  <si>
    <r>
      <t>639</t>
    </r>
    <r>
      <rPr>
        <b/>
        <sz val="6"/>
        <rFont val="Arial Narrow"/>
        <family val="2"/>
      </rPr>
      <t xml:space="preserve">
altri contributi per investimenti</t>
    </r>
  </si>
  <si>
    <r>
      <t>642</t>
    </r>
    <r>
      <rPr>
        <b/>
        <sz val="6"/>
        <rFont val="Arial Narrow"/>
        <family val="2"/>
      </rPr>
      <t xml:space="preserve">
comuni, consorzi e altri enti locali</t>
    </r>
  </si>
  <si>
    <r>
      <t>644</t>
    </r>
    <r>
      <rPr>
        <b/>
        <sz val="6"/>
        <rFont val="Arial Narrow"/>
        <family val="2"/>
      </rPr>
      <t xml:space="preserve">
imprese pubbliche</t>
    </r>
  </si>
  <si>
    <r>
      <t>645</t>
    </r>
    <r>
      <rPr>
        <b/>
        <sz val="6"/>
        <rFont val="Arial Narrow"/>
        <family val="2"/>
      </rPr>
      <t xml:space="preserve">
imprese private</t>
    </r>
  </si>
  <si>
    <r>
      <t>646</t>
    </r>
    <r>
      <rPr>
        <b/>
        <sz val="6"/>
        <rFont val="Arial Narrow"/>
        <family val="2"/>
      </rPr>
      <t xml:space="preserve">
organizzazioni private senza scopo di lucro</t>
    </r>
  </si>
  <si>
    <r>
      <t>647</t>
    </r>
    <r>
      <rPr>
        <b/>
        <sz val="6"/>
        <rFont val="Arial Narrow"/>
        <family val="2"/>
      </rPr>
      <t xml:space="preserve">
economie private</t>
    </r>
  </si>
  <si>
    <r>
      <t>654</t>
    </r>
    <r>
      <rPr>
        <b/>
        <sz val="6"/>
        <rFont val="Arial Narrow"/>
        <family val="2"/>
      </rPr>
      <t xml:space="preserve">
imprese pubbliche</t>
    </r>
  </si>
  <si>
    <r>
      <t>665</t>
    </r>
    <r>
      <rPr>
        <b/>
        <sz val="6"/>
        <rFont val="Arial Narrow"/>
        <family val="2"/>
      </rPr>
      <t xml:space="preserve">
imprese private</t>
    </r>
  </si>
  <si>
    <t>https://www4.ti.ch/di/sel/comuni/dati-finanziari/statistica-finanziaria</t>
  </si>
  <si>
    <t>dati relativi ai comuni con contabilità del servizio integrata a quella comunale</t>
  </si>
  <si>
    <t>Risultato</t>
  </si>
  <si>
    <t>Grado di 
copertura (%)</t>
  </si>
  <si>
    <t>Losone [**]</t>
  </si>
  <si>
    <t>NB 1: Il Comune di Breggia è escluso in quanto al momento costituisce un caso di rigore</t>
  </si>
  <si>
    <t>[**] limitatamente ad Arcegno</t>
  </si>
  <si>
    <t>Spese
(senza 3511.3)</t>
  </si>
  <si>
    <t>Ricavi
(senza 4511.3)</t>
  </si>
  <si>
    <t>Fondo rifiuti 
al 31.12</t>
  </si>
  <si>
    <t>Quota delle spese per interessi</t>
  </si>
  <si>
    <t>Quota degli investimenti</t>
  </si>
  <si>
    <t>Quota di capitale proprio</t>
  </si>
  <si>
    <r>
      <t>MEDIANA</t>
    </r>
    <r>
      <rPr>
        <b/>
        <vertAlign val="superscript"/>
        <sz val="8"/>
        <rFont val="Arial Narrow"/>
        <family val="2"/>
      </rPr>
      <t xml:space="preserve">2 </t>
    </r>
  </si>
  <si>
    <r>
      <rPr>
        <vertAlign val="superscript"/>
        <sz val="7"/>
        <rFont val="Arial Narrow"/>
        <family val="2"/>
      </rPr>
      <t>1</t>
    </r>
    <r>
      <rPr>
        <sz val="7"/>
        <rFont val="Arial Narrow"/>
        <family val="2"/>
      </rPr>
      <t xml:space="preserve"> dato non calcolato se investimenti netti &lt;=0</t>
    </r>
  </si>
  <si>
    <r>
      <rPr>
        <vertAlign val="superscript"/>
        <sz val="7"/>
        <rFont val="Arial Narrow"/>
        <family val="2"/>
      </rPr>
      <t>2</t>
    </r>
    <r>
      <rPr>
        <sz val="7"/>
        <rFont val="Arial Narrow"/>
        <family val="2"/>
      </rPr>
      <t xml:space="preserve"> la mediana è il numero che occupa la posizione centrale di un insieme di numeri, quindi la metà dei comuni ha un valore superiore alla mediana e l'altra metà un valore inferiore</t>
    </r>
  </si>
  <si>
    <t>Tabella 9</t>
  </si>
  <si>
    <t>Tabella 10</t>
  </si>
  <si>
    <t>Tabella 10a</t>
  </si>
  <si>
    <t>Tabella 10b</t>
  </si>
  <si>
    <t>Tabella 10c</t>
  </si>
  <si>
    <t>Alcuni valori indicativi</t>
  </si>
  <si>
    <t>Spese del conto economico per genere a due cifre</t>
  </si>
  <si>
    <t>Ricavi del conto economico per genere a due cifre</t>
  </si>
  <si>
    <t>Spese del conto economico per genere a tre cifre</t>
  </si>
  <si>
    <t>Ricavi del conto economico per genere a tre cifre</t>
  </si>
  <si>
    <t xml:space="preserve">Conto economico </t>
  </si>
  <si>
    <t>Ripartizione funzionale a una cifra del conto economico</t>
  </si>
  <si>
    <t>Tabella 11</t>
  </si>
  <si>
    <t>Tabella 11a</t>
  </si>
  <si>
    <t>Tabella 11b</t>
  </si>
  <si>
    <t>Conto degli investimenti e Conto di finanziamento</t>
  </si>
  <si>
    <t>Conto degli investimenti per genere a due cifre</t>
  </si>
  <si>
    <t>Uscite del conto degli investimenti per genere a tre cifre</t>
  </si>
  <si>
    <t>Entrate del conto degli investimenti per genere a tre cifre</t>
  </si>
  <si>
    <t>Tabella 12</t>
  </si>
  <si>
    <t>Bilancio patrimoniale</t>
  </si>
  <si>
    <t>Attivi del bilancio patrimoniale per genere a tre cifre</t>
  </si>
  <si>
    <t>Passivi del bilancio patrimoniale per genere a tre cifre</t>
  </si>
  <si>
    <t>Tabella 13</t>
  </si>
  <si>
    <t>Indicatori finanziari</t>
  </si>
  <si>
    <t>Tabella 14</t>
  </si>
  <si>
    <t>Servizio approvvigionamento idrico</t>
  </si>
  <si>
    <t>Servizio gestione rifiuti</t>
  </si>
  <si>
    <t>Servizi finanziati con tasse causali</t>
  </si>
  <si>
    <r>
      <t>145</t>
    </r>
    <r>
      <rPr>
        <b/>
        <sz val="6"/>
        <rFont val="Arial Narrow"/>
        <family val="2"/>
      </rPr>
      <t xml:space="preserve">
partecipazioni, capitali sociali</t>
    </r>
  </si>
  <si>
    <t>Allegato statistico: dati per comune</t>
  </si>
  <si>
    <t>Risorse fiscali 
pro-capite (fr.)
2022</t>
  </si>
  <si>
    <t>MP persone fisiche</t>
  </si>
  <si>
    <t>MP persone giuridiche</t>
  </si>
  <si>
    <t>MP comunale coordinato (1)</t>
  </si>
  <si>
    <t>Moltiplicatori politici (MP) 2025</t>
  </si>
  <si>
    <t>Spese
(senza 3511.1)</t>
  </si>
  <si>
    <t>Ricavi
(senza 4511.1)</t>
  </si>
  <si>
    <t>Fondo approvigionamento idrico al 31.12</t>
  </si>
  <si>
    <t>Beni patrimoniali</t>
  </si>
  <si>
    <t>Beni ammi-nistrativi</t>
  </si>
  <si>
    <t>Capitale proprio</t>
  </si>
  <si>
    <t>Uscite per investimenti</t>
  </si>
  <si>
    <t>Entrate per investimenti</t>
  </si>
  <si>
    <t>ONERE NETTO PER INVESTIMENTI</t>
  </si>
  <si>
    <t>Autofinanziamento</t>
  </si>
  <si>
    <t>Popolazione 
residente al 
31.12.2024</t>
  </si>
  <si>
    <t>(1) rapporto tra la somma delle imposte comunali PF+PG (applicando i rispettivi MP al gettito di tre anni prima) e il gettito base cantonale PF+PG (gettito di tre anni prima)</t>
  </si>
  <si>
    <t>Sant'Antonino [*]</t>
  </si>
  <si>
    <t>Nota: dettaglio ulteriore a due e tre cifre pubblicato separatamente sul sito della Sezione degli enti locali, tabella DettaglioFunzionale2024.xlsx</t>
  </si>
  <si>
    <r>
      <t>515</t>
    </r>
    <r>
      <rPr>
        <b/>
        <sz val="6"/>
        <rFont val="Arial Narrow"/>
        <family val="2"/>
      </rPr>
      <t xml:space="preserve">
boschi</t>
    </r>
  </si>
  <si>
    <r>
      <t>519</t>
    </r>
    <r>
      <rPr>
        <b/>
        <sz val="6"/>
        <rFont val="Arial Narrow"/>
        <family val="2"/>
      </rPr>
      <t xml:space="preserve">
altri investimenti materiali</t>
    </r>
  </si>
  <si>
    <r>
      <t>603</t>
    </r>
    <r>
      <rPr>
        <b/>
        <sz val="6"/>
        <rFont val="Arial Narrow"/>
        <family val="2"/>
      </rPr>
      <t xml:space="preserve">
trasferimento altre opere del genio civile</t>
    </r>
  </si>
  <si>
    <r>
      <t>604</t>
    </r>
    <r>
      <rPr>
        <b/>
        <sz val="6"/>
        <rFont val="Arial Narrow"/>
        <family val="2"/>
      </rPr>
      <t xml:space="preserve">
trasferimento di immobili</t>
    </r>
  </si>
  <si>
    <r>
      <t>606</t>
    </r>
    <r>
      <rPr>
        <b/>
        <sz val="6"/>
        <rFont val="Arial Narrow"/>
        <family val="2"/>
      </rPr>
      <t xml:space="preserve">
trasferimento di beni mobili</t>
    </r>
  </si>
  <si>
    <r>
      <t>652</t>
    </r>
    <r>
      <rPr>
        <b/>
        <sz val="6"/>
        <rFont val="Arial Narrow"/>
        <family val="2"/>
      </rPr>
      <t xml:space="preserve">
comuni, consorzi e altri enti locali</t>
    </r>
  </si>
  <si>
    <r>
      <t>432</t>
    </r>
    <r>
      <rPr>
        <b/>
        <sz val="6"/>
        <rFont val="Arial Narrow"/>
        <family val="2"/>
      </rPr>
      <t xml:space="preserve">
variazione consistenze</t>
    </r>
  </si>
  <si>
    <t>non calcolato</t>
  </si>
  <si>
    <t>Risultato in punti di moltiplicatore aritmetico</t>
  </si>
  <si>
    <t>Quota delle eccedenze di bilancio</t>
  </si>
  <si>
    <t>Tasso di indebita-mento netto I</t>
  </si>
  <si>
    <r>
      <t>Grado di autofinan-ziamento</t>
    </r>
    <r>
      <rPr>
        <vertAlign val="superscript"/>
        <sz val="8"/>
        <rFont val="Arial Narrow"/>
        <family val="2"/>
      </rPr>
      <t>1</t>
    </r>
  </si>
  <si>
    <t>DP netto I in franchi procapite</t>
  </si>
  <si>
    <t>Debito pubblico (DP) netto I
(1'000 fr.)</t>
  </si>
  <si>
    <t>MEDIA</t>
  </si>
  <si>
    <t>Tabella 8</t>
  </si>
  <si>
    <t>Tabella 9a</t>
  </si>
  <si>
    <t>Tabella 9b</t>
  </si>
  <si>
    <t>Tabella 9c</t>
  </si>
  <si>
    <t>Tabella 9d</t>
  </si>
  <si>
    <t>Tabella 9e</t>
  </si>
  <si>
    <t>Tabella 8 Alcuni valori indicativi, 2024</t>
  </si>
  <si>
    <t>Tabella 14 Servizio gestione rifiuti, in 1'000 fr., 2024</t>
  </si>
  <si>
    <t>Tabella 13 Servizio approvigionamento idrico, in 1'000 fr., 2024</t>
  </si>
  <si>
    <t>Tabella 12 Indicatori finanziari, 2024</t>
  </si>
  <si>
    <t>Tabella 11b Passivi del bilancio patrimoniale per genere a tre cifre, in 1'000 fr., 2024</t>
  </si>
  <si>
    <t>Tabella 11a Attivi del bilancio patrimoniale per genere a tre cifre, in 1'000 fr., 2024</t>
  </si>
  <si>
    <t>Tabella 11 Bilancio patrimoniale, in 1'000 fr., 2024</t>
  </si>
  <si>
    <t>Tabella 10c Entrate del conto degli investimenti per genere a tre cifre, in 1'000 fr, 2024</t>
  </si>
  <si>
    <t>Tabella 10b Uscite del conto degli investimenti per genere a tre cifre, in 1'000 fr, 2024</t>
  </si>
  <si>
    <t>Tabella 10a Conto degli investimenti per genere a due cifre, in 1'000 fr, 2024</t>
  </si>
  <si>
    <t>Tabella 10 Conto degli investimenti e Conto di finanziamento, in 1'000 fr., 2024</t>
  </si>
  <si>
    <t>Tabella 9e Ripartizione funzionale a una cifra del conto economico, in 1'000 fr., 2024</t>
  </si>
  <si>
    <t>Tabella 9c Spese del conto economico per genere a tre cifre (con imputazioni interne), in 1'000 fr, 2024</t>
  </si>
  <si>
    <t>Tabella 9b Ricavi del conto economico per genere a due cifre (con imputazioni interne), in 1'000 fr, 2024</t>
  </si>
  <si>
    <t>Tabella 9a Spese del conto economico per genere a due cifre (con imputazioni interne), in 1'000 fr, 2024</t>
  </si>
  <si>
    <t>Tabella 9 Conto economico (senza imputazioni interne), in 1'000 fr., 2024</t>
  </si>
  <si>
    <t>Tabella 9d Ricavi del conto economico per genere a tre cifre (con imputazioni interne), in 1'000 fr,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</si>
</sst>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 * #,##0_ ;_ * \-#,##0_ ;_ * &quot;-&quot;_ ;_ @_ "/>
    <numFmt numFmtId="43" formatCode="_ * #,##0.00_ ;_ * \-#,##0.00_ ;_ * &quot;-&quot;??_ ;_ @_ "/>
    <numFmt numFmtId="164" formatCode="_ * #,##0.0_ ;_ * \-#,##0.0_ ;_ * &quot;-&quot;?_ ;_ @_ "/>
    <numFmt numFmtId="165" formatCode="_ * #,##0.0_ ;_ * \-#,##0.0_ ;_ * &quot;-&quot;??_ ;_ @_ "/>
    <numFmt numFmtId="166" formatCode="#,##0.0"/>
    <numFmt numFmtId="167" formatCode="_ * #,##0_ ;_ * \-#,##0_ ;_ * &quot;-&quot;??_ ;_ @_ "/>
    <numFmt numFmtId="168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Narrow"/>
      <family val="2"/>
    </font>
    <font>
      <sz val="10"/>
      <name val="Arial Narrow"/>
      <family val="2"/>
    </font>
    <font>
      <b/>
      <sz val="12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b/>
      <sz val="9"/>
      <name val="Arial Narrow"/>
      <family val="2"/>
    </font>
    <font>
      <sz val="7"/>
      <name val="Arial Narrow"/>
      <family val="2"/>
    </font>
    <font>
      <b/>
      <sz val="7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i/>
      <sz val="8"/>
      <name val="Arial Narrow"/>
      <family val="2"/>
    </font>
    <font>
      <i/>
      <sz val="9"/>
      <name val="Arial Narrow"/>
      <family val="2"/>
    </font>
    <font>
      <b/>
      <sz val="6"/>
      <name val="Arial Narrow"/>
      <family val="2"/>
    </font>
    <font>
      <b/>
      <sz val="8"/>
      <color theme="1"/>
      <name val="Arial Narrow"/>
      <family val="2"/>
    </font>
    <font>
      <b/>
      <sz val="7"/>
      <color theme="1"/>
      <name val="Arial Narrow"/>
      <family val="2"/>
    </font>
    <font>
      <sz val="8"/>
      <color theme="1"/>
      <name val="Arial Narrow"/>
      <family val="2"/>
    </font>
    <font>
      <b/>
      <sz val="7"/>
      <color indexed="8"/>
      <name val="Arial Narrow"/>
      <family val="2"/>
    </font>
    <font>
      <b/>
      <sz val="8"/>
      <color indexed="8"/>
      <name val="Arial Narrow"/>
      <family val="2"/>
    </font>
    <font>
      <b/>
      <sz val="6.5"/>
      <color indexed="8"/>
      <name val="Arial Narrow"/>
      <family val="2"/>
    </font>
    <font>
      <i/>
      <sz val="7"/>
      <name val="Arial Narrow"/>
      <family val="2"/>
    </font>
    <font>
      <i/>
      <sz val="7.5"/>
      <name val="Arial Narrow"/>
      <family val="2"/>
    </font>
    <font>
      <u/>
      <sz val="11"/>
      <color theme="10"/>
      <name val="Calibri"/>
      <family val="2"/>
      <scheme val="minor"/>
    </font>
    <font>
      <u/>
      <sz val="8"/>
      <color theme="10"/>
      <name val="Arial Narrow"/>
      <family val="2"/>
    </font>
    <font>
      <sz val="11"/>
      <name val="Arial Narrow"/>
      <family val="2"/>
    </font>
    <font>
      <vertAlign val="superscript"/>
      <sz val="7"/>
      <name val="Arial Narrow"/>
      <family val="2"/>
    </font>
    <font>
      <vertAlign val="superscript"/>
      <sz val="8"/>
      <name val="Arial Narrow"/>
      <family val="2"/>
    </font>
    <font>
      <b/>
      <vertAlign val="superscript"/>
      <sz val="8"/>
      <name val="Arial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CD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97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center"/>
    </xf>
    <xf numFmtId="1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2" xfId="0" applyFont="1" applyFill="1" applyBorder="1" applyAlignment="1">
      <alignment horizontal="right" vertical="center" wrapText="1"/>
    </xf>
    <xf numFmtId="0" fontId="2" fillId="0" borderId="2" xfId="0" applyFont="1" applyBorder="1"/>
    <xf numFmtId="3" fontId="2" fillId="0" borderId="2" xfId="0" applyNumberFormat="1" applyFont="1" applyBorder="1"/>
    <xf numFmtId="0" fontId="2" fillId="0" borderId="2" xfId="0" applyFont="1" applyBorder="1" applyAlignment="1">
      <alignment horizontal="right"/>
    </xf>
    <xf numFmtId="41" fontId="2" fillId="0" borderId="2" xfId="0" applyNumberFormat="1" applyFont="1" applyBorder="1"/>
    <xf numFmtId="4" fontId="2" fillId="0" borderId="2" xfId="0" applyNumberFormat="1" applyFont="1" applyBorder="1" applyAlignment="1">
      <alignment horizontal="right"/>
    </xf>
    <xf numFmtId="0" fontId="5" fillId="0" borderId="0" xfId="0" applyFont="1"/>
    <xf numFmtId="0" fontId="6" fillId="3" borderId="2" xfId="0" applyFont="1" applyFill="1" applyBorder="1" applyAlignment="1">
      <alignment horizontal="left"/>
    </xf>
    <xf numFmtId="3" fontId="6" fillId="3" borderId="2" xfId="0" applyNumberFormat="1" applyFont="1" applyFill="1" applyBorder="1" applyAlignment="1">
      <alignment horizontal="right"/>
    </xf>
    <xf numFmtId="2" fontId="6" fillId="4" borderId="2" xfId="0" applyNumberFormat="1" applyFont="1" applyFill="1" applyBorder="1" applyAlignment="1">
      <alignment horizontal="right"/>
    </xf>
    <xf numFmtId="0" fontId="8" fillId="0" borderId="0" xfId="0" applyFont="1" applyAlignment="1">
      <alignment horizontal="left"/>
    </xf>
    <xf numFmtId="1" fontId="8" fillId="0" borderId="0" xfId="0" applyNumberFormat="1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/>
    <xf numFmtId="0" fontId="8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4" fillId="2" borderId="0" xfId="0" applyFont="1" applyFill="1" applyAlignment="1">
      <alignment vertical="top"/>
    </xf>
    <xf numFmtId="0" fontId="5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164" fontId="6" fillId="2" borderId="0" xfId="0" applyNumberFormat="1" applyFont="1" applyFill="1" applyAlignment="1">
      <alignment vertical="top"/>
    </xf>
    <xf numFmtId="0" fontId="5" fillId="0" borderId="0" xfId="0" applyFont="1" applyAlignment="1">
      <alignment vertical="top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6" fillId="5" borderId="2" xfId="0" applyFont="1" applyFill="1" applyBorder="1" applyAlignment="1">
      <alignment horizontal="right" vertical="center" wrapText="1"/>
    </xf>
    <xf numFmtId="164" fontId="6" fillId="2" borderId="2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/>
    <xf numFmtId="164" fontId="6" fillId="0" borderId="1" xfId="0" applyNumberFormat="1" applyFont="1" applyBorder="1"/>
    <xf numFmtId="164" fontId="2" fillId="0" borderId="2" xfId="0" applyNumberFormat="1" applyFont="1" applyBorder="1"/>
    <xf numFmtId="164" fontId="6" fillId="0" borderId="2" xfId="0" applyNumberFormat="1" applyFont="1" applyBorder="1"/>
    <xf numFmtId="164" fontId="6" fillId="5" borderId="2" xfId="0" applyNumberFormat="1" applyFont="1" applyFill="1" applyBorder="1"/>
    <xf numFmtId="164" fontId="6" fillId="3" borderId="2" xfId="0" applyNumberFormat="1" applyFont="1" applyFill="1" applyBorder="1"/>
    <xf numFmtId="164" fontId="8" fillId="0" borderId="0" xfId="0" applyNumberFormat="1" applyFont="1"/>
    <xf numFmtId="164" fontId="9" fillId="0" borderId="0" xfId="0" applyNumberFormat="1" applyFont="1"/>
    <xf numFmtId="0" fontId="7" fillId="0" borderId="0" xfId="0" applyFont="1"/>
    <xf numFmtId="164" fontId="6" fillId="0" borderId="0" xfId="0" applyNumberFormat="1" applyFont="1"/>
    <xf numFmtId="0" fontId="3" fillId="2" borderId="0" xfId="0" applyFont="1" applyFill="1"/>
    <xf numFmtId="0" fontId="10" fillId="2" borderId="0" xfId="0" applyFont="1" applyFill="1"/>
    <xf numFmtId="164" fontId="11" fillId="2" borderId="0" xfId="0" applyNumberFormat="1" applyFont="1" applyFill="1"/>
    <xf numFmtId="0" fontId="3" fillId="0" borderId="0" xfId="0" applyFont="1"/>
    <xf numFmtId="0" fontId="6" fillId="2" borderId="2" xfId="0" applyFont="1" applyFill="1" applyBorder="1" applyAlignment="1">
      <alignment horizontal="right" vertical="top" wrapText="1"/>
    </xf>
    <xf numFmtId="166" fontId="6" fillId="2" borderId="2" xfId="0" applyNumberFormat="1" applyFont="1" applyFill="1" applyBorder="1" applyAlignment="1">
      <alignment horizontal="right" vertical="top" wrapText="1"/>
    </xf>
    <xf numFmtId="164" fontId="6" fillId="2" borderId="2" xfId="0" applyNumberFormat="1" applyFont="1" applyFill="1" applyBorder="1" applyAlignment="1">
      <alignment horizontal="right" vertical="top" wrapText="1"/>
    </xf>
    <xf numFmtId="0" fontId="6" fillId="0" borderId="0" xfId="0" applyFont="1" applyAlignment="1">
      <alignment horizontal="right" vertical="top"/>
    </xf>
    <xf numFmtId="164" fontId="2" fillId="0" borderId="2" xfId="0" applyNumberFormat="1" applyFont="1" applyBorder="1" applyAlignment="1">
      <alignment horizontal="right"/>
    </xf>
    <xf numFmtId="164" fontId="5" fillId="0" borderId="0" xfId="0" applyNumberFormat="1" applyFont="1"/>
    <xf numFmtId="164" fontId="12" fillId="0" borderId="2" xfId="0" applyNumberFormat="1" applyFont="1" applyBorder="1" applyAlignment="1">
      <alignment horizontal="right"/>
    </xf>
    <xf numFmtId="0" fontId="13" fillId="0" borderId="0" xfId="0" applyFont="1"/>
    <xf numFmtId="164" fontId="7" fillId="0" borderId="0" xfId="0" applyNumberFormat="1" applyFont="1"/>
    <xf numFmtId="0" fontId="10" fillId="0" borderId="0" xfId="0" applyFont="1"/>
    <xf numFmtId="164" fontId="11" fillId="0" borderId="0" xfId="0" applyNumberFormat="1" applyFont="1"/>
    <xf numFmtId="0" fontId="4" fillId="6" borderId="0" xfId="0" applyFont="1" applyFill="1" applyAlignment="1">
      <alignment vertical="top"/>
    </xf>
    <xf numFmtId="0" fontId="5" fillId="6" borderId="0" xfId="0" applyFont="1" applyFill="1" applyAlignment="1">
      <alignment vertical="top"/>
    </xf>
    <xf numFmtId="0" fontId="13" fillId="6" borderId="0" xfId="0" applyFont="1" applyFill="1" applyAlignment="1">
      <alignment vertical="top"/>
    </xf>
    <xf numFmtId="0" fontId="2" fillId="6" borderId="0" xfId="0" applyFont="1" applyFill="1" applyAlignment="1">
      <alignment vertical="top"/>
    </xf>
    <xf numFmtId="0" fontId="3" fillId="6" borderId="0" xfId="0" applyFont="1" applyFill="1" applyAlignment="1">
      <alignment vertical="top"/>
    </xf>
    <xf numFmtId="0" fontId="3" fillId="0" borderId="0" xfId="0" applyFont="1" applyAlignment="1">
      <alignment vertical="top"/>
    </xf>
    <xf numFmtId="0" fontId="15" fillId="6" borderId="4" xfId="0" applyFont="1" applyFill="1" applyBorder="1" applyAlignment="1">
      <alignment horizontal="center" vertical="top"/>
    </xf>
    <xf numFmtId="0" fontId="15" fillId="6" borderId="4" xfId="0" applyFont="1" applyFill="1" applyBorder="1" applyAlignment="1">
      <alignment horizontal="center" vertical="top" wrapText="1"/>
    </xf>
    <xf numFmtId="0" fontId="16" fillId="6" borderId="4" xfId="0" applyFont="1" applyFill="1" applyBorder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7" fillId="7" borderId="5" xfId="0" applyFont="1" applyFill="1" applyBorder="1"/>
    <xf numFmtId="165" fontId="17" fillId="7" borderId="5" xfId="1" applyNumberFormat="1" applyFont="1" applyFill="1" applyBorder="1"/>
    <xf numFmtId="0" fontId="17" fillId="0" borderId="0" xfId="0" applyFont="1"/>
    <xf numFmtId="0" fontId="17" fillId="7" borderId="7" xfId="0" applyFont="1" applyFill="1" applyBorder="1"/>
    <xf numFmtId="165" fontId="17" fillId="7" borderId="7" xfId="1" applyNumberFormat="1" applyFont="1" applyFill="1" applyBorder="1"/>
    <xf numFmtId="0" fontId="15" fillId="7" borderId="8" xfId="0" applyFont="1" applyFill="1" applyBorder="1"/>
    <xf numFmtId="165" fontId="15" fillId="7" borderId="8" xfId="1" applyNumberFormat="1" applyFont="1" applyFill="1" applyBorder="1"/>
    <xf numFmtId="0" fontId="15" fillId="0" borderId="0" xfId="0" applyFont="1"/>
    <xf numFmtId="0" fontId="17" fillId="0" borderId="5" xfId="0" applyFont="1" applyBorder="1"/>
    <xf numFmtId="165" fontId="17" fillId="0" borderId="5" xfId="1" applyNumberFormat="1" applyFont="1" applyBorder="1"/>
    <xf numFmtId="0" fontId="17" fillId="0" borderId="7" xfId="0" applyFont="1" applyBorder="1"/>
    <xf numFmtId="165" fontId="17" fillId="0" borderId="7" xfId="1" applyNumberFormat="1" applyFont="1" applyBorder="1"/>
    <xf numFmtId="0" fontId="15" fillId="0" borderId="8" xfId="0" applyFont="1" applyBorder="1"/>
    <xf numFmtId="165" fontId="15" fillId="0" borderId="8" xfId="1" applyNumberFormat="1" applyFont="1" applyBorder="1"/>
    <xf numFmtId="0" fontId="17" fillId="7" borderId="9" xfId="0" applyFont="1" applyFill="1" applyBorder="1"/>
    <xf numFmtId="165" fontId="17" fillId="0" borderId="5" xfId="1" applyNumberFormat="1" applyFont="1" applyFill="1" applyBorder="1"/>
    <xf numFmtId="165" fontId="17" fillId="0" borderId="7" xfId="1" applyNumberFormat="1" applyFont="1" applyFill="1" applyBorder="1"/>
    <xf numFmtId="0" fontId="17" fillId="0" borderId="9" xfId="0" applyFont="1" applyBorder="1"/>
    <xf numFmtId="165" fontId="17" fillId="7" borderId="9" xfId="1" applyNumberFormat="1" applyFont="1" applyFill="1" applyBorder="1"/>
    <xf numFmtId="0" fontId="15" fillId="7" borderId="0" xfId="0" applyFont="1" applyFill="1"/>
    <xf numFmtId="0" fontId="6" fillId="4" borderId="2" xfId="0" applyFont="1" applyFill="1" applyBorder="1" applyAlignment="1">
      <alignment horizontal="left"/>
    </xf>
    <xf numFmtId="0" fontId="15" fillId="4" borderId="4" xfId="0" applyFont="1" applyFill="1" applyBorder="1"/>
    <xf numFmtId="165" fontId="15" fillId="4" borderId="4" xfId="0" applyNumberFormat="1" applyFont="1" applyFill="1" applyBorder="1"/>
    <xf numFmtId="0" fontId="15" fillId="8" borderId="5" xfId="0" applyFont="1" applyFill="1" applyBorder="1"/>
    <xf numFmtId="165" fontId="15" fillId="8" borderId="5" xfId="0" applyNumberFormat="1" applyFont="1" applyFill="1" applyBorder="1"/>
    <xf numFmtId="0" fontId="15" fillId="8" borderId="7" xfId="0" applyFont="1" applyFill="1" applyBorder="1"/>
    <xf numFmtId="0" fontId="6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64" fontId="2" fillId="0" borderId="0" xfId="0" applyNumberFormat="1" applyFont="1"/>
    <xf numFmtId="164" fontId="6" fillId="5" borderId="1" xfId="0" applyNumberFormat="1" applyFont="1" applyFill="1" applyBorder="1"/>
    <xf numFmtId="165" fontId="17" fillId="0" borderId="1" xfId="1" applyNumberFormat="1" applyFont="1" applyFill="1" applyBorder="1" applyAlignment="1">
      <alignment horizontal="right"/>
    </xf>
    <xf numFmtId="165" fontId="15" fillId="5" borderId="1" xfId="1" applyNumberFormat="1" applyFont="1" applyFill="1" applyBorder="1" applyAlignment="1">
      <alignment horizontal="right"/>
    </xf>
    <xf numFmtId="165" fontId="17" fillId="0" borderId="2" xfId="1" applyNumberFormat="1" applyFont="1" applyFill="1" applyBorder="1" applyAlignment="1">
      <alignment horizontal="right"/>
    </xf>
    <xf numFmtId="165" fontId="17" fillId="0" borderId="0" xfId="1" applyNumberFormat="1" applyFont="1" applyFill="1" applyBorder="1" applyAlignment="1">
      <alignment horizontal="right"/>
    </xf>
    <xf numFmtId="164" fontId="2" fillId="0" borderId="3" xfId="0" applyNumberFormat="1" applyFont="1" applyBorder="1"/>
    <xf numFmtId="165" fontId="6" fillId="3" borderId="2" xfId="0" applyNumberFormat="1" applyFont="1" applyFill="1" applyBorder="1"/>
    <xf numFmtId="10" fontId="11" fillId="0" borderId="0" xfId="2" applyNumberFormat="1" applyFont="1" applyAlignment="1"/>
    <xf numFmtId="9" fontId="11" fillId="0" borderId="0" xfId="2" applyFont="1" applyAlignment="1"/>
    <xf numFmtId="167" fontId="5" fillId="0" borderId="0" xfId="1" applyNumberFormat="1" applyFont="1" applyAlignment="1"/>
    <xf numFmtId="0" fontId="11" fillId="0" borderId="0" xfId="0" applyFont="1"/>
    <xf numFmtId="0" fontId="9" fillId="0" borderId="0" xfId="0" applyFont="1"/>
    <xf numFmtId="167" fontId="8" fillId="0" borderId="0" xfId="0" applyNumberFormat="1" applyFont="1"/>
    <xf numFmtId="0" fontId="13" fillId="2" borderId="0" xfId="0" applyFont="1" applyFill="1" applyAlignment="1">
      <alignment vertical="top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right" vertical="center" wrapText="1"/>
    </xf>
    <xf numFmtId="49" fontId="6" fillId="2" borderId="2" xfId="0" applyNumberFormat="1" applyFont="1" applyFill="1" applyBorder="1" applyAlignment="1">
      <alignment horizontal="right" vertical="center" wrapText="1"/>
    </xf>
    <xf numFmtId="49" fontId="3" fillId="0" borderId="0" xfId="0" applyNumberFormat="1" applyFont="1" applyAlignment="1">
      <alignment horizontal="center" vertical="center"/>
    </xf>
    <xf numFmtId="0" fontId="5" fillId="0" borderId="3" xfId="0" applyFont="1" applyBorder="1"/>
    <xf numFmtId="164" fontId="12" fillId="0" borderId="2" xfId="0" applyNumberFormat="1" applyFont="1" applyBorder="1"/>
    <xf numFmtId="164" fontId="21" fillId="0" borderId="0" xfId="0" applyNumberFormat="1" applyFont="1"/>
    <xf numFmtId="43" fontId="5" fillId="0" borderId="0" xfId="0" applyNumberFormat="1" applyFont="1"/>
    <xf numFmtId="49" fontId="22" fillId="2" borderId="2" xfId="0" applyNumberFormat="1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vertical="top"/>
    </xf>
    <xf numFmtId="166" fontId="6" fillId="6" borderId="2" xfId="0" applyNumberFormat="1" applyFont="1" applyFill="1" applyBorder="1" applyAlignment="1">
      <alignment horizontal="right" vertical="top" wrapText="1"/>
    </xf>
    <xf numFmtId="0" fontId="3" fillId="6" borderId="0" xfId="0" applyFont="1" applyFill="1"/>
    <xf numFmtId="165" fontId="6" fillId="4" borderId="2" xfId="0" applyNumberFormat="1" applyFont="1" applyFill="1" applyBorder="1"/>
    <xf numFmtId="164" fontId="3" fillId="0" borderId="0" xfId="0" applyNumberFormat="1" applyFont="1"/>
    <xf numFmtId="0" fontId="24" fillId="0" borderId="0" xfId="3" applyFont="1" applyAlignment="1">
      <alignment horizontal="left" vertical="center"/>
    </xf>
    <xf numFmtId="168" fontId="5" fillId="2" borderId="0" xfId="0" applyNumberFormat="1" applyFont="1" applyFill="1" applyAlignment="1">
      <alignment vertical="top"/>
    </xf>
    <xf numFmtId="0" fontId="25" fillId="2" borderId="0" xfId="0" applyFont="1" applyFill="1" applyAlignment="1">
      <alignment vertical="top"/>
    </xf>
    <xf numFmtId="0" fontId="25" fillId="0" borderId="0" xfId="0" applyFont="1" applyAlignment="1">
      <alignment vertical="top"/>
    </xf>
    <xf numFmtId="165" fontId="2" fillId="0" borderId="2" xfId="0" applyNumberFormat="1" applyFont="1" applyBorder="1"/>
    <xf numFmtId="9" fontId="2" fillId="0" borderId="2" xfId="2" applyFont="1" applyBorder="1" applyAlignment="1" applyProtection="1"/>
    <xf numFmtId="165" fontId="6" fillId="0" borderId="2" xfId="1" applyNumberFormat="1" applyFont="1" applyBorder="1" applyAlignment="1" applyProtection="1"/>
    <xf numFmtId="165" fontId="9" fillId="0" borderId="0" xfId="1" applyNumberFormat="1" applyFont="1" applyFill="1" applyBorder="1" applyAlignment="1"/>
    <xf numFmtId="0" fontId="8" fillId="0" borderId="0" xfId="0" applyFont="1" applyAlignment="1">
      <alignment vertical="top"/>
    </xf>
    <xf numFmtId="164" fontId="21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2" fillId="0" borderId="10" xfId="0" applyFont="1" applyBorder="1" applyAlignment="1">
      <alignment horizontal="left"/>
    </xf>
    <xf numFmtId="168" fontId="2" fillId="2" borderId="2" xfId="0" applyNumberFormat="1" applyFont="1" applyFill="1" applyBorder="1" applyAlignment="1">
      <alignment horizontal="right" vertical="center" wrapText="1"/>
    </xf>
    <xf numFmtId="9" fontId="2" fillId="0" borderId="2" xfId="2" applyFont="1" applyBorder="1" applyAlignment="1">
      <alignment horizontal="right" vertical="center"/>
    </xf>
    <xf numFmtId="168" fontId="2" fillId="0" borderId="2" xfId="0" applyNumberFormat="1" applyFont="1" applyBorder="1" applyAlignment="1">
      <alignment horizontal="right" vertical="center"/>
    </xf>
    <xf numFmtId="165" fontId="2" fillId="0" borderId="2" xfId="1" applyNumberFormat="1" applyFont="1" applyBorder="1" applyAlignment="1">
      <alignment horizontal="right" vertical="center"/>
    </xf>
    <xf numFmtId="167" fontId="2" fillId="0" borderId="2" xfId="1" applyNumberFormat="1" applyFont="1" applyBorder="1" applyAlignment="1">
      <alignment horizontal="right" vertical="center"/>
    </xf>
    <xf numFmtId="9" fontId="2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/>
    <xf numFmtId="168" fontId="6" fillId="4" borderId="2" xfId="2" applyNumberFormat="1" applyFont="1" applyFill="1" applyBorder="1" applyAlignment="1">
      <alignment horizontal="right"/>
    </xf>
    <xf numFmtId="168" fontId="6" fillId="3" borderId="2" xfId="0" applyNumberFormat="1" applyFont="1" applyFill="1" applyBorder="1" applyAlignment="1">
      <alignment horizontal="right"/>
    </xf>
    <xf numFmtId="168" fontId="5" fillId="0" borderId="0" xfId="0" applyNumberFormat="1" applyFont="1"/>
    <xf numFmtId="168" fontId="8" fillId="0" borderId="0" xfId="0" applyNumberFormat="1" applyFont="1"/>
    <xf numFmtId="168" fontId="8" fillId="0" borderId="0" xfId="0" applyNumberFormat="1" applyFont="1" applyAlignment="1">
      <alignment vertical="top"/>
    </xf>
    <xf numFmtId="0" fontId="29" fillId="0" borderId="0" xfId="0" applyFont="1"/>
    <xf numFmtId="0" fontId="29" fillId="0" borderId="0" xfId="0" applyFont="1" applyAlignment="1">
      <alignment horizontal="right"/>
    </xf>
    <xf numFmtId="0" fontId="30" fillId="0" borderId="0" xfId="0" applyFont="1"/>
    <xf numFmtId="0" fontId="31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horizontal="left" vertical="center"/>
    </xf>
    <xf numFmtId="1" fontId="6" fillId="2" borderId="3" xfId="0" applyNumberFormat="1" applyFont="1" applyFill="1" applyBorder="1" applyAlignment="1">
      <alignment horizontal="left" vertical="top" wrapText="1"/>
    </xf>
    <xf numFmtId="0" fontId="7" fillId="0" borderId="0" xfId="0" applyFont="1" applyAlignment="1">
      <alignment vertical="top"/>
    </xf>
    <xf numFmtId="1" fontId="6" fillId="2" borderId="1" xfId="0" applyNumberFormat="1" applyFont="1" applyFill="1" applyBorder="1" applyAlignment="1">
      <alignment horizontal="left" vertical="top" wrapText="1"/>
    </xf>
    <xf numFmtId="1" fontId="2" fillId="2" borderId="2" xfId="0" applyNumberFormat="1" applyFont="1" applyFill="1" applyBorder="1" applyAlignment="1">
      <alignment horizontal="right" vertical="top" wrapText="1"/>
    </xf>
    <xf numFmtId="0" fontId="25" fillId="6" borderId="0" xfId="0" applyFont="1" applyFill="1" applyAlignment="1">
      <alignment vertical="top"/>
    </xf>
    <xf numFmtId="49" fontId="2" fillId="6" borderId="2" xfId="0" applyNumberFormat="1" applyFont="1" applyFill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9" fontId="2" fillId="0" borderId="2" xfId="0" applyNumberFormat="1" applyFont="1" applyBorder="1" applyAlignment="1">
      <alignment horizontal="right" vertical="center" wrapText="1"/>
    </xf>
    <xf numFmtId="9" fontId="2" fillId="0" borderId="1" xfId="2" applyFont="1" applyFill="1" applyBorder="1" applyAlignment="1" applyProtection="1"/>
    <xf numFmtId="0" fontId="2" fillId="0" borderId="3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7" fontId="6" fillId="4" borderId="2" xfId="1" applyNumberFormat="1" applyFont="1" applyFill="1" applyBorder="1" applyAlignment="1">
      <alignment horizontal="right"/>
    </xf>
    <xf numFmtId="168" fontId="6" fillId="3" borderId="2" xfId="2" applyNumberFormat="1" applyFont="1" applyFill="1" applyBorder="1" applyAlignment="1"/>
    <xf numFmtId="168" fontId="6" fillId="4" borderId="2" xfId="0" applyNumberFormat="1" applyFont="1" applyFill="1" applyBorder="1" applyAlignment="1">
      <alignment horizontal="right" wrapText="1"/>
    </xf>
    <xf numFmtId="165" fontId="2" fillId="0" borderId="1" xfId="1" applyNumberFormat="1" applyFont="1" applyBorder="1" applyAlignment="1">
      <alignment horizontal="left"/>
    </xf>
    <xf numFmtId="165" fontId="2" fillId="0" borderId="2" xfId="1" applyNumberFormat="1" applyFont="1" applyBorder="1" applyAlignment="1">
      <alignment horizontal="left"/>
    </xf>
    <xf numFmtId="165" fontId="2" fillId="0" borderId="2" xfId="1" applyNumberFormat="1" applyFont="1" applyBorder="1" applyAlignment="1">
      <alignment horizontal="left" vertical="center"/>
    </xf>
    <xf numFmtId="165" fontId="2" fillId="0" borderId="3" xfId="1" applyNumberFormat="1" applyFont="1" applyBorder="1" applyAlignment="1">
      <alignment horizontal="left"/>
    </xf>
    <xf numFmtId="165" fontId="6" fillId="3" borderId="2" xfId="1" applyNumberFormat="1" applyFont="1" applyFill="1" applyBorder="1"/>
    <xf numFmtId="168" fontId="2" fillId="0" borderId="2" xfId="2" applyNumberFormat="1" applyFont="1" applyBorder="1" applyAlignment="1">
      <alignment horizontal="right" vertical="center"/>
    </xf>
    <xf numFmtId="165" fontId="6" fillId="4" borderId="2" xfId="1" applyNumberFormat="1" applyFont="1" applyFill="1" applyBorder="1" applyAlignment="1">
      <alignment horizontal="right"/>
    </xf>
    <xf numFmtId="167" fontId="6" fillId="3" borderId="2" xfId="0" applyNumberFormat="1" applyFont="1" applyFill="1" applyBorder="1"/>
    <xf numFmtId="1" fontId="6" fillId="2" borderId="2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right" vertical="center" wrapText="1"/>
    </xf>
    <xf numFmtId="165" fontId="17" fillId="7" borderId="6" xfId="1" applyNumberFormat="1" applyFont="1" applyFill="1" applyBorder="1" applyAlignment="1">
      <alignment horizontal="left" vertical="center"/>
    </xf>
    <xf numFmtId="165" fontId="17" fillId="7" borderId="0" xfId="1" applyNumberFormat="1" applyFont="1" applyFill="1" applyBorder="1" applyAlignment="1">
      <alignment horizontal="left" vertical="center"/>
    </xf>
    <xf numFmtId="165" fontId="17" fillId="7" borderId="8" xfId="1" applyNumberFormat="1" applyFont="1" applyFill="1" applyBorder="1" applyAlignment="1">
      <alignment horizontal="left" vertical="center"/>
    </xf>
    <xf numFmtId="165" fontId="17" fillId="0" borderId="6" xfId="1" applyNumberFormat="1" applyFont="1" applyBorder="1" applyAlignment="1">
      <alignment horizontal="left" vertical="center"/>
    </xf>
    <xf numFmtId="165" fontId="17" fillId="0" borderId="0" xfId="1" applyNumberFormat="1" applyFont="1" applyBorder="1" applyAlignment="1">
      <alignment horizontal="left" vertical="center"/>
    </xf>
    <xf numFmtId="165" fontId="17" fillId="0" borderId="8" xfId="1" applyNumberFormat="1" applyFont="1" applyBorder="1" applyAlignment="1">
      <alignment horizontal="left" vertical="center"/>
    </xf>
    <xf numFmtId="165" fontId="17" fillId="0" borderId="6" xfId="1" applyNumberFormat="1" applyFont="1" applyFill="1" applyBorder="1" applyAlignment="1">
      <alignment horizontal="left" vertical="center"/>
    </xf>
    <xf numFmtId="165" fontId="17" fillId="0" borderId="0" xfId="1" applyNumberFormat="1" applyFont="1" applyFill="1" applyBorder="1" applyAlignment="1">
      <alignment horizontal="left" vertical="center"/>
    </xf>
    <xf numFmtId="165" fontId="17" fillId="0" borderId="8" xfId="1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/>
    </xf>
  </cellXfs>
  <cellStyles count="4">
    <cellStyle name="Collegamento ipertestuale" xfId="3" builtinId="8"/>
    <cellStyle name="Migliaia" xfId="1" builtinId="3"/>
    <cellStyle name="Normale" xfId="0" builtinId="0"/>
    <cellStyle name="Percentuale" xfId="2" builtinId="5"/>
  </cellStyles>
  <dxfs count="0"/>
  <tableStyles count="0" defaultTableStyle="TableStyleMedium2" defaultPivotStyle="PivotStyleLight16"/>
  <colors>
    <mruColors>
      <color rgb="FFFFF2CC"/>
      <color rgb="FFFFE6CD"/>
      <color rgb="FFFFCC99"/>
      <color rgb="FFCCE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4.ti.ch/di/sel/comuni/dati-finanziari/statistica-finanziaria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zoomScaleNormal="100" workbookViewId="0">
      <selection activeCell="A21" sqref="A21"/>
    </sheetView>
  </sheetViews>
  <sheetFormatPr defaultColWidth="9.140625" defaultRowHeight="14.25" x14ac:dyDescent="0.2"/>
  <cols>
    <col min="1" max="1" width="13.7109375" style="156" customWidth="1"/>
    <col min="2" max="2" width="1.7109375" style="156" customWidth="1"/>
    <col min="3" max="3" width="58.140625" style="156" customWidth="1"/>
    <col min="4" max="16384" width="9.140625" style="156"/>
  </cols>
  <sheetData>
    <row r="1" spans="1:3" s="160" customFormat="1" ht="58.5" customHeight="1" x14ac:dyDescent="0.35">
      <c r="A1" s="161">
        <v>2024</v>
      </c>
      <c r="B1" s="161"/>
    </row>
    <row r="2" spans="1:3" s="159" customFormat="1" ht="58.5" customHeight="1" x14ac:dyDescent="0.25">
      <c r="A2" s="159" t="s">
        <v>572</v>
      </c>
    </row>
    <row r="3" spans="1:3" s="158" customFormat="1" ht="27" customHeight="1" x14ac:dyDescent="0.25">
      <c r="A3" s="158" t="s">
        <v>607</v>
      </c>
      <c r="C3" s="158" t="s">
        <v>547</v>
      </c>
    </row>
    <row r="4" spans="1:3" ht="27" customHeight="1" x14ac:dyDescent="0.25">
      <c r="A4" s="158" t="s">
        <v>542</v>
      </c>
      <c r="B4" s="158"/>
      <c r="C4" s="158" t="s">
        <v>552</v>
      </c>
    </row>
    <row r="5" spans="1:3" x14ac:dyDescent="0.2">
      <c r="A5" s="157" t="s">
        <v>608</v>
      </c>
      <c r="B5" s="157"/>
      <c r="C5" s="156" t="s">
        <v>548</v>
      </c>
    </row>
    <row r="6" spans="1:3" x14ac:dyDescent="0.2">
      <c r="A6" s="157" t="s">
        <v>609</v>
      </c>
      <c r="B6" s="157"/>
      <c r="C6" s="156" t="s">
        <v>549</v>
      </c>
    </row>
    <row r="7" spans="1:3" x14ac:dyDescent="0.2">
      <c r="A7" s="157" t="s">
        <v>610</v>
      </c>
      <c r="B7" s="157"/>
      <c r="C7" s="156" t="s">
        <v>550</v>
      </c>
    </row>
    <row r="8" spans="1:3" x14ac:dyDescent="0.2">
      <c r="A8" s="157" t="s">
        <v>611</v>
      </c>
      <c r="B8" s="157"/>
      <c r="C8" s="156" t="s">
        <v>551</v>
      </c>
    </row>
    <row r="9" spans="1:3" x14ac:dyDescent="0.2">
      <c r="A9" s="157" t="s">
        <v>612</v>
      </c>
      <c r="B9" s="157"/>
      <c r="C9" s="156" t="s">
        <v>553</v>
      </c>
    </row>
    <row r="10" spans="1:3" ht="27" customHeight="1" x14ac:dyDescent="0.25">
      <c r="A10" s="158" t="s">
        <v>543</v>
      </c>
      <c r="B10" s="158"/>
      <c r="C10" s="158" t="s">
        <v>557</v>
      </c>
    </row>
    <row r="11" spans="1:3" x14ac:dyDescent="0.2">
      <c r="A11" s="157" t="s">
        <v>544</v>
      </c>
      <c r="B11" s="157"/>
      <c r="C11" s="156" t="s">
        <v>558</v>
      </c>
    </row>
    <row r="12" spans="1:3" x14ac:dyDescent="0.2">
      <c r="A12" s="157" t="s">
        <v>545</v>
      </c>
      <c r="B12" s="157"/>
      <c r="C12" s="156" t="s">
        <v>559</v>
      </c>
    </row>
    <row r="13" spans="1:3" x14ac:dyDescent="0.2">
      <c r="A13" s="157" t="s">
        <v>546</v>
      </c>
      <c r="B13" s="157"/>
      <c r="C13" s="156" t="s">
        <v>560</v>
      </c>
    </row>
    <row r="14" spans="1:3" ht="27" customHeight="1" x14ac:dyDescent="0.25">
      <c r="A14" s="158" t="s">
        <v>554</v>
      </c>
      <c r="B14" s="158"/>
      <c r="C14" s="158" t="s">
        <v>562</v>
      </c>
    </row>
    <row r="15" spans="1:3" x14ac:dyDescent="0.2">
      <c r="A15" s="157" t="s">
        <v>555</v>
      </c>
      <c r="B15" s="157"/>
      <c r="C15" s="156" t="s">
        <v>563</v>
      </c>
    </row>
    <row r="16" spans="1:3" x14ac:dyDescent="0.2">
      <c r="A16" s="157" t="s">
        <v>556</v>
      </c>
      <c r="B16" s="157"/>
      <c r="C16" s="156" t="s">
        <v>564</v>
      </c>
    </row>
    <row r="17" spans="1:3" ht="27" customHeight="1" x14ac:dyDescent="0.25">
      <c r="A17" s="158" t="s">
        <v>561</v>
      </c>
      <c r="B17" s="158"/>
      <c r="C17" s="158" t="s">
        <v>566</v>
      </c>
    </row>
    <row r="18" spans="1:3" ht="27" customHeight="1" x14ac:dyDescent="0.25">
      <c r="A18" s="158"/>
      <c r="B18" s="158"/>
      <c r="C18" s="158" t="s">
        <v>570</v>
      </c>
    </row>
    <row r="19" spans="1:3" s="158" customFormat="1" ht="25.5" customHeight="1" x14ac:dyDescent="0.25">
      <c r="A19" s="158" t="s">
        <v>565</v>
      </c>
      <c r="C19" s="158" t="s">
        <v>568</v>
      </c>
    </row>
    <row r="20" spans="1:3" s="158" customFormat="1" ht="25.5" customHeight="1" x14ac:dyDescent="0.25">
      <c r="A20" s="158" t="s">
        <v>567</v>
      </c>
      <c r="C20" s="158" t="s">
        <v>569</v>
      </c>
    </row>
  </sheetData>
  <pageMargins left="0.70866141732283472" right="0.70866141732283472" top="0.74803149606299213" bottom="0.74803149606299213" header="0.31496062992125984" footer="0.31496062992125984"/>
  <pageSetup paperSize="9" firstPageNumber="11" orientation="portrait" useFirstPageNumber="1" horizontalDpi="1200" verticalDpi="1200" r:id="rId1"/>
  <headerFooter>
    <oddFooter>&amp;C&amp;"7,Corsivo"&amp;7- pagina &amp;P -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2"/>
  <sheetViews>
    <sheetView zoomScale="150" zoomScaleNormal="150" workbookViewId="0">
      <pane ySplit="3" topLeftCell="A94" activePane="bottomLeft" state="frozenSplit"/>
      <selection pane="bottomLeft" activeCell="A110" sqref="A110"/>
    </sheetView>
  </sheetViews>
  <sheetFormatPr defaultRowHeight="13.5" x14ac:dyDescent="0.25"/>
  <cols>
    <col min="1" max="1" width="18.7109375" style="25" customWidth="1"/>
    <col min="2" max="2" width="10.5703125" style="25" customWidth="1"/>
    <col min="3" max="5" width="10" style="27" customWidth="1"/>
    <col min="6" max="6" width="10.5703125" style="25" customWidth="1"/>
    <col min="7" max="7" width="10.5703125" style="28" customWidth="1"/>
    <col min="8" max="255" width="9.140625" style="9"/>
    <col min="256" max="256" width="24.140625" style="9" customWidth="1"/>
    <col min="257" max="259" width="14.42578125" style="9" customWidth="1"/>
    <col min="260" max="260" width="14.28515625" style="9" customWidth="1"/>
    <col min="261" max="511" width="9.140625" style="9"/>
    <col min="512" max="512" width="24.140625" style="9" customWidth="1"/>
    <col min="513" max="515" width="14.42578125" style="9" customWidth="1"/>
    <col min="516" max="516" width="14.28515625" style="9" customWidth="1"/>
    <col min="517" max="767" width="9.140625" style="9"/>
    <col min="768" max="768" width="24.140625" style="9" customWidth="1"/>
    <col min="769" max="771" width="14.42578125" style="9" customWidth="1"/>
    <col min="772" max="772" width="14.28515625" style="9" customWidth="1"/>
    <col min="773" max="1023" width="9.140625" style="9"/>
    <col min="1024" max="1024" width="24.140625" style="9" customWidth="1"/>
    <col min="1025" max="1027" width="14.42578125" style="9" customWidth="1"/>
    <col min="1028" max="1028" width="14.28515625" style="9" customWidth="1"/>
    <col min="1029" max="1279" width="9.140625" style="9"/>
    <col min="1280" max="1280" width="24.140625" style="9" customWidth="1"/>
    <col min="1281" max="1283" width="14.42578125" style="9" customWidth="1"/>
    <col min="1284" max="1284" width="14.28515625" style="9" customWidth="1"/>
    <col min="1285" max="1535" width="9.140625" style="9"/>
    <col min="1536" max="1536" width="24.140625" style="9" customWidth="1"/>
    <col min="1537" max="1539" width="14.42578125" style="9" customWidth="1"/>
    <col min="1540" max="1540" width="14.28515625" style="9" customWidth="1"/>
    <col min="1541" max="1791" width="9.140625" style="9"/>
    <col min="1792" max="1792" width="24.140625" style="9" customWidth="1"/>
    <col min="1793" max="1795" width="14.42578125" style="9" customWidth="1"/>
    <col min="1796" max="1796" width="14.28515625" style="9" customWidth="1"/>
    <col min="1797" max="2047" width="9.140625" style="9"/>
    <col min="2048" max="2048" width="24.140625" style="9" customWidth="1"/>
    <col min="2049" max="2051" width="14.42578125" style="9" customWidth="1"/>
    <col min="2052" max="2052" width="14.28515625" style="9" customWidth="1"/>
    <col min="2053" max="2303" width="9.140625" style="9"/>
    <col min="2304" max="2304" width="24.140625" style="9" customWidth="1"/>
    <col min="2305" max="2307" width="14.42578125" style="9" customWidth="1"/>
    <col min="2308" max="2308" width="14.28515625" style="9" customWidth="1"/>
    <col min="2309" max="2559" width="9.140625" style="9"/>
    <col min="2560" max="2560" width="24.140625" style="9" customWidth="1"/>
    <col min="2561" max="2563" width="14.42578125" style="9" customWidth="1"/>
    <col min="2564" max="2564" width="14.28515625" style="9" customWidth="1"/>
    <col min="2565" max="2815" width="9.140625" style="9"/>
    <col min="2816" max="2816" width="24.140625" style="9" customWidth="1"/>
    <col min="2817" max="2819" width="14.42578125" style="9" customWidth="1"/>
    <col min="2820" max="2820" width="14.28515625" style="9" customWidth="1"/>
    <col min="2821" max="3071" width="9.140625" style="9"/>
    <col min="3072" max="3072" width="24.140625" style="9" customWidth="1"/>
    <col min="3073" max="3075" width="14.42578125" style="9" customWidth="1"/>
    <col min="3076" max="3076" width="14.28515625" style="9" customWidth="1"/>
    <col min="3077" max="3327" width="9.140625" style="9"/>
    <col min="3328" max="3328" width="24.140625" style="9" customWidth="1"/>
    <col min="3329" max="3331" width="14.42578125" style="9" customWidth="1"/>
    <col min="3332" max="3332" width="14.28515625" style="9" customWidth="1"/>
    <col min="3333" max="3583" width="9.140625" style="9"/>
    <col min="3584" max="3584" width="24.140625" style="9" customWidth="1"/>
    <col min="3585" max="3587" width="14.42578125" style="9" customWidth="1"/>
    <col min="3588" max="3588" width="14.28515625" style="9" customWidth="1"/>
    <col min="3589" max="3839" width="9.140625" style="9"/>
    <col min="3840" max="3840" width="24.140625" style="9" customWidth="1"/>
    <col min="3841" max="3843" width="14.42578125" style="9" customWidth="1"/>
    <col min="3844" max="3844" width="14.28515625" style="9" customWidth="1"/>
    <col min="3845" max="4095" width="9.140625" style="9"/>
    <col min="4096" max="4096" width="24.140625" style="9" customWidth="1"/>
    <col min="4097" max="4099" width="14.42578125" style="9" customWidth="1"/>
    <col min="4100" max="4100" width="14.28515625" style="9" customWidth="1"/>
    <col min="4101" max="4351" width="9.140625" style="9"/>
    <col min="4352" max="4352" width="24.140625" style="9" customWidth="1"/>
    <col min="4353" max="4355" width="14.42578125" style="9" customWidth="1"/>
    <col min="4356" max="4356" width="14.28515625" style="9" customWidth="1"/>
    <col min="4357" max="4607" width="9.140625" style="9"/>
    <col min="4608" max="4608" width="24.140625" style="9" customWidth="1"/>
    <col min="4609" max="4611" width="14.42578125" style="9" customWidth="1"/>
    <col min="4612" max="4612" width="14.28515625" style="9" customWidth="1"/>
    <col min="4613" max="4863" width="9.140625" style="9"/>
    <col min="4864" max="4864" width="24.140625" style="9" customWidth="1"/>
    <col min="4865" max="4867" width="14.42578125" style="9" customWidth="1"/>
    <col min="4868" max="4868" width="14.28515625" style="9" customWidth="1"/>
    <col min="4869" max="5119" width="9.140625" style="9"/>
    <col min="5120" max="5120" width="24.140625" style="9" customWidth="1"/>
    <col min="5121" max="5123" width="14.42578125" style="9" customWidth="1"/>
    <col min="5124" max="5124" width="14.28515625" style="9" customWidth="1"/>
    <col min="5125" max="5375" width="9.140625" style="9"/>
    <col min="5376" max="5376" width="24.140625" style="9" customWidth="1"/>
    <col min="5377" max="5379" width="14.42578125" style="9" customWidth="1"/>
    <col min="5380" max="5380" width="14.28515625" style="9" customWidth="1"/>
    <col min="5381" max="5631" width="9.140625" style="9"/>
    <col min="5632" max="5632" width="24.140625" style="9" customWidth="1"/>
    <col min="5633" max="5635" width="14.42578125" style="9" customWidth="1"/>
    <col min="5636" max="5636" width="14.28515625" style="9" customWidth="1"/>
    <col min="5637" max="5887" width="9.140625" style="9"/>
    <col min="5888" max="5888" width="24.140625" style="9" customWidth="1"/>
    <col min="5889" max="5891" width="14.42578125" style="9" customWidth="1"/>
    <col min="5892" max="5892" width="14.28515625" style="9" customWidth="1"/>
    <col min="5893" max="6143" width="9.140625" style="9"/>
    <col min="6144" max="6144" width="24.140625" style="9" customWidth="1"/>
    <col min="6145" max="6147" width="14.42578125" style="9" customWidth="1"/>
    <col min="6148" max="6148" width="14.28515625" style="9" customWidth="1"/>
    <col min="6149" max="6399" width="9.140625" style="9"/>
    <col min="6400" max="6400" width="24.140625" style="9" customWidth="1"/>
    <col min="6401" max="6403" width="14.42578125" style="9" customWidth="1"/>
    <col min="6404" max="6404" width="14.28515625" style="9" customWidth="1"/>
    <col min="6405" max="6655" width="9.140625" style="9"/>
    <col min="6656" max="6656" width="24.140625" style="9" customWidth="1"/>
    <col min="6657" max="6659" width="14.42578125" style="9" customWidth="1"/>
    <col min="6660" max="6660" width="14.28515625" style="9" customWidth="1"/>
    <col min="6661" max="6911" width="9.140625" style="9"/>
    <col min="6912" max="6912" width="24.140625" style="9" customWidth="1"/>
    <col min="6913" max="6915" width="14.42578125" style="9" customWidth="1"/>
    <col min="6916" max="6916" width="14.28515625" style="9" customWidth="1"/>
    <col min="6917" max="7167" width="9.140625" style="9"/>
    <col min="7168" max="7168" width="24.140625" style="9" customWidth="1"/>
    <col min="7169" max="7171" width="14.42578125" style="9" customWidth="1"/>
    <col min="7172" max="7172" width="14.28515625" style="9" customWidth="1"/>
    <col min="7173" max="7423" width="9.140625" style="9"/>
    <col min="7424" max="7424" width="24.140625" style="9" customWidth="1"/>
    <col min="7425" max="7427" width="14.42578125" style="9" customWidth="1"/>
    <col min="7428" max="7428" width="14.28515625" style="9" customWidth="1"/>
    <col min="7429" max="7679" width="9.140625" style="9"/>
    <col min="7680" max="7680" width="24.140625" style="9" customWidth="1"/>
    <col min="7681" max="7683" width="14.42578125" style="9" customWidth="1"/>
    <col min="7684" max="7684" width="14.28515625" style="9" customWidth="1"/>
    <col min="7685" max="7935" width="9.140625" style="9"/>
    <col min="7936" max="7936" width="24.140625" style="9" customWidth="1"/>
    <col min="7937" max="7939" width="14.42578125" style="9" customWidth="1"/>
    <col min="7940" max="7940" width="14.28515625" style="9" customWidth="1"/>
    <col min="7941" max="8191" width="9.140625" style="9"/>
    <col min="8192" max="8192" width="24.140625" style="9" customWidth="1"/>
    <col min="8193" max="8195" width="14.42578125" style="9" customWidth="1"/>
    <col min="8196" max="8196" width="14.28515625" style="9" customWidth="1"/>
    <col min="8197" max="8447" width="9.140625" style="9"/>
    <col min="8448" max="8448" width="24.140625" style="9" customWidth="1"/>
    <col min="8449" max="8451" width="14.42578125" style="9" customWidth="1"/>
    <col min="8452" max="8452" width="14.28515625" style="9" customWidth="1"/>
    <col min="8453" max="8703" width="9.140625" style="9"/>
    <col min="8704" max="8704" width="24.140625" style="9" customWidth="1"/>
    <col min="8705" max="8707" width="14.42578125" style="9" customWidth="1"/>
    <col min="8708" max="8708" width="14.28515625" style="9" customWidth="1"/>
    <col min="8709" max="8959" width="9.140625" style="9"/>
    <col min="8960" max="8960" width="24.140625" style="9" customWidth="1"/>
    <col min="8961" max="8963" width="14.42578125" style="9" customWidth="1"/>
    <col min="8964" max="8964" width="14.28515625" style="9" customWidth="1"/>
    <col min="8965" max="9215" width="9.140625" style="9"/>
    <col min="9216" max="9216" width="24.140625" style="9" customWidth="1"/>
    <col min="9217" max="9219" width="14.42578125" style="9" customWidth="1"/>
    <col min="9220" max="9220" width="14.28515625" style="9" customWidth="1"/>
    <col min="9221" max="9471" width="9.140625" style="9"/>
    <col min="9472" max="9472" width="24.140625" style="9" customWidth="1"/>
    <col min="9473" max="9475" width="14.42578125" style="9" customWidth="1"/>
    <col min="9476" max="9476" width="14.28515625" style="9" customWidth="1"/>
    <col min="9477" max="9727" width="9.140625" style="9"/>
    <col min="9728" max="9728" width="24.140625" style="9" customWidth="1"/>
    <col min="9729" max="9731" width="14.42578125" style="9" customWidth="1"/>
    <col min="9732" max="9732" width="14.28515625" style="9" customWidth="1"/>
    <col min="9733" max="9983" width="9.140625" style="9"/>
    <col min="9984" max="9984" width="24.140625" style="9" customWidth="1"/>
    <col min="9985" max="9987" width="14.42578125" style="9" customWidth="1"/>
    <col min="9988" max="9988" width="14.28515625" style="9" customWidth="1"/>
    <col min="9989" max="10239" width="9.140625" style="9"/>
    <col min="10240" max="10240" width="24.140625" style="9" customWidth="1"/>
    <col min="10241" max="10243" width="14.42578125" style="9" customWidth="1"/>
    <col min="10244" max="10244" width="14.28515625" style="9" customWidth="1"/>
    <col min="10245" max="10495" width="9.140625" style="9"/>
    <col min="10496" max="10496" width="24.140625" style="9" customWidth="1"/>
    <col min="10497" max="10499" width="14.42578125" style="9" customWidth="1"/>
    <col min="10500" max="10500" width="14.28515625" style="9" customWidth="1"/>
    <col min="10501" max="10751" width="9.140625" style="9"/>
    <col min="10752" max="10752" width="24.140625" style="9" customWidth="1"/>
    <col min="10753" max="10755" width="14.42578125" style="9" customWidth="1"/>
    <col min="10756" max="10756" width="14.28515625" style="9" customWidth="1"/>
    <col min="10757" max="11007" width="9.140625" style="9"/>
    <col min="11008" max="11008" width="24.140625" style="9" customWidth="1"/>
    <col min="11009" max="11011" width="14.42578125" style="9" customWidth="1"/>
    <col min="11012" max="11012" width="14.28515625" style="9" customWidth="1"/>
    <col min="11013" max="11263" width="9.140625" style="9"/>
    <col min="11264" max="11264" width="24.140625" style="9" customWidth="1"/>
    <col min="11265" max="11267" width="14.42578125" style="9" customWidth="1"/>
    <col min="11268" max="11268" width="14.28515625" style="9" customWidth="1"/>
    <col min="11269" max="11519" width="9.140625" style="9"/>
    <col min="11520" max="11520" width="24.140625" style="9" customWidth="1"/>
    <col min="11521" max="11523" width="14.42578125" style="9" customWidth="1"/>
    <col min="11524" max="11524" width="14.28515625" style="9" customWidth="1"/>
    <col min="11525" max="11775" width="9.140625" style="9"/>
    <col min="11776" max="11776" width="24.140625" style="9" customWidth="1"/>
    <col min="11777" max="11779" width="14.42578125" style="9" customWidth="1"/>
    <col min="11780" max="11780" width="14.28515625" style="9" customWidth="1"/>
    <col min="11781" max="12031" width="9.140625" style="9"/>
    <col min="12032" max="12032" width="24.140625" style="9" customWidth="1"/>
    <col min="12033" max="12035" width="14.42578125" style="9" customWidth="1"/>
    <col min="12036" max="12036" width="14.28515625" style="9" customWidth="1"/>
    <col min="12037" max="12287" width="9.140625" style="9"/>
    <col min="12288" max="12288" width="24.140625" style="9" customWidth="1"/>
    <col min="12289" max="12291" width="14.42578125" style="9" customWidth="1"/>
    <col min="12292" max="12292" width="14.28515625" style="9" customWidth="1"/>
    <col min="12293" max="12543" width="9.140625" style="9"/>
    <col min="12544" max="12544" width="24.140625" style="9" customWidth="1"/>
    <col min="12545" max="12547" width="14.42578125" style="9" customWidth="1"/>
    <col min="12548" max="12548" width="14.28515625" style="9" customWidth="1"/>
    <col min="12549" max="12799" width="9.140625" style="9"/>
    <col min="12800" max="12800" width="24.140625" style="9" customWidth="1"/>
    <col min="12801" max="12803" width="14.42578125" style="9" customWidth="1"/>
    <col min="12804" max="12804" width="14.28515625" style="9" customWidth="1"/>
    <col min="12805" max="13055" width="9.140625" style="9"/>
    <col min="13056" max="13056" width="24.140625" style="9" customWidth="1"/>
    <col min="13057" max="13059" width="14.42578125" style="9" customWidth="1"/>
    <col min="13060" max="13060" width="14.28515625" style="9" customWidth="1"/>
    <col min="13061" max="13311" width="9.140625" style="9"/>
    <col min="13312" max="13312" width="24.140625" style="9" customWidth="1"/>
    <col min="13313" max="13315" width="14.42578125" style="9" customWidth="1"/>
    <col min="13316" max="13316" width="14.28515625" style="9" customWidth="1"/>
    <col min="13317" max="13567" width="9.140625" style="9"/>
    <col min="13568" max="13568" width="24.140625" style="9" customWidth="1"/>
    <col min="13569" max="13571" width="14.42578125" style="9" customWidth="1"/>
    <col min="13572" max="13572" width="14.28515625" style="9" customWidth="1"/>
    <col min="13573" max="13823" width="9.140625" style="9"/>
    <col min="13824" max="13824" width="24.140625" style="9" customWidth="1"/>
    <col min="13825" max="13827" width="14.42578125" style="9" customWidth="1"/>
    <col min="13828" max="13828" width="14.28515625" style="9" customWidth="1"/>
    <col min="13829" max="14079" width="9.140625" style="9"/>
    <col min="14080" max="14080" width="24.140625" style="9" customWidth="1"/>
    <col min="14081" max="14083" width="14.42578125" style="9" customWidth="1"/>
    <col min="14084" max="14084" width="14.28515625" style="9" customWidth="1"/>
    <col min="14085" max="14335" width="9.140625" style="9"/>
    <col min="14336" max="14336" width="24.140625" style="9" customWidth="1"/>
    <col min="14337" max="14339" width="14.42578125" style="9" customWidth="1"/>
    <col min="14340" max="14340" width="14.28515625" style="9" customWidth="1"/>
    <col min="14341" max="14591" width="9.140625" style="9"/>
    <col min="14592" max="14592" width="24.140625" style="9" customWidth="1"/>
    <col min="14593" max="14595" width="14.42578125" style="9" customWidth="1"/>
    <col min="14596" max="14596" width="14.28515625" style="9" customWidth="1"/>
    <col min="14597" max="14847" width="9.140625" style="9"/>
    <col min="14848" max="14848" width="24.140625" style="9" customWidth="1"/>
    <col min="14849" max="14851" width="14.42578125" style="9" customWidth="1"/>
    <col min="14852" max="14852" width="14.28515625" style="9" customWidth="1"/>
    <col min="14853" max="15103" width="9.140625" style="9"/>
    <col min="15104" max="15104" width="24.140625" style="9" customWidth="1"/>
    <col min="15105" max="15107" width="14.42578125" style="9" customWidth="1"/>
    <col min="15108" max="15108" width="14.28515625" style="9" customWidth="1"/>
    <col min="15109" max="15359" width="9.140625" style="9"/>
    <col min="15360" max="15360" width="24.140625" style="9" customWidth="1"/>
    <col min="15361" max="15363" width="14.42578125" style="9" customWidth="1"/>
    <col min="15364" max="15364" width="14.28515625" style="9" customWidth="1"/>
    <col min="15365" max="15615" width="9.140625" style="9"/>
    <col min="15616" max="15616" width="24.140625" style="9" customWidth="1"/>
    <col min="15617" max="15619" width="14.42578125" style="9" customWidth="1"/>
    <col min="15620" max="15620" width="14.28515625" style="9" customWidth="1"/>
    <col min="15621" max="15871" width="9.140625" style="9"/>
    <col min="15872" max="15872" width="24.140625" style="9" customWidth="1"/>
    <col min="15873" max="15875" width="14.42578125" style="9" customWidth="1"/>
    <col min="15876" max="15876" width="14.28515625" style="9" customWidth="1"/>
    <col min="15877" max="16127" width="9.140625" style="9"/>
    <col min="16128" max="16128" width="24.140625" style="9" customWidth="1"/>
    <col min="16129" max="16131" width="14.42578125" style="9" customWidth="1"/>
    <col min="16132" max="16132" width="14.28515625" style="9" customWidth="1"/>
    <col min="16133" max="16384" width="9.140625" style="9"/>
  </cols>
  <sheetData>
    <row r="1" spans="1:7" ht="22.5" customHeight="1" x14ac:dyDescent="0.25">
      <c r="A1" s="5" t="s">
        <v>613</v>
      </c>
      <c r="B1" s="6"/>
      <c r="C1" s="7"/>
      <c r="D1" s="7"/>
      <c r="E1" s="7"/>
      <c r="F1" s="6"/>
      <c r="G1" s="8"/>
    </row>
    <row r="2" spans="1:7" s="163" customFormat="1" ht="24" customHeight="1" x14ac:dyDescent="0.25">
      <c r="A2" s="162"/>
      <c r="B2" s="185" t="s">
        <v>588</v>
      </c>
      <c r="C2" s="184" t="s">
        <v>577</v>
      </c>
      <c r="D2" s="184"/>
      <c r="E2" s="184"/>
      <c r="F2" s="185" t="s">
        <v>573</v>
      </c>
      <c r="G2" s="185" t="s">
        <v>110</v>
      </c>
    </row>
    <row r="3" spans="1:7" s="163" customFormat="1" ht="23.25" customHeight="1" x14ac:dyDescent="0.25">
      <c r="A3" s="164"/>
      <c r="B3" s="186"/>
      <c r="C3" s="165" t="s">
        <v>574</v>
      </c>
      <c r="D3" s="165" t="s">
        <v>575</v>
      </c>
      <c r="E3" s="165" t="s">
        <v>576</v>
      </c>
      <c r="F3" s="186"/>
      <c r="G3" s="186"/>
    </row>
    <row r="4" spans="1:7" s="16" customFormat="1" ht="13.5" customHeight="1" x14ac:dyDescent="0.25">
      <c r="A4" s="11" t="s">
        <v>111</v>
      </c>
      <c r="B4" s="12">
        <v>1796</v>
      </c>
      <c r="C4" s="13">
        <v>95</v>
      </c>
      <c r="D4" s="13">
        <v>95</v>
      </c>
      <c r="E4" s="13">
        <v>95</v>
      </c>
      <c r="F4" s="14">
        <v>3115.7164882577831</v>
      </c>
      <c r="G4" s="15">
        <v>64.22</v>
      </c>
    </row>
    <row r="5" spans="1:7" s="16" customFormat="1" ht="13.9" customHeight="1" x14ac:dyDescent="0.25">
      <c r="A5" s="11" t="s">
        <v>112</v>
      </c>
      <c r="B5" s="12">
        <v>4554</v>
      </c>
      <c r="C5" s="13">
        <v>82</v>
      </c>
      <c r="D5" s="13">
        <v>95</v>
      </c>
      <c r="E5" s="13">
        <v>84</v>
      </c>
      <c r="F5" s="14">
        <v>3268.8098374263104</v>
      </c>
      <c r="G5" s="15">
        <v>94.82</v>
      </c>
    </row>
    <row r="6" spans="1:7" s="16" customFormat="1" ht="13.9" customHeight="1" x14ac:dyDescent="0.25">
      <c r="A6" s="11" t="s">
        <v>113</v>
      </c>
      <c r="B6" s="12">
        <v>1452</v>
      </c>
      <c r="C6" s="13">
        <v>87</v>
      </c>
      <c r="D6" s="13">
        <v>87</v>
      </c>
      <c r="E6" s="13">
        <v>87</v>
      </c>
      <c r="F6" s="14">
        <v>3189.6565782122912</v>
      </c>
      <c r="G6" s="15">
        <v>69.98</v>
      </c>
    </row>
    <row r="7" spans="1:7" s="16" customFormat="1" ht="13.9" customHeight="1" x14ac:dyDescent="0.25">
      <c r="A7" s="11" t="s">
        <v>114</v>
      </c>
      <c r="B7" s="12">
        <v>1390</v>
      </c>
      <c r="C7" s="13">
        <v>90</v>
      </c>
      <c r="D7" s="13">
        <v>90</v>
      </c>
      <c r="E7" s="13">
        <v>90</v>
      </c>
      <c r="F7" s="14">
        <v>3177.8668953068582</v>
      </c>
      <c r="G7" s="15">
        <v>72.81</v>
      </c>
    </row>
    <row r="8" spans="1:7" s="16" customFormat="1" ht="13.9" customHeight="1" x14ac:dyDescent="0.25">
      <c r="A8" s="11" t="s">
        <v>115</v>
      </c>
      <c r="B8" s="12">
        <v>351</v>
      </c>
      <c r="C8" s="13">
        <v>92</v>
      </c>
      <c r="D8" s="13">
        <v>92</v>
      </c>
      <c r="E8" s="13">
        <v>92</v>
      </c>
      <c r="F8" s="14">
        <v>2993.0093074792258</v>
      </c>
      <c r="G8" s="15">
        <v>80.34</v>
      </c>
    </row>
    <row r="9" spans="1:7" s="16" customFormat="1" ht="13.9" customHeight="1" x14ac:dyDescent="0.25">
      <c r="A9" s="11" t="s">
        <v>116</v>
      </c>
      <c r="B9" s="12">
        <v>5160</v>
      </c>
      <c r="C9" s="13">
        <v>91</v>
      </c>
      <c r="D9" s="13">
        <v>91</v>
      </c>
      <c r="E9" s="13">
        <v>91</v>
      </c>
      <c r="F9" s="14">
        <v>2953.4755732700819</v>
      </c>
      <c r="G9" s="15">
        <v>85.21</v>
      </c>
    </row>
    <row r="10" spans="1:7" s="16" customFormat="1" ht="13.9" customHeight="1" x14ac:dyDescent="0.25">
      <c r="A10" s="11" t="s">
        <v>117</v>
      </c>
      <c r="B10" s="12">
        <v>938</v>
      </c>
      <c r="C10" s="13">
        <v>95</v>
      </c>
      <c r="D10" s="13">
        <v>95</v>
      </c>
      <c r="E10" s="13">
        <v>95</v>
      </c>
      <c r="F10" s="14">
        <v>3246.961916230367</v>
      </c>
      <c r="G10" s="15">
        <v>71.400000000000006</v>
      </c>
    </row>
    <row r="11" spans="1:7" s="16" customFormat="1" ht="13.9" customHeight="1" x14ac:dyDescent="0.25">
      <c r="A11" s="11" t="s">
        <v>118</v>
      </c>
      <c r="B11" s="12">
        <v>5322</v>
      </c>
      <c r="C11" s="13">
        <v>75</v>
      </c>
      <c r="D11" s="13">
        <v>75</v>
      </c>
      <c r="E11" s="13">
        <v>75</v>
      </c>
      <c r="F11" s="14">
        <v>6029.6737397635534</v>
      </c>
      <c r="G11" s="15">
        <v>117.91</v>
      </c>
    </row>
    <row r="12" spans="1:7" s="16" customFormat="1" ht="13.9" customHeight="1" x14ac:dyDescent="0.25">
      <c r="A12" s="11" t="s">
        <v>119</v>
      </c>
      <c r="B12" s="12">
        <v>313</v>
      </c>
      <c r="C12" s="13">
        <v>95</v>
      </c>
      <c r="D12" s="13">
        <v>95</v>
      </c>
      <c r="E12" s="13">
        <v>95</v>
      </c>
      <c r="F12" s="14">
        <v>3114.8202341137126</v>
      </c>
      <c r="G12" s="15">
        <v>66.709999999999994</v>
      </c>
    </row>
    <row r="13" spans="1:7" s="16" customFormat="1" ht="13.9" customHeight="1" x14ac:dyDescent="0.25">
      <c r="A13" s="11" t="s">
        <v>120</v>
      </c>
      <c r="B13" s="12">
        <v>1534</v>
      </c>
      <c r="C13" s="13">
        <v>95</v>
      </c>
      <c r="D13" s="13">
        <v>121</v>
      </c>
      <c r="E13" s="13">
        <v>98</v>
      </c>
      <c r="F13" s="14">
        <v>3183.5245215157352</v>
      </c>
      <c r="G13" s="15">
        <v>76.510000000000005</v>
      </c>
    </row>
    <row r="14" spans="1:7" s="16" customFormat="1" ht="13.9" customHeight="1" x14ac:dyDescent="0.25">
      <c r="A14" s="11" t="s">
        <v>121</v>
      </c>
      <c r="B14" s="12">
        <v>3356</v>
      </c>
      <c r="C14" s="13">
        <v>75</v>
      </c>
      <c r="D14" s="13">
        <v>75</v>
      </c>
      <c r="E14" s="13">
        <v>75</v>
      </c>
      <c r="F14" s="14">
        <v>5743.7377727134599</v>
      </c>
      <c r="G14" s="15">
        <v>113.8</v>
      </c>
    </row>
    <row r="15" spans="1:7" s="16" customFormat="1" ht="13.9" customHeight="1" x14ac:dyDescent="0.25">
      <c r="A15" s="11" t="s">
        <v>122</v>
      </c>
      <c r="B15" s="12">
        <v>1510</v>
      </c>
      <c r="C15" s="13">
        <v>78</v>
      </c>
      <c r="D15" s="13">
        <v>78</v>
      </c>
      <c r="E15" s="13">
        <v>78</v>
      </c>
      <c r="F15" s="14">
        <v>4574.7876722408046</v>
      </c>
      <c r="G15" s="15">
        <v>102.55</v>
      </c>
    </row>
    <row r="16" spans="1:7" s="16" customFormat="1" ht="13.9" customHeight="1" x14ac:dyDescent="0.25">
      <c r="A16" s="11" t="s">
        <v>123</v>
      </c>
      <c r="B16" s="12">
        <v>619</v>
      </c>
      <c r="C16" s="13">
        <v>95</v>
      </c>
      <c r="D16" s="13">
        <v>95</v>
      </c>
      <c r="E16" s="13">
        <v>95</v>
      </c>
      <c r="F16" s="14">
        <v>2888.5198735483873</v>
      </c>
      <c r="G16" s="15">
        <v>71.22</v>
      </c>
    </row>
    <row r="17" spans="1:7" s="16" customFormat="1" ht="13.9" customHeight="1" x14ac:dyDescent="0.25">
      <c r="A17" s="11" t="s">
        <v>124</v>
      </c>
      <c r="B17" s="12">
        <v>108</v>
      </c>
      <c r="C17" s="13">
        <v>60</v>
      </c>
      <c r="D17" s="13">
        <v>60</v>
      </c>
      <c r="E17" s="13">
        <v>60</v>
      </c>
      <c r="F17" s="14">
        <v>10377.482553191488</v>
      </c>
      <c r="G17" s="15">
        <v>155.4</v>
      </c>
    </row>
    <row r="18" spans="1:7" s="16" customFormat="1" ht="13.9" customHeight="1" x14ac:dyDescent="0.25">
      <c r="A18" s="11" t="s">
        <v>125</v>
      </c>
      <c r="B18" s="12">
        <v>45305</v>
      </c>
      <c r="C18" s="13">
        <v>93</v>
      </c>
      <c r="D18" s="13">
        <v>93</v>
      </c>
      <c r="E18" s="13">
        <v>93</v>
      </c>
      <c r="F18" s="14">
        <v>3077.4198791941249</v>
      </c>
      <c r="G18" s="15">
        <v>81.37</v>
      </c>
    </row>
    <row r="19" spans="1:7" s="16" customFormat="1" ht="13.9" customHeight="1" x14ac:dyDescent="0.25">
      <c r="A19" s="11" t="s">
        <v>126</v>
      </c>
      <c r="B19" s="12">
        <v>6201</v>
      </c>
      <c r="C19" s="13">
        <v>95</v>
      </c>
      <c r="D19" s="13">
        <v>95</v>
      </c>
      <c r="E19" s="13">
        <v>95</v>
      </c>
      <c r="F19" s="14">
        <v>3146.2455861087437</v>
      </c>
      <c r="G19" s="15">
        <v>75.430000000000007</v>
      </c>
    </row>
    <row r="20" spans="1:7" s="16" customFormat="1" ht="13.9" customHeight="1" x14ac:dyDescent="0.25">
      <c r="A20" s="11" t="s">
        <v>127</v>
      </c>
      <c r="B20" s="12">
        <v>2801</v>
      </c>
      <c r="C20" s="13">
        <v>65</v>
      </c>
      <c r="D20" s="13">
        <v>72</v>
      </c>
      <c r="E20" s="13">
        <v>68</v>
      </c>
      <c r="F20" s="14">
        <v>5101.1657325538918</v>
      </c>
      <c r="G20" s="15">
        <v>138.82</v>
      </c>
    </row>
    <row r="21" spans="1:7" s="16" customFormat="1" ht="13.9" customHeight="1" x14ac:dyDescent="0.25">
      <c r="A21" s="11" t="s">
        <v>128</v>
      </c>
      <c r="B21" s="12">
        <v>930</v>
      </c>
      <c r="C21" s="13">
        <v>69</v>
      </c>
      <c r="D21" s="13">
        <v>69</v>
      </c>
      <c r="E21" s="13">
        <v>69</v>
      </c>
      <c r="F21" s="14">
        <v>5791.9110766044714</v>
      </c>
      <c r="G21" s="15">
        <v>123.18</v>
      </c>
    </row>
    <row r="22" spans="1:7" s="16" customFormat="1" ht="13.9" customHeight="1" x14ac:dyDescent="0.25">
      <c r="A22" s="11" t="s">
        <v>129</v>
      </c>
      <c r="B22" s="12">
        <v>1747</v>
      </c>
      <c r="C22" s="13">
        <v>90</v>
      </c>
      <c r="D22" s="13">
        <v>90</v>
      </c>
      <c r="E22" s="13">
        <v>90</v>
      </c>
      <c r="F22" s="14">
        <v>2958.7092831232085</v>
      </c>
      <c r="G22" s="15">
        <v>65.45</v>
      </c>
    </row>
    <row r="23" spans="1:7" s="16" customFormat="1" ht="13.9" customHeight="1" x14ac:dyDescent="0.25">
      <c r="A23" s="11" t="s">
        <v>130</v>
      </c>
      <c r="B23" s="12">
        <v>961</v>
      </c>
      <c r="C23" s="13">
        <v>95</v>
      </c>
      <c r="D23" s="13">
        <v>95</v>
      </c>
      <c r="E23" s="13">
        <v>95</v>
      </c>
      <c r="F23" s="14">
        <v>3011.2727337853462</v>
      </c>
      <c r="G23" s="15">
        <v>59.24</v>
      </c>
    </row>
    <row r="24" spans="1:7" s="16" customFormat="1" ht="13.9" customHeight="1" x14ac:dyDescent="0.25">
      <c r="A24" s="11" t="s">
        <v>131</v>
      </c>
      <c r="B24" s="12">
        <v>47</v>
      </c>
      <c r="C24" s="13">
        <v>100</v>
      </c>
      <c r="D24" s="13">
        <v>100</v>
      </c>
      <c r="E24" s="13">
        <v>100</v>
      </c>
      <c r="F24" s="14">
        <v>3973.039433962264</v>
      </c>
      <c r="G24" s="15">
        <v>64.73</v>
      </c>
    </row>
    <row r="25" spans="1:7" s="16" customFormat="1" ht="13.9" customHeight="1" x14ac:dyDescent="0.25">
      <c r="A25" s="11" t="s">
        <v>132</v>
      </c>
      <c r="B25" s="12">
        <v>1889</v>
      </c>
      <c r="C25" s="13">
        <v>95</v>
      </c>
      <c r="D25" s="13">
        <v>95</v>
      </c>
      <c r="E25" s="13">
        <v>95</v>
      </c>
      <c r="F25" s="14">
        <v>3163.7439602925797</v>
      </c>
      <c r="G25" s="15">
        <v>70.17</v>
      </c>
    </row>
    <row r="26" spans="1:7" s="16" customFormat="1" ht="13.9" customHeight="1" x14ac:dyDescent="0.25">
      <c r="A26" s="11" t="s">
        <v>133</v>
      </c>
      <c r="B26" s="12">
        <v>436</v>
      </c>
      <c r="C26" s="13">
        <v>78</v>
      </c>
      <c r="D26" s="13">
        <v>78</v>
      </c>
      <c r="E26" s="13">
        <v>78</v>
      </c>
      <c r="F26" s="14">
        <v>5695.4614574115021</v>
      </c>
      <c r="G26" s="15">
        <v>87.94</v>
      </c>
    </row>
    <row r="27" spans="1:7" s="16" customFormat="1" ht="13.9" customHeight="1" x14ac:dyDescent="0.25">
      <c r="A27" s="11" t="s">
        <v>134</v>
      </c>
      <c r="B27" s="12">
        <v>1619</v>
      </c>
      <c r="C27" s="13">
        <v>85</v>
      </c>
      <c r="D27" s="13">
        <v>85</v>
      </c>
      <c r="E27" s="13">
        <v>85</v>
      </c>
      <c r="F27" s="14">
        <v>5273.7919280843153</v>
      </c>
      <c r="G27" s="15">
        <v>91.3</v>
      </c>
    </row>
    <row r="28" spans="1:7" s="16" customFormat="1" ht="13.9" customHeight="1" x14ac:dyDescent="0.25">
      <c r="A28" s="11" t="s">
        <v>135</v>
      </c>
      <c r="B28" s="12">
        <v>474</v>
      </c>
      <c r="C28" s="13">
        <v>85</v>
      </c>
      <c r="D28" s="13">
        <v>85</v>
      </c>
      <c r="E28" s="13">
        <v>85</v>
      </c>
      <c r="F28" s="14">
        <v>3770.584454148473</v>
      </c>
      <c r="G28" s="15">
        <v>88.4</v>
      </c>
    </row>
    <row r="29" spans="1:7" s="16" customFormat="1" ht="13.9" customHeight="1" x14ac:dyDescent="0.25">
      <c r="A29" s="11" t="s">
        <v>136</v>
      </c>
      <c r="B29" s="12">
        <v>790</v>
      </c>
      <c r="C29" s="13">
        <v>95</v>
      </c>
      <c r="D29" s="13">
        <v>95</v>
      </c>
      <c r="E29" s="13">
        <v>95</v>
      </c>
      <c r="F29" s="14">
        <v>3472.27164765526</v>
      </c>
      <c r="G29" s="15">
        <v>76.66</v>
      </c>
    </row>
    <row r="30" spans="1:7" s="16" customFormat="1" ht="13.9" customHeight="1" x14ac:dyDescent="0.25">
      <c r="A30" s="11" t="s">
        <v>137</v>
      </c>
      <c r="B30" s="12">
        <v>1585</v>
      </c>
      <c r="C30" s="13">
        <v>70</v>
      </c>
      <c r="D30" s="13">
        <v>70</v>
      </c>
      <c r="E30" s="13">
        <v>70</v>
      </c>
      <c r="F30" s="14">
        <v>331.86620253164801</v>
      </c>
      <c r="G30" s="15">
        <v>130.37</v>
      </c>
    </row>
    <row r="31" spans="1:7" s="16" customFormat="1" ht="13.9" customHeight="1" x14ac:dyDescent="0.25">
      <c r="A31" s="11" t="s">
        <v>138</v>
      </c>
      <c r="B31" s="12">
        <v>3132</v>
      </c>
      <c r="C31" s="13">
        <v>88</v>
      </c>
      <c r="D31" s="13">
        <v>88</v>
      </c>
      <c r="E31" s="13">
        <v>88</v>
      </c>
      <c r="F31" s="14">
        <v>2728.7401909831829</v>
      </c>
      <c r="G31" s="15">
        <v>85.05</v>
      </c>
    </row>
    <row r="32" spans="1:7" s="16" customFormat="1" ht="13.9" customHeight="1" x14ac:dyDescent="0.25">
      <c r="A32" s="11" t="s">
        <v>139</v>
      </c>
      <c r="B32" s="12">
        <v>49</v>
      </c>
      <c r="C32" s="13">
        <v>65</v>
      </c>
      <c r="D32" s="13">
        <v>65</v>
      </c>
      <c r="E32" s="13">
        <v>65</v>
      </c>
      <c r="F32" s="14">
        <v>2946.9940816326525</v>
      </c>
      <c r="G32" s="15">
        <v>70.650000000000006</v>
      </c>
    </row>
    <row r="33" spans="1:7" s="16" customFormat="1" ht="13.9" customHeight="1" x14ac:dyDescent="0.25">
      <c r="A33" s="11" t="s">
        <v>140</v>
      </c>
      <c r="B33" s="12">
        <v>2404</v>
      </c>
      <c r="C33" s="13">
        <v>78</v>
      </c>
      <c r="D33" s="13">
        <v>78</v>
      </c>
      <c r="E33" s="13">
        <v>78</v>
      </c>
      <c r="F33" s="14">
        <v>3779.4881768240357</v>
      </c>
      <c r="G33" s="15">
        <v>105.67</v>
      </c>
    </row>
    <row r="34" spans="1:7" s="16" customFormat="1" ht="13.9" customHeight="1" x14ac:dyDescent="0.25">
      <c r="A34" s="11" t="s">
        <v>141</v>
      </c>
      <c r="B34" s="12">
        <v>6717</v>
      </c>
      <c r="C34" s="13">
        <v>94</v>
      </c>
      <c r="D34" s="13">
        <v>94</v>
      </c>
      <c r="E34" s="13">
        <v>94</v>
      </c>
      <c r="F34" s="14">
        <v>3196.3193461167284</v>
      </c>
      <c r="G34" s="15">
        <v>76.97</v>
      </c>
    </row>
    <row r="35" spans="1:7" s="16" customFormat="1" ht="13.9" customHeight="1" x14ac:dyDescent="0.25">
      <c r="A35" s="11" t="s">
        <v>142</v>
      </c>
      <c r="B35" s="12">
        <v>4400</v>
      </c>
      <c r="C35" s="13">
        <v>85</v>
      </c>
      <c r="D35" s="13">
        <v>85</v>
      </c>
      <c r="E35" s="13">
        <v>85</v>
      </c>
      <c r="F35" s="14">
        <v>3259.6121934366997</v>
      </c>
      <c r="G35" s="15">
        <v>86.38</v>
      </c>
    </row>
    <row r="36" spans="1:7" s="16" customFormat="1" ht="13.9" customHeight="1" x14ac:dyDescent="0.25">
      <c r="A36" s="11" t="s">
        <v>143</v>
      </c>
      <c r="B36" s="12">
        <v>2262</v>
      </c>
      <c r="C36" s="13">
        <v>65</v>
      </c>
      <c r="D36" s="13">
        <v>70</v>
      </c>
      <c r="E36" s="13">
        <v>66</v>
      </c>
      <c r="F36" s="14">
        <v>5622.8294162550492</v>
      </c>
      <c r="G36" s="15">
        <v>122.22</v>
      </c>
    </row>
    <row r="37" spans="1:7" s="16" customFormat="1" ht="13.9" customHeight="1" x14ac:dyDescent="0.25">
      <c r="A37" s="11" t="s">
        <v>144</v>
      </c>
      <c r="B37" s="12">
        <v>1070</v>
      </c>
      <c r="C37" s="13">
        <v>95</v>
      </c>
      <c r="D37" s="13">
        <v>95</v>
      </c>
      <c r="E37" s="13">
        <v>95</v>
      </c>
      <c r="F37" s="14">
        <v>3015.3635235269971</v>
      </c>
      <c r="G37" s="15">
        <v>62.61</v>
      </c>
    </row>
    <row r="38" spans="1:7" s="16" customFormat="1" ht="13.9" customHeight="1" x14ac:dyDescent="0.25">
      <c r="A38" s="11" t="s">
        <v>145</v>
      </c>
      <c r="B38" s="12">
        <v>37</v>
      </c>
      <c r="C38" s="13">
        <v>100</v>
      </c>
      <c r="D38" s="13">
        <v>100</v>
      </c>
      <c r="E38" s="13">
        <v>100</v>
      </c>
      <c r="F38" s="14">
        <v>2438.5366666666664</v>
      </c>
      <c r="G38" s="15">
        <v>67.459999999999994</v>
      </c>
    </row>
    <row r="39" spans="1:7" s="16" customFormat="1" ht="13.9" customHeight="1" x14ac:dyDescent="0.25">
      <c r="A39" s="11" t="s">
        <v>146</v>
      </c>
      <c r="B39" s="12">
        <v>1111</v>
      </c>
      <c r="C39" s="13">
        <v>94</v>
      </c>
      <c r="D39" s="13">
        <v>113</v>
      </c>
      <c r="E39" s="13">
        <v>97</v>
      </c>
      <c r="F39" s="14">
        <v>2758.5140540540538</v>
      </c>
      <c r="G39" s="15">
        <v>65.75</v>
      </c>
    </row>
    <row r="40" spans="1:7" s="16" customFormat="1" ht="13.9" customHeight="1" x14ac:dyDescent="0.25">
      <c r="A40" s="11" t="s">
        <v>147</v>
      </c>
      <c r="B40" s="12">
        <v>7564</v>
      </c>
      <c r="C40" s="13">
        <v>88</v>
      </c>
      <c r="D40" s="13">
        <v>88</v>
      </c>
      <c r="E40" s="13">
        <v>88</v>
      </c>
      <c r="F40" s="14">
        <v>4886.280528398479</v>
      </c>
      <c r="G40" s="15">
        <v>104.35</v>
      </c>
    </row>
    <row r="41" spans="1:7" s="16" customFormat="1" ht="13.9" customHeight="1" x14ac:dyDescent="0.25">
      <c r="A41" s="11" t="s">
        <v>148</v>
      </c>
      <c r="B41" s="12">
        <v>2834</v>
      </c>
      <c r="C41" s="13">
        <v>80</v>
      </c>
      <c r="D41" s="13">
        <v>80</v>
      </c>
      <c r="E41" s="13">
        <v>80</v>
      </c>
      <c r="F41" s="14">
        <v>2595.7445013141069</v>
      </c>
      <c r="G41" s="15">
        <v>86.93</v>
      </c>
    </row>
    <row r="42" spans="1:7" s="16" customFormat="1" ht="13.9" customHeight="1" x14ac:dyDescent="0.25">
      <c r="A42" s="11" t="s">
        <v>149</v>
      </c>
      <c r="B42" s="12">
        <v>4903</v>
      </c>
      <c r="C42" s="13">
        <v>60</v>
      </c>
      <c r="D42" s="13">
        <v>60</v>
      </c>
      <c r="E42" s="13">
        <v>60</v>
      </c>
      <c r="F42" s="14">
        <v>10180.18425777901</v>
      </c>
      <c r="G42" s="15">
        <v>165.6</v>
      </c>
    </row>
    <row r="43" spans="1:7" s="16" customFormat="1" ht="13.9" customHeight="1" x14ac:dyDescent="0.25">
      <c r="A43" s="11" t="s">
        <v>150</v>
      </c>
      <c r="B43" s="12">
        <v>2186</v>
      </c>
      <c r="C43" s="13">
        <v>75</v>
      </c>
      <c r="D43" s="13">
        <v>75</v>
      </c>
      <c r="E43" s="13">
        <v>75</v>
      </c>
      <c r="F43" s="14">
        <v>4364.4289651972158</v>
      </c>
      <c r="G43" s="15">
        <v>123.04</v>
      </c>
    </row>
    <row r="44" spans="1:7" s="16" customFormat="1" ht="13.9" customHeight="1" x14ac:dyDescent="0.25">
      <c r="A44" s="11" t="s">
        <v>151</v>
      </c>
      <c r="B44" s="12">
        <v>2858</v>
      </c>
      <c r="C44" s="13">
        <v>90</v>
      </c>
      <c r="D44" s="13">
        <v>90</v>
      </c>
      <c r="E44" s="13">
        <v>90</v>
      </c>
      <c r="F44" s="14">
        <v>2934.8301515094086</v>
      </c>
      <c r="G44" s="15">
        <v>80.03</v>
      </c>
    </row>
    <row r="45" spans="1:7" s="16" customFormat="1" ht="13.9" customHeight="1" x14ac:dyDescent="0.25">
      <c r="A45" s="11" t="s">
        <v>152</v>
      </c>
      <c r="B45" s="12">
        <v>1483</v>
      </c>
      <c r="C45" s="13">
        <v>75</v>
      </c>
      <c r="D45" s="13">
        <v>75</v>
      </c>
      <c r="E45" s="13">
        <v>75</v>
      </c>
      <c r="F45" s="14">
        <v>4447.3364828513786</v>
      </c>
      <c r="G45" s="15">
        <v>117.83</v>
      </c>
    </row>
    <row r="46" spans="1:7" s="16" customFormat="1" ht="13.9" customHeight="1" x14ac:dyDescent="0.25">
      <c r="A46" s="11" t="s">
        <v>153</v>
      </c>
      <c r="B46" s="12">
        <v>587</v>
      </c>
      <c r="C46" s="13">
        <v>95</v>
      </c>
      <c r="D46" s="13">
        <v>95</v>
      </c>
      <c r="E46" s="13">
        <v>95</v>
      </c>
      <c r="F46" s="14">
        <v>3483.0875986842111</v>
      </c>
      <c r="G46" s="15">
        <v>74.41</v>
      </c>
    </row>
    <row r="47" spans="1:7" s="16" customFormat="1" ht="13.9" customHeight="1" x14ac:dyDescent="0.25">
      <c r="A47" s="11" t="s">
        <v>154</v>
      </c>
      <c r="B47" s="12">
        <v>185</v>
      </c>
      <c r="C47" s="13">
        <v>70</v>
      </c>
      <c r="D47" s="13">
        <v>70</v>
      </c>
      <c r="E47" s="13">
        <v>70</v>
      </c>
      <c r="F47" s="14">
        <v>3547.2332768361584</v>
      </c>
      <c r="G47" s="15">
        <v>82.26</v>
      </c>
    </row>
    <row r="48" spans="1:7" s="16" customFormat="1" ht="13.9" customHeight="1" x14ac:dyDescent="0.25">
      <c r="A48" s="11" t="s">
        <v>155</v>
      </c>
      <c r="B48" s="12">
        <v>2705</v>
      </c>
      <c r="C48" s="13">
        <v>94</v>
      </c>
      <c r="D48" s="13">
        <v>94</v>
      </c>
      <c r="E48" s="13">
        <v>94</v>
      </c>
      <c r="F48" s="14">
        <v>2693.183202390368</v>
      </c>
      <c r="G48" s="15">
        <v>61.97</v>
      </c>
    </row>
    <row r="49" spans="1:7" s="16" customFormat="1" ht="13.9" customHeight="1" x14ac:dyDescent="0.25">
      <c r="A49" s="11" t="s">
        <v>156</v>
      </c>
      <c r="B49" s="12">
        <v>5024</v>
      </c>
      <c r="C49" s="13">
        <v>85</v>
      </c>
      <c r="D49" s="13">
        <v>100</v>
      </c>
      <c r="E49" s="13">
        <v>87</v>
      </c>
      <c r="F49" s="14">
        <v>3542.8737072792087</v>
      </c>
      <c r="G49" s="15">
        <v>77.989999999999995</v>
      </c>
    </row>
    <row r="50" spans="1:7" s="16" customFormat="1" ht="13.9" customHeight="1" x14ac:dyDescent="0.25">
      <c r="A50" s="12" t="s">
        <v>157</v>
      </c>
      <c r="B50" s="12">
        <v>801</v>
      </c>
      <c r="C50" s="13">
        <v>95</v>
      </c>
      <c r="D50" s="13">
        <v>95</v>
      </c>
      <c r="E50" s="13">
        <v>95</v>
      </c>
      <c r="F50" s="14">
        <v>3134.1077532996001</v>
      </c>
      <c r="G50" s="15">
        <v>82.63</v>
      </c>
    </row>
    <row r="51" spans="1:7" s="16" customFormat="1" ht="13.9" customHeight="1" x14ac:dyDescent="0.25">
      <c r="A51" s="11" t="s">
        <v>158</v>
      </c>
      <c r="B51" s="12">
        <v>4831</v>
      </c>
      <c r="C51" s="13">
        <v>86</v>
      </c>
      <c r="D51" s="13">
        <v>86</v>
      </c>
      <c r="E51" s="13">
        <v>86</v>
      </c>
      <c r="F51" s="14">
        <v>2966.4129605809144</v>
      </c>
      <c r="G51" s="15">
        <v>92.38</v>
      </c>
    </row>
    <row r="52" spans="1:7" s="16" customFormat="1" ht="13.9" customHeight="1" x14ac:dyDescent="0.25">
      <c r="A52" s="11" t="s">
        <v>159</v>
      </c>
      <c r="B52" s="12">
        <v>468</v>
      </c>
      <c r="C52" s="13">
        <v>75</v>
      </c>
      <c r="D52" s="13">
        <v>75</v>
      </c>
      <c r="E52" s="13">
        <v>75</v>
      </c>
      <c r="F52" s="14">
        <v>8987.733361522196</v>
      </c>
      <c r="G52" s="15">
        <v>119.66</v>
      </c>
    </row>
    <row r="53" spans="1:7" s="16" customFormat="1" ht="13.9" customHeight="1" x14ac:dyDescent="0.25">
      <c r="A53" s="11" t="s">
        <v>160</v>
      </c>
      <c r="B53" s="12">
        <v>1398</v>
      </c>
      <c r="C53" s="13">
        <v>70</v>
      </c>
      <c r="D53" s="13">
        <v>70</v>
      </c>
      <c r="E53" s="13">
        <v>70</v>
      </c>
      <c r="F53" s="14">
        <v>4754.7868471104612</v>
      </c>
      <c r="G53" s="15">
        <v>112.96</v>
      </c>
    </row>
    <row r="54" spans="1:7" s="16" customFormat="1" ht="13.9" customHeight="1" x14ac:dyDescent="0.25">
      <c r="A54" s="11" t="s">
        <v>161</v>
      </c>
      <c r="B54" s="12">
        <v>404</v>
      </c>
      <c r="C54" s="13">
        <v>92</v>
      </c>
      <c r="D54" s="13">
        <v>92</v>
      </c>
      <c r="E54" s="13">
        <v>92</v>
      </c>
      <c r="F54" s="14">
        <v>2983.9458762886597</v>
      </c>
      <c r="G54" s="15">
        <v>55.75</v>
      </c>
    </row>
    <row r="55" spans="1:7" s="16" customFormat="1" ht="13.9" customHeight="1" x14ac:dyDescent="0.25">
      <c r="A55" s="11" t="s">
        <v>162</v>
      </c>
      <c r="B55" s="12">
        <v>1757</v>
      </c>
      <c r="C55" s="13">
        <v>85</v>
      </c>
      <c r="D55" s="13">
        <v>95</v>
      </c>
      <c r="E55" s="13">
        <v>88</v>
      </c>
      <c r="F55" s="14">
        <v>3697.7241618087573</v>
      </c>
      <c r="G55" s="15">
        <v>89.98</v>
      </c>
    </row>
    <row r="56" spans="1:7" s="16" customFormat="1" ht="13.9" customHeight="1" x14ac:dyDescent="0.25">
      <c r="A56" s="11" t="s">
        <v>163</v>
      </c>
      <c r="B56" s="12">
        <v>1253</v>
      </c>
      <c r="C56" s="13">
        <v>100</v>
      </c>
      <c r="D56" s="13">
        <v>100</v>
      </c>
      <c r="E56" s="13">
        <v>100</v>
      </c>
      <c r="F56" s="14">
        <v>3113.5257472137628</v>
      </c>
      <c r="G56" s="15">
        <v>74.040000000000006</v>
      </c>
    </row>
    <row r="57" spans="1:7" s="16" customFormat="1" ht="13.9" customHeight="1" x14ac:dyDescent="0.25">
      <c r="A57" s="11" t="s">
        <v>164</v>
      </c>
      <c r="B57" s="12">
        <v>498</v>
      </c>
      <c r="C57" s="13">
        <v>95</v>
      </c>
      <c r="D57" s="13">
        <v>95</v>
      </c>
      <c r="E57" s="13">
        <v>95</v>
      </c>
      <c r="F57" s="14">
        <v>2783.6854396728013</v>
      </c>
      <c r="G57" s="15">
        <v>63.63</v>
      </c>
    </row>
    <row r="58" spans="1:7" s="16" customFormat="1" ht="13.9" customHeight="1" x14ac:dyDescent="0.25">
      <c r="A58" s="11" t="s">
        <v>165</v>
      </c>
      <c r="B58" s="12">
        <v>41</v>
      </c>
      <c r="C58" s="13">
        <v>65</v>
      </c>
      <c r="D58" s="13">
        <v>65</v>
      </c>
      <c r="E58" s="13">
        <v>65</v>
      </c>
      <c r="F58" s="14">
        <v>3305.2954761904771</v>
      </c>
      <c r="G58" s="15">
        <v>79.09</v>
      </c>
    </row>
    <row r="59" spans="1:7" s="16" customFormat="1" ht="13.9" customHeight="1" x14ac:dyDescent="0.25">
      <c r="A59" s="11" t="s">
        <v>166</v>
      </c>
      <c r="B59" s="12">
        <v>16374</v>
      </c>
      <c r="C59" s="13">
        <v>90</v>
      </c>
      <c r="D59" s="13">
        <v>97</v>
      </c>
      <c r="E59" s="13">
        <v>91</v>
      </c>
      <c r="F59" s="14">
        <v>3336.0936340126832</v>
      </c>
      <c r="G59" s="15">
        <v>84.39</v>
      </c>
    </row>
    <row r="60" spans="1:7" s="16" customFormat="1" ht="13.9" customHeight="1" x14ac:dyDescent="0.25">
      <c r="A60" s="11" t="s">
        <v>167</v>
      </c>
      <c r="B60" s="12">
        <v>6727</v>
      </c>
      <c r="C60" s="13">
        <v>90</v>
      </c>
      <c r="D60" s="13">
        <v>90</v>
      </c>
      <c r="E60" s="13">
        <v>90</v>
      </c>
      <c r="F60" s="14">
        <v>3086.473149153388</v>
      </c>
      <c r="G60" s="15">
        <v>90.64</v>
      </c>
    </row>
    <row r="61" spans="1:7" s="16" customFormat="1" ht="13.9" customHeight="1" x14ac:dyDescent="0.25">
      <c r="A61" s="11" t="s">
        <v>168</v>
      </c>
      <c r="B61" s="12">
        <v>63629</v>
      </c>
      <c r="C61" s="13">
        <v>77</v>
      </c>
      <c r="D61" s="13">
        <v>82</v>
      </c>
      <c r="E61" s="13">
        <v>78</v>
      </c>
      <c r="F61" s="14">
        <v>6788.2452275196529</v>
      </c>
      <c r="G61" s="15">
        <v>131.75</v>
      </c>
    </row>
    <row r="62" spans="1:7" s="16" customFormat="1" ht="13.9" customHeight="1" x14ac:dyDescent="0.25">
      <c r="A62" s="11" t="s">
        <v>169</v>
      </c>
      <c r="B62" s="12">
        <v>1684</v>
      </c>
      <c r="C62" s="13">
        <v>90</v>
      </c>
      <c r="D62" s="13">
        <v>90</v>
      </c>
      <c r="E62" s="13">
        <v>90</v>
      </c>
      <c r="F62" s="14">
        <v>3027.7467885926844</v>
      </c>
      <c r="G62" s="15">
        <v>79.39</v>
      </c>
    </row>
    <row r="63" spans="1:7" s="16" customFormat="1" ht="13.9" customHeight="1" x14ac:dyDescent="0.25">
      <c r="A63" s="11" t="s">
        <v>170</v>
      </c>
      <c r="B63" s="12">
        <v>2674</v>
      </c>
      <c r="C63" s="13">
        <v>90</v>
      </c>
      <c r="D63" s="13">
        <v>126</v>
      </c>
      <c r="E63" s="13">
        <v>93</v>
      </c>
      <c r="F63" s="14">
        <v>2958.9091014870951</v>
      </c>
      <c r="G63" s="15">
        <v>70.599999999999994</v>
      </c>
    </row>
    <row r="64" spans="1:7" s="16" customFormat="1" ht="13.9" customHeight="1" x14ac:dyDescent="0.25">
      <c r="A64" s="11" t="s">
        <v>171</v>
      </c>
      <c r="B64" s="12">
        <v>1622</v>
      </c>
      <c r="C64" s="13">
        <v>75</v>
      </c>
      <c r="D64" s="13">
        <v>75</v>
      </c>
      <c r="E64" s="13">
        <v>75</v>
      </c>
      <c r="F64" s="14">
        <v>3978.303462911108</v>
      </c>
      <c r="G64" s="15">
        <v>96.89</v>
      </c>
    </row>
    <row r="65" spans="1:7" s="16" customFormat="1" ht="13.9" customHeight="1" x14ac:dyDescent="0.25">
      <c r="A65" s="11" t="s">
        <v>172</v>
      </c>
      <c r="B65" s="12">
        <v>1373</v>
      </c>
      <c r="C65" s="13">
        <v>65</v>
      </c>
      <c r="D65" s="13">
        <v>65</v>
      </c>
      <c r="E65" s="13">
        <v>65</v>
      </c>
      <c r="F65" s="14">
        <v>10968.788789473687</v>
      </c>
      <c r="G65" s="15">
        <v>186.44</v>
      </c>
    </row>
    <row r="66" spans="1:7" s="16" customFormat="1" ht="13.9" customHeight="1" x14ac:dyDescent="0.25">
      <c r="A66" s="11" t="s">
        <v>173</v>
      </c>
      <c r="B66" s="12">
        <v>6799</v>
      </c>
      <c r="C66" s="13">
        <v>70</v>
      </c>
      <c r="D66" s="13">
        <v>70</v>
      </c>
      <c r="E66" s="13">
        <v>70</v>
      </c>
      <c r="F66" s="14">
        <v>4375.3749262357414</v>
      </c>
      <c r="G66" s="15">
        <v>115.9</v>
      </c>
    </row>
    <row r="67" spans="1:7" s="16" customFormat="1" ht="13.9" customHeight="1" x14ac:dyDescent="0.25">
      <c r="A67" s="11" t="s">
        <v>174</v>
      </c>
      <c r="B67" s="12">
        <v>1785</v>
      </c>
      <c r="C67" s="13">
        <v>65</v>
      </c>
      <c r="D67" s="13">
        <v>65</v>
      </c>
      <c r="E67" s="13">
        <v>65</v>
      </c>
      <c r="F67" s="14">
        <v>4556.3653627909589</v>
      </c>
      <c r="G67" s="15">
        <v>105.11</v>
      </c>
    </row>
    <row r="68" spans="1:7" s="16" customFormat="1" ht="13.9" customHeight="1" x14ac:dyDescent="0.25">
      <c r="A68" s="11" t="s">
        <v>175</v>
      </c>
      <c r="B68" s="12">
        <v>15085</v>
      </c>
      <c r="C68" s="13">
        <v>77</v>
      </c>
      <c r="D68" s="13">
        <v>82</v>
      </c>
      <c r="E68" s="13">
        <v>79</v>
      </c>
      <c r="F68" s="14">
        <v>5509.3577286987629</v>
      </c>
      <c r="G68" s="15">
        <v>102.98</v>
      </c>
    </row>
    <row r="69" spans="1:7" s="16" customFormat="1" ht="13.9" customHeight="1" x14ac:dyDescent="0.25">
      <c r="A69" s="11" t="s">
        <v>176</v>
      </c>
      <c r="B69" s="12">
        <v>201</v>
      </c>
      <c r="C69" s="13">
        <v>100</v>
      </c>
      <c r="D69" s="13">
        <v>100</v>
      </c>
      <c r="E69" s="13">
        <v>100</v>
      </c>
      <c r="F69" s="14">
        <v>3420.7841414141408</v>
      </c>
      <c r="G69" s="15">
        <v>59.73</v>
      </c>
    </row>
    <row r="70" spans="1:7" s="16" customFormat="1" ht="13.9" customHeight="1" x14ac:dyDescent="0.25">
      <c r="A70" s="11" t="s">
        <v>177</v>
      </c>
      <c r="B70" s="12">
        <v>1389</v>
      </c>
      <c r="C70" s="13">
        <v>60</v>
      </c>
      <c r="D70" s="13">
        <v>60</v>
      </c>
      <c r="E70" s="13">
        <v>60</v>
      </c>
      <c r="F70" s="14">
        <v>6406.1560130246044</v>
      </c>
      <c r="G70" s="15">
        <v>125.56</v>
      </c>
    </row>
    <row r="71" spans="1:7" s="16" customFormat="1" ht="13.9" customHeight="1" x14ac:dyDescent="0.25">
      <c r="A71" s="11" t="s">
        <v>178</v>
      </c>
      <c r="B71" s="12">
        <v>293</v>
      </c>
      <c r="C71" s="13">
        <v>95</v>
      </c>
      <c r="D71" s="13">
        <v>95</v>
      </c>
      <c r="E71" s="13">
        <v>95</v>
      </c>
      <c r="F71" s="14">
        <v>2971.6463225806442</v>
      </c>
      <c r="G71" s="15">
        <v>65.73</v>
      </c>
    </row>
    <row r="72" spans="1:7" s="16" customFormat="1" ht="13.9" customHeight="1" x14ac:dyDescent="0.25">
      <c r="A72" s="11" t="s">
        <v>179</v>
      </c>
      <c r="B72" s="12">
        <v>7321</v>
      </c>
      <c r="C72" s="13">
        <v>82</v>
      </c>
      <c r="D72" s="13">
        <v>82</v>
      </c>
      <c r="E72" s="13">
        <v>82</v>
      </c>
      <c r="F72" s="14">
        <v>3867.539885460179</v>
      </c>
      <c r="G72" s="15">
        <v>96.49</v>
      </c>
    </row>
    <row r="73" spans="1:7" s="16" customFormat="1" ht="13.9" customHeight="1" x14ac:dyDescent="0.25">
      <c r="A73" s="11" t="s">
        <v>180</v>
      </c>
      <c r="B73" s="12">
        <v>4729</v>
      </c>
      <c r="C73" s="13">
        <v>92</v>
      </c>
      <c r="D73" s="13">
        <v>92</v>
      </c>
      <c r="E73" s="13">
        <v>92</v>
      </c>
      <c r="F73" s="14">
        <v>3064.7974223853325</v>
      </c>
      <c r="G73" s="15">
        <v>77.209999999999994</v>
      </c>
    </row>
    <row r="74" spans="1:7" s="16" customFormat="1" ht="13.9" customHeight="1" x14ac:dyDescent="0.25">
      <c r="A74" s="11" t="s">
        <v>181</v>
      </c>
      <c r="B74" s="12">
        <v>4412</v>
      </c>
      <c r="C74" s="13">
        <v>82</v>
      </c>
      <c r="D74" s="13">
        <v>82</v>
      </c>
      <c r="E74" s="13">
        <v>82</v>
      </c>
      <c r="F74" s="14">
        <v>3604.2291044430744</v>
      </c>
      <c r="G74" s="15">
        <v>94.11</v>
      </c>
    </row>
    <row r="75" spans="1:7" s="16" customFormat="1" ht="13.9" customHeight="1" x14ac:dyDescent="0.25">
      <c r="A75" s="11" t="s">
        <v>182</v>
      </c>
      <c r="B75" s="12">
        <v>713</v>
      </c>
      <c r="C75" s="13">
        <v>80</v>
      </c>
      <c r="D75" s="13">
        <v>80</v>
      </c>
      <c r="E75" s="13">
        <v>80</v>
      </c>
      <c r="F75" s="14">
        <v>18279.670644257701</v>
      </c>
      <c r="G75" s="15">
        <v>153.37</v>
      </c>
    </row>
    <row r="76" spans="1:7" s="16" customFormat="1" ht="13.9" customHeight="1" x14ac:dyDescent="0.25">
      <c r="A76" s="11" t="s">
        <v>183</v>
      </c>
      <c r="B76" s="12">
        <v>2572</v>
      </c>
      <c r="C76" s="13">
        <v>75</v>
      </c>
      <c r="D76" s="13">
        <v>75</v>
      </c>
      <c r="E76" s="13">
        <v>75</v>
      </c>
      <c r="F76" s="14">
        <v>4510.5657582099548</v>
      </c>
      <c r="G76" s="15">
        <v>100.25</v>
      </c>
    </row>
    <row r="77" spans="1:7" s="16" customFormat="1" ht="13.9" customHeight="1" x14ac:dyDescent="0.25">
      <c r="A77" s="11" t="s">
        <v>184</v>
      </c>
      <c r="B77" s="12">
        <v>805</v>
      </c>
      <c r="C77" s="13">
        <v>75</v>
      </c>
      <c r="D77" s="13">
        <v>75</v>
      </c>
      <c r="E77" s="13">
        <v>75</v>
      </c>
      <c r="F77" s="14">
        <v>4434.2314987714954</v>
      </c>
      <c r="G77" s="15">
        <v>113.34</v>
      </c>
    </row>
    <row r="78" spans="1:7" s="16" customFormat="1" ht="13.9" customHeight="1" x14ac:dyDescent="0.25">
      <c r="A78" s="11" t="s">
        <v>185</v>
      </c>
      <c r="B78" s="12">
        <v>328</v>
      </c>
      <c r="C78" s="13">
        <v>90</v>
      </c>
      <c r="D78" s="13">
        <v>90</v>
      </c>
      <c r="E78" s="13">
        <v>90</v>
      </c>
      <c r="F78" s="14">
        <v>3978.9413354037265</v>
      </c>
      <c r="G78" s="15">
        <v>88.03</v>
      </c>
    </row>
    <row r="79" spans="1:7" s="16" customFormat="1" ht="13.9" customHeight="1" x14ac:dyDescent="0.25">
      <c r="A79" s="11" t="s">
        <v>186</v>
      </c>
      <c r="B79" s="12">
        <v>850</v>
      </c>
      <c r="C79" s="13">
        <v>95</v>
      </c>
      <c r="D79" s="13">
        <v>95</v>
      </c>
      <c r="E79" s="13">
        <v>95</v>
      </c>
      <c r="F79" s="14">
        <v>3268.4364449818622</v>
      </c>
      <c r="G79" s="15">
        <v>70.56</v>
      </c>
    </row>
    <row r="80" spans="1:7" s="16" customFormat="1" ht="13.9" customHeight="1" x14ac:dyDescent="0.25">
      <c r="A80" s="11" t="s">
        <v>187</v>
      </c>
      <c r="B80" s="12">
        <v>2340</v>
      </c>
      <c r="C80" s="13">
        <v>65</v>
      </c>
      <c r="D80" s="13">
        <v>65</v>
      </c>
      <c r="E80" s="13">
        <v>65</v>
      </c>
      <c r="F80" s="14">
        <v>5588.8677706734861</v>
      </c>
      <c r="G80" s="15">
        <v>119.58</v>
      </c>
    </row>
    <row r="81" spans="1:7" s="16" customFormat="1" ht="13.9" customHeight="1" x14ac:dyDescent="0.25">
      <c r="A81" s="11" t="s">
        <v>188</v>
      </c>
      <c r="B81" s="12">
        <v>663</v>
      </c>
      <c r="C81" s="13">
        <v>95</v>
      </c>
      <c r="D81" s="13">
        <v>95</v>
      </c>
      <c r="E81" s="13">
        <v>95</v>
      </c>
      <c r="F81" s="14">
        <v>2702.2700740740734</v>
      </c>
      <c r="G81" s="15">
        <v>54.58</v>
      </c>
    </row>
    <row r="82" spans="1:7" s="16" customFormat="1" ht="13.9" customHeight="1" x14ac:dyDescent="0.25">
      <c r="A82" s="11" t="s">
        <v>189</v>
      </c>
      <c r="B82" s="12">
        <v>1526</v>
      </c>
      <c r="C82" s="13">
        <v>70</v>
      </c>
      <c r="D82" s="13">
        <v>70</v>
      </c>
      <c r="E82" s="13">
        <v>70</v>
      </c>
      <c r="F82" s="14">
        <v>5163.7446898122316</v>
      </c>
      <c r="G82" s="15">
        <v>112.79</v>
      </c>
    </row>
    <row r="83" spans="1:7" s="16" customFormat="1" ht="13.9" customHeight="1" x14ac:dyDescent="0.25">
      <c r="A83" s="11" t="s">
        <v>190</v>
      </c>
      <c r="B83" s="12">
        <v>687</v>
      </c>
      <c r="C83" s="13">
        <v>82</v>
      </c>
      <c r="D83" s="13">
        <v>82</v>
      </c>
      <c r="E83" s="13">
        <v>82</v>
      </c>
      <c r="F83" s="14">
        <v>6160.8832667617671</v>
      </c>
      <c r="G83" s="15">
        <v>109.85</v>
      </c>
    </row>
    <row r="84" spans="1:7" s="16" customFormat="1" ht="13.9" customHeight="1" x14ac:dyDescent="0.25">
      <c r="A84" s="11" t="s">
        <v>191</v>
      </c>
      <c r="B84" s="12">
        <v>4853</v>
      </c>
      <c r="C84" s="13">
        <v>58</v>
      </c>
      <c r="D84" s="13">
        <v>58</v>
      </c>
      <c r="E84" s="13">
        <v>58</v>
      </c>
      <c r="F84" s="14">
        <v>12002.416472354567</v>
      </c>
      <c r="G84" s="15">
        <v>230.99</v>
      </c>
    </row>
    <row r="85" spans="1:7" s="16" customFormat="1" ht="13.9" customHeight="1" x14ac:dyDescent="0.25">
      <c r="A85" s="11" t="s">
        <v>192</v>
      </c>
      <c r="B85" s="12">
        <v>317</v>
      </c>
      <c r="C85" s="13">
        <v>90</v>
      </c>
      <c r="D85" s="13">
        <v>90</v>
      </c>
      <c r="E85" s="13">
        <v>90</v>
      </c>
      <c r="F85" s="14">
        <v>3037.8300974025974</v>
      </c>
      <c r="G85" s="15">
        <v>61.36</v>
      </c>
    </row>
    <row r="86" spans="1:7" s="16" customFormat="1" ht="13.9" customHeight="1" x14ac:dyDescent="0.25">
      <c r="A86" s="11" t="s">
        <v>193</v>
      </c>
      <c r="B86" s="12">
        <v>920</v>
      </c>
      <c r="C86" s="13">
        <v>95</v>
      </c>
      <c r="D86" s="13">
        <v>95</v>
      </c>
      <c r="E86" s="13">
        <v>95</v>
      </c>
      <c r="F86" s="14">
        <v>2614.3510528436009</v>
      </c>
      <c r="G86" s="15">
        <v>63.88</v>
      </c>
    </row>
    <row r="87" spans="1:7" s="16" customFormat="1" ht="13.9" customHeight="1" x14ac:dyDescent="0.25">
      <c r="A87" s="11" t="s">
        <v>194</v>
      </c>
      <c r="B87" s="12">
        <v>1958</v>
      </c>
      <c r="C87" s="13">
        <v>85</v>
      </c>
      <c r="D87" s="13">
        <v>85</v>
      </c>
      <c r="E87" s="13">
        <v>85</v>
      </c>
      <c r="F87" s="14">
        <v>3327.7222320499477</v>
      </c>
      <c r="G87" s="15">
        <v>100.08</v>
      </c>
    </row>
    <row r="88" spans="1:7" s="16" customFormat="1" ht="13.9" customHeight="1" x14ac:dyDescent="0.25">
      <c r="A88" s="11" t="s">
        <v>195</v>
      </c>
      <c r="B88" s="12">
        <v>1717</v>
      </c>
      <c r="C88" s="13">
        <v>56</v>
      </c>
      <c r="D88" s="13">
        <v>56</v>
      </c>
      <c r="E88" s="13">
        <v>56</v>
      </c>
      <c r="F88" s="14">
        <v>7598.1997742946687</v>
      </c>
      <c r="G88" s="15">
        <v>156.33000000000001</v>
      </c>
    </row>
    <row r="89" spans="1:7" s="16" customFormat="1" ht="13.9" customHeight="1" x14ac:dyDescent="0.25">
      <c r="A89" s="11" t="s">
        <v>196</v>
      </c>
      <c r="B89" s="12">
        <v>376</v>
      </c>
      <c r="C89" s="13">
        <v>90</v>
      </c>
      <c r="D89" s="13">
        <v>90</v>
      </c>
      <c r="E89" s="13">
        <v>90</v>
      </c>
      <c r="F89" s="14">
        <v>3122.5016272965881</v>
      </c>
      <c r="G89" s="15">
        <v>71.489999999999995</v>
      </c>
    </row>
    <row r="90" spans="1:7" s="16" customFormat="1" ht="13.9" customHeight="1" x14ac:dyDescent="0.25">
      <c r="A90" s="11" t="s">
        <v>197</v>
      </c>
      <c r="B90" s="12">
        <v>1355</v>
      </c>
      <c r="C90" s="13">
        <v>87</v>
      </c>
      <c r="D90" s="13">
        <v>87</v>
      </c>
      <c r="E90" s="13">
        <v>87</v>
      </c>
      <c r="F90" s="14">
        <v>3647.6341788856294</v>
      </c>
      <c r="G90" s="15">
        <v>85.1</v>
      </c>
    </row>
    <row r="91" spans="1:7" s="16" customFormat="1" ht="13.9" customHeight="1" x14ac:dyDescent="0.25">
      <c r="A91" s="11" t="s">
        <v>198</v>
      </c>
      <c r="B91" s="12">
        <v>926</v>
      </c>
      <c r="C91" s="13">
        <v>90</v>
      </c>
      <c r="D91" s="13">
        <v>90</v>
      </c>
      <c r="E91" s="13">
        <v>90</v>
      </c>
      <c r="F91" s="14">
        <v>3209.1989169295489</v>
      </c>
      <c r="G91" s="15">
        <v>67.06</v>
      </c>
    </row>
    <row r="92" spans="1:7" s="16" customFormat="1" ht="13.9" customHeight="1" x14ac:dyDescent="0.25">
      <c r="A92" s="11" t="s">
        <v>199</v>
      </c>
      <c r="B92" s="12">
        <v>2695</v>
      </c>
      <c r="C92" s="13">
        <v>80</v>
      </c>
      <c r="D92" s="13">
        <v>80</v>
      </c>
      <c r="E92" s="13">
        <v>80</v>
      </c>
      <c r="F92" s="14">
        <v>3447.9494781569401</v>
      </c>
      <c r="G92" s="15">
        <v>84.5</v>
      </c>
    </row>
    <row r="93" spans="1:7" s="16" customFormat="1" ht="13.9" customHeight="1" x14ac:dyDescent="0.25">
      <c r="A93" s="11" t="s">
        <v>200</v>
      </c>
      <c r="B93" s="12">
        <v>4269</v>
      </c>
      <c r="C93" s="13">
        <v>95</v>
      </c>
      <c r="D93" s="13">
        <v>95</v>
      </c>
      <c r="E93" s="13">
        <v>95</v>
      </c>
      <c r="F93" s="14">
        <v>3018.9838258479786</v>
      </c>
      <c r="G93" s="15">
        <v>75.37</v>
      </c>
    </row>
    <row r="94" spans="1:7" s="16" customFormat="1" ht="13.9" customHeight="1" x14ac:dyDescent="0.25">
      <c r="A94" s="11" t="s">
        <v>201</v>
      </c>
      <c r="B94" s="12">
        <v>522</v>
      </c>
      <c r="C94" s="13">
        <v>75</v>
      </c>
      <c r="D94" s="13">
        <v>75</v>
      </c>
      <c r="E94" s="13">
        <v>75</v>
      </c>
      <c r="F94" s="14">
        <v>8688.2429368029734</v>
      </c>
      <c r="G94" s="15">
        <v>147.16</v>
      </c>
    </row>
    <row r="95" spans="1:7" s="16" customFormat="1" ht="13.9" customHeight="1" x14ac:dyDescent="0.25">
      <c r="A95" s="11" t="s">
        <v>202</v>
      </c>
      <c r="B95" s="12">
        <v>2671</v>
      </c>
      <c r="C95" s="13">
        <v>70</v>
      </c>
      <c r="D95" s="13">
        <v>70</v>
      </c>
      <c r="E95" s="13">
        <v>70</v>
      </c>
      <c r="F95" s="14">
        <v>4396.0021284829745</v>
      </c>
      <c r="G95" s="15">
        <v>114.05</v>
      </c>
    </row>
    <row r="96" spans="1:7" s="16" customFormat="1" ht="13.9" customHeight="1" x14ac:dyDescent="0.25">
      <c r="A96" s="11" t="s">
        <v>203</v>
      </c>
      <c r="B96" s="12">
        <v>2276</v>
      </c>
      <c r="C96" s="13">
        <v>75</v>
      </c>
      <c r="D96" s="13">
        <v>75</v>
      </c>
      <c r="E96" s="13">
        <v>75</v>
      </c>
      <c r="F96" s="14">
        <v>5292.5900303954113</v>
      </c>
      <c r="G96" s="15">
        <v>117.6</v>
      </c>
    </row>
    <row r="97" spans="1:7" s="16" customFormat="1" ht="13.9" customHeight="1" x14ac:dyDescent="0.25">
      <c r="A97" s="11" t="s">
        <v>204</v>
      </c>
      <c r="B97" s="12">
        <v>2070</v>
      </c>
      <c r="C97" s="13">
        <v>93</v>
      </c>
      <c r="D97" s="13">
        <v>93</v>
      </c>
      <c r="E97" s="13">
        <v>93</v>
      </c>
      <c r="F97" s="14">
        <v>3190.4637067705785</v>
      </c>
      <c r="G97" s="15">
        <v>68.31</v>
      </c>
    </row>
    <row r="98" spans="1:7" s="16" customFormat="1" ht="13.9" customHeight="1" x14ac:dyDescent="0.25">
      <c r="A98" s="11" t="s">
        <v>205</v>
      </c>
      <c r="B98" s="12">
        <v>2183</v>
      </c>
      <c r="C98" s="13">
        <v>65</v>
      </c>
      <c r="D98" s="13">
        <v>65</v>
      </c>
      <c r="E98" s="13">
        <v>65</v>
      </c>
      <c r="F98" s="14">
        <v>6532.8863816425128</v>
      </c>
      <c r="G98" s="15">
        <v>133.02000000000001</v>
      </c>
    </row>
    <row r="99" spans="1:7" s="16" customFormat="1" ht="13.9" customHeight="1" x14ac:dyDescent="0.25">
      <c r="A99" s="11" t="s">
        <v>206</v>
      </c>
      <c r="B99" s="12">
        <v>4522</v>
      </c>
      <c r="C99" s="13">
        <v>65</v>
      </c>
      <c r="D99" s="13">
        <v>65</v>
      </c>
      <c r="E99" s="13">
        <v>65</v>
      </c>
      <c r="F99" s="14">
        <v>8438.9972091459349</v>
      </c>
      <c r="G99" s="15">
        <v>142.33000000000001</v>
      </c>
    </row>
    <row r="100" spans="1:7" s="16" customFormat="1" ht="13.9" customHeight="1" x14ac:dyDescent="0.25">
      <c r="A100" s="11" t="s">
        <v>207</v>
      </c>
      <c r="B100" s="12">
        <v>3393</v>
      </c>
      <c r="C100" s="13">
        <v>93</v>
      </c>
      <c r="D100" s="13">
        <v>93</v>
      </c>
      <c r="E100" s="13">
        <v>93</v>
      </c>
      <c r="F100" s="14">
        <v>3193.7847632342318</v>
      </c>
      <c r="G100" s="15">
        <v>90.25</v>
      </c>
    </row>
    <row r="101" spans="1:7" s="16" customFormat="1" ht="13.9" customHeight="1" x14ac:dyDescent="0.25">
      <c r="A101" s="11" t="s">
        <v>208</v>
      </c>
      <c r="B101" s="12">
        <v>2685</v>
      </c>
      <c r="C101" s="13">
        <v>85</v>
      </c>
      <c r="D101" s="13">
        <v>85</v>
      </c>
      <c r="E101" s="13">
        <v>85</v>
      </c>
      <c r="F101" s="14">
        <v>3135.3847735708978</v>
      </c>
      <c r="G101" s="15">
        <v>82.61</v>
      </c>
    </row>
    <row r="102" spans="1:7" s="16" customFormat="1" ht="13.9" customHeight="1" x14ac:dyDescent="0.25">
      <c r="A102" s="11" t="s">
        <v>209</v>
      </c>
      <c r="B102" s="12">
        <v>3087</v>
      </c>
      <c r="C102" s="13">
        <v>85</v>
      </c>
      <c r="D102" s="13">
        <v>85</v>
      </c>
      <c r="E102" s="13">
        <v>85</v>
      </c>
      <c r="F102" s="14">
        <v>3114.5156468181804</v>
      </c>
      <c r="G102" s="15">
        <v>86.3</v>
      </c>
    </row>
    <row r="103" spans="1:7" s="16" customFormat="1" ht="13.9" customHeight="1" x14ac:dyDescent="0.25">
      <c r="A103" s="11" t="s">
        <v>210</v>
      </c>
      <c r="B103" s="12">
        <v>3126</v>
      </c>
      <c r="C103" s="13">
        <v>85</v>
      </c>
      <c r="D103" s="13">
        <v>85</v>
      </c>
      <c r="E103" s="13">
        <v>85</v>
      </c>
      <c r="F103" s="14">
        <v>3366.2876845528458</v>
      </c>
      <c r="G103" s="15">
        <v>77.8</v>
      </c>
    </row>
    <row r="104" spans="1:7" s="16" customFormat="1" ht="13.9" customHeight="1" x14ac:dyDescent="0.25">
      <c r="A104" s="11" t="s">
        <v>211</v>
      </c>
      <c r="B104" s="12">
        <v>3491</v>
      </c>
      <c r="C104" s="13">
        <v>84</v>
      </c>
      <c r="D104" s="13">
        <v>84</v>
      </c>
      <c r="E104" s="13">
        <v>84</v>
      </c>
      <c r="F104" s="14">
        <v>4585.4850761406597</v>
      </c>
      <c r="G104" s="15">
        <v>97.6</v>
      </c>
    </row>
    <row r="105" spans="1:7" s="16" customFormat="1" ht="13.9" customHeight="1" x14ac:dyDescent="0.25">
      <c r="A105" s="11" t="s">
        <v>212</v>
      </c>
      <c r="B105" s="12">
        <v>3005</v>
      </c>
      <c r="C105" s="13">
        <v>80</v>
      </c>
      <c r="D105" s="13">
        <v>80</v>
      </c>
      <c r="E105" s="13">
        <v>80</v>
      </c>
      <c r="F105" s="14">
        <v>3231.3094510678538</v>
      </c>
      <c r="G105" s="15">
        <v>100.76</v>
      </c>
    </row>
    <row r="106" spans="1:7" s="16" customFormat="1" ht="13.9" customHeight="1" x14ac:dyDescent="0.25">
      <c r="A106" s="11" t="s">
        <v>213</v>
      </c>
      <c r="B106" s="12">
        <v>613</v>
      </c>
      <c r="C106" s="13">
        <v>80</v>
      </c>
      <c r="D106" s="13">
        <v>80</v>
      </c>
      <c r="E106" s="13">
        <v>80</v>
      </c>
      <c r="F106" s="14">
        <v>4957.0406451612926</v>
      </c>
      <c r="G106" s="15">
        <v>103.09</v>
      </c>
    </row>
    <row r="107" spans="1:7" s="16" customFormat="1" ht="13.9" customHeight="1" x14ac:dyDescent="0.25">
      <c r="A107" s="11" t="s">
        <v>214</v>
      </c>
      <c r="B107" s="12">
        <v>776</v>
      </c>
      <c r="C107" s="13">
        <v>100</v>
      </c>
      <c r="D107" s="13">
        <v>100</v>
      </c>
      <c r="E107" s="13">
        <v>100</v>
      </c>
      <c r="F107" s="14">
        <v>3262.559999999999</v>
      </c>
      <c r="G107" s="15">
        <v>63.37</v>
      </c>
    </row>
    <row r="108" spans="1:7" s="16" customFormat="1" ht="13.9" customHeight="1" x14ac:dyDescent="0.25">
      <c r="A108" s="11" t="s">
        <v>215</v>
      </c>
      <c r="B108" s="12">
        <v>1958</v>
      </c>
      <c r="C108" s="13">
        <v>85</v>
      </c>
      <c r="D108" s="13">
        <v>85</v>
      </c>
      <c r="E108" s="13">
        <v>85</v>
      </c>
      <c r="F108" s="14">
        <v>3650.9874021909236</v>
      </c>
      <c r="G108" s="15">
        <v>101.04</v>
      </c>
    </row>
    <row r="109" spans="1:7" s="16" customFormat="1" ht="13.9" customHeight="1" x14ac:dyDescent="0.25">
      <c r="A109" s="11" t="s">
        <v>216</v>
      </c>
      <c r="B109" s="12">
        <v>408</v>
      </c>
      <c r="C109" s="13">
        <v>65</v>
      </c>
      <c r="D109" s="13">
        <v>65</v>
      </c>
      <c r="E109" s="13">
        <v>65</v>
      </c>
      <c r="F109" s="14">
        <v>10846.309445783132</v>
      </c>
      <c r="G109" s="15">
        <v>176.4</v>
      </c>
    </row>
    <row r="110" spans="1:7" s="16" customFormat="1" ht="22.5" customHeight="1" x14ac:dyDescent="0.25">
      <c r="A110" s="17" t="s">
        <v>224</v>
      </c>
      <c r="B110" s="18">
        <v>358903</v>
      </c>
      <c r="C110" s="19"/>
      <c r="D110" s="19"/>
      <c r="E110" s="19">
        <v>79.157472500429634</v>
      </c>
      <c r="F110" s="173">
        <v>4613.6484378709893</v>
      </c>
      <c r="G110" s="19">
        <v>100</v>
      </c>
    </row>
    <row r="111" spans="1:7" s="24" customFormat="1" ht="14.25" customHeight="1" x14ac:dyDescent="0.15">
      <c r="A111" s="20" t="s">
        <v>589</v>
      </c>
      <c r="B111" s="20"/>
      <c r="C111" s="21"/>
      <c r="D111" s="21"/>
      <c r="E111" s="21"/>
      <c r="F111" s="20"/>
      <c r="G111" s="22"/>
    </row>
    <row r="112" spans="1:7" x14ac:dyDescent="0.25">
      <c r="B112" s="26"/>
    </row>
  </sheetData>
  <mergeCells count="4">
    <mergeCell ref="C2:E2"/>
    <mergeCell ref="B2:B3"/>
    <mergeCell ref="F2:F3"/>
    <mergeCell ref="G2:G3"/>
  </mergeCells>
  <printOptions horizontalCentered="1"/>
  <pageMargins left="0.70866141732283472" right="0.70866141732283472" top="0.35433070866141736" bottom="0.31496062992125984" header="0.31496062992125984" footer="3.937007874015748E-2"/>
  <pageSetup paperSize="9" firstPageNumber="12" orientation="portrait" useFirstPageNumber="1" horizontalDpi="1200" verticalDpi="1200" r:id="rId1"/>
  <headerFooter>
    <oddFooter>&amp;C&amp;"Arial Narrow,Corsivo"&amp;7- pagina &amp;P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2"/>
  <sheetViews>
    <sheetView zoomScale="150" zoomScaleNormal="150" workbookViewId="0">
      <pane ySplit="2" topLeftCell="A93" activePane="bottomLeft" state="frozenSplit"/>
      <selection pane="bottomLeft" activeCell="A2" sqref="A2"/>
    </sheetView>
  </sheetViews>
  <sheetFormatPr defaultRowHeight="13.5" x14ac:dyDescent="0.25"/>
  <cols>
    <col min="1" max="1" width="15.7109375" style="16" customWidth="1"/>
    <col min="2" max="2" width="2.42578125" style="16" customWidth="1"/>
    <col min="3" max="4" width="9.28515625" style="16" customWidth="1"/>
    <col min="5" max="5" width="9.28515625" style="46" customWidth="1"/>
    <col min="6" max="6" width="2.42578125" style="16" customWidth="1"/>
    <col min="7" max="8" width="9.28515625" style="16" customWidth="1"/>
    <col min="9" max="9" width="9.28515625" style="46" customWidth="1"/>
    <col min="10" max="10" width="2.42578125" style="16" customWidth="1"/>
    <col min="11" max="11" width="10.140625" style="46" customWidth="1"/>
    <col min="12" max="12" width="2.42578125" style="16" customWidth="1"/>
    <col min="13" max="14" width="9.28515625" style="16" customWidth="1"/>
    <col min="15" max="15" width="9.28515625" style="47" customWidth="1"/>
    <col min="16" max="16" width="2.42578125" style="16" customWidth="1"/>
    <col min="17" max="17" width="10.140625" style="46" customWidth="1"/>
    <col min="18" max="250" width="9.140625" style="16"/>
    <col min="251" max="251" width="18.42578125" style="16" customWidth="1"/>
    <col min="252" max="252" width="2.42578125" style="16" customWidth="1"/>
    <col min="253" max="255" width="9.28515625" style="16" customWidth="1"/>
    <col min="256" max="256" width="2.42578125" style="16" customWidth="1"/>
    <col min="257" max="259" width="9.28515625" style="16" customWidth="1"/>
    <col min="260" max="260" width="2.42578125" style="16" customWidth="1"/>
    <col min="261" max="261" width="10.140625" style="16" customWidth="1"/>
    <col min="262" max="262" width="2.42578125" style="16" customWidth="1"/>
    <col min="263" max="265" width="9.28515625" style="16" customWidth="1"/>
    <col min="266" max="266" width="2.42578125" style="16" customWidth="1"/>
    <col min="267" max="267" width="10.140625" style="16" customWidth="1"/>
    <col min="268" max="269" width="8.28515625" style="16" customWidth="1"/>
    <col min="270" max="270" width="16.140625" style="16" customWidth="1"/>
    <col min="271" max="506" width="9.140625" style="16"/>
    <col min="507" max="507" width="18.42578125" style="16" customWidth="1"/>
    <col min="508" max="508" width="2.42578125" style="16" customWidth="1"/>
    <col min="509" max="511" width="9.28515625" style="16" customWidth="1"/>
    <col min="512" max="512" width="2.42578125" style="16" customWidth="1"/>
    <col min="513" max="515" width="9.28515625" style="16" customWidth="1"/>
    <col min="516" max="516" width="2.42578125" style="16" customWidth="1"/>
    <col min="517" max="517" width="10.140625" style="16" customWidth="1"/>
    <col min="518" max="518" width="2.42578125" style="16" customWidth="1"/>
    <col min="519" max="521" width="9.28515625" style="16" customWidth="1"/>
    <col min="522" max="522" width="2.42578125" style="16" customWidth="1"/>
    <col min="523" max="523" width="10.140625" style="16" customWidth="1"/>
    <col min="524" max="525" width="8.28515625" style="16" customWidth="1"/>
    <col min="526" max="526" width="16.140625" style="16" customWidth="1"/>
    <col min="527" max="762" width="9.140625" style="16"/>
    <col min="763" max="763" width="18.42578125" style="16" customWidth="1"/>
    <col min="764" max="764" width="2.42578125" style="16" customWidth="1"/>
    <col min="765" max="767" width="9.28515625" style="16" customWidth="1"/>
    <col min="768" max="768" width="2.42578125" style="16" customWidth="1"/>
    <col min="769" max="771" width="9.28515625" style="16" customWidth="1"/>
    <col min="772" max="772" width="2.42578125" style="16" customWidth="1"/>
    <col min="773" max="773" width="10.140625" style="16" customWidth="1"/>
    <col min="774" max="774" width="2.42578125" style="16" customWidth="1"/>
    <col min="775" max="777" width="9.28515625" style="16" customWidth="1"/>
    <col min="778" max="778" width="2.42578125" style="16" customWidth="1"/>
    <col min="779" max="779" width="10.140625" style="16" customWidth="1"/>
    <col min="780" max="781" width="8.28515625" style="16" customWidth="1"/>
    <col min="782" max="782" width="16.140625" style="16" customWidth="1"/>
    <col min="783" max="1018" width="9.140625" style="16"/>
    <col min="1019" max="1019" width="18.42578125" style="16" customWidth="1"/>
    <col min="1020" max="1020" width="2.42578125" style="16" customWidth="1"/>
    <col min="1021" max="1023" width="9.28515625" style="16" customWidth="1"/>
    <col min="1024" max="1024" width="2.42578125" style="16" customWidth="1"/>
    <col min="1025" max="1027" width="9.28515625" style="16" customWidth="1"/>
    <col min="1028" max="1028" width="2.42578125" style="16" customWidth="1"/>
    <col min="1029" max="1029" width="10.140625" style="16" customWidth="1"/>
    <col min="1030" max="1030" width="2.42578125" style="16" customWidth="1"/>
    <col min="1031" max="1033" width="9.28515625" style="16" customWidth="1"/>
    <col min="1034" max="1034" width="2.42578125" style="16" customWidth="1"/>
    <col min="1035" max="1035" width="10.140625" style="16" customWidth="1"/>
    <col min="1036" max="1037" width="8.28515625" style="16" customWidth="1"/>
    <col min="1038" max="1038" width="16.140625" style="16" customWidth="1"/>
    <col min="1039" max="1274" width="9.140625" style="16"/>
    <col min="1275" max="1275" width="18.42578125" style="16" customWidth="1"/>
    <col min="1276" max="1276" width="2.42578125" style="16" customWidth="1"/>
    <col min="1277" max="1279" width="9.28515625" style="16" customWidth="1"/>
    <col min="1280" max="1280" width="2.42578125" style="16" customWidth="1"/>
    <col min="1281" max="1283" width="9.28515625" style="16" customWidth="1"/>
    <col min="1284" max="1284" width="2.42578125" style="16" customWidth="1"/>
    <col min="1285" max="1285" width="10.140625" style="16" customWidth="1"/>
    <col min="1286" max="1286" width="2.42578125" style="16" customWidth="1"/>
    <col min="1287" max="1289" width="9.28515625" style="16" customWidth="1"/>
    <col min="1290" max="1290" width="2.42578125" style="16" customWidth="1"/>
    <col min="1291" max="1291" width="10.140625" style="16" customWidth="1"/>
    <col min="1292" max="1293" width="8.28515625" style="16" customWidth="1"/>
    <col min="1294" max="1294" width="16.140625" style="16" customWidth="1"/>
    <col min="1295" max="1530" width="9.140625" style="16"/>
    <col min="1531" max="1531" width="18.42578125" style="16" customWidth="1"/>
    <col min="1532" max="1532" width="2.42578125" style="16" customWidth="1"/>
    <col min="1533" max="1535" width="9.28515625" style="16" customWidth="1"/>
    <col min="1536" max="1536" width="2.42578125" style="16" customWidth="1"/>
    <col min="1537" max="1539" width="9.28515625" style="16" customWidth="1"/>
    <col min="1540" max="1540" width="2.42578125" style="16" customWidth="1"/>
    <col min="1541" max="1541" width="10.140625" style="16" customWidth="1"/>
    <col min="1542" max="1542" width="2.42578125" style="16" customWidth="1"/>
    <col min="1543" max="1545" width="9.28515625" style="16" customWidth="1"/>
    <col min="1546" max="1546" width="2.42578125" style="16" customWidth="1"/>
    <col min="1547" max="1547" width="10.140625" style="16" customWidth="1"/>
    <col min="1548" max="1549" width="8.28515625" style="16" customWidth="1"/>
    <col min="1550" max="1550" width="16.140625" style="16" customWidth="1"/>
    <col min="1551" max="1786" width="9.140625" style="16"/>
    <col min="1787" max="1787" width="18.42578125" style="16" customWidth="1"/>
    <col min="1788" max="1788" width="2.42578125" style="16" customWidth="1"/>
    <col min="1789" max="1791" width="9.28515625" style="16" customWidth="1"/>
    <col min="1792" max="1792" width="2.42578125" style="16" customWidth="1"/>
    <col min="1793" max="1795" width="9.28515625" style="16" customWidth="1"/>
    <col min="1796" max="1796" width="2.42578125" style="16" customWidth="1"/>
    <col min="1797" max="1797" width="10.140625" style="16" customWidth="1"/>
    <col min="1798" max="1798" width="2.42578125" style="16" customWidth="1"/>
    <col min="1799" max="1801" width="9.28515625" style="16" customWidth="1"/>
    <col min="1802" max="1802" width="2.42578125" style="16" customWidth="1"/>
    <col min="1803" max="1803" width="10.140625" style="16" customWidth="1"/>
    <col min="1804" max="1805" width="8.28515625" style="16" customWidth="1"/>
    <col min="1806" max="1806" width="16.140625" style="16" customWidth="1"/>
    <col min="1807" max="2042" width="9.140625" style="16"/>
    <col min="2043" max="2043" width="18.42578125" style="16" customWidth="1"/>
    <col min="2044" max="2044" width="2.42578125" style="16" customWidth="1"/>
    <col min="2045" max="2047" width="9.28515625" style="16" customWidth="1"/>
    <col min="2048" max="2048" width="2.42578125" style="16" customWidth="1"/>
    <col min="2049" max="2051" width="9.28515625" style="16" customWidth="1"/>
    <col min="2052" max="2052" width="2.42578125" style="16" customWidth="1"/>
    <col min="2053" max="2053" width="10.140625" style="16" customWidth="1"/>
    <col min="2054" max="2054" width="2.42578125" style="16" customWidth="1"/>
    <col min="2055" max="2057" width="9.28515625" style="16" customWidth="1"/>
    <col min="2058" max="2058" width="2.42578125" style="16" customWidth="1"/>
    <col min="2059" max="2059" width="10.140625" style="16" customWidth="1"/>
    <col min="2060" max="2061" width="8.28515625" style="16" customWidth="1"/>
    <col min="2062" max="2062" width="16.140625" style="16" customWidth="1"/>
    <col min="2063" max="2298" width="9.140625" style="16"/>
    <col min="2299" max="2299" width="18.42578125" style="16" customWidth="1"/>
    <col min="2300" max="2300" width="2.42578125" style="16" customWidth="1"/>
    <col min="2301" max="2303" width="9.28515625" style="16" customWidth="1"/>
    <col min="2304" max="2304" width="2.42578125" style="16" customWidth="1"/>
    <col min="2305" max="2307" width="9.28515625" style="16" customWidth="1"/>
    <col min="2308" max="2308" width="2.42578125" style="16" customWidth="1"/>
    <col min="2309" max="2309" width="10.140625" style="16" customWidth="1"/>
    <col min="2310" max="2310" width="2.42578125" style="16" customWidth="1"/>
    <col min="2311" max="2313" width="9.28515625" style="16" customWidth="1"/>
    <col min="2314" max="2314" width="2.42578125" style="16" customWidth="1"/>
    <col min="2315" max="2315" width="10.140625" style="16" customWidth="1"/>
    <col min="2316" max="2317" width="8.28515625" style="16" customWidth="1"/>
    <col min="2318" max="2318" width="16.140625" style="16" customWidth="1"/>
    <col min="2319" max="2554" width="9.140625" style="16"/>
    <col min="2555" max="2555" width="18.42578125" style="16" customWidth="1"/>
    <col min="2556" max="2556" width="2.42578125" style="16" customWidth="1"/>
    <col min="2557" max="2559" width="9.28515625" style="16" customWidth="1"/>
    <col min="2560" max="2560" width="2.42578125" style="16" customWidth="1"/>
    <col min="2561" max="2563" width="9.28515625" style="16" customWidth="1"/>
    <col min="2564" max="2564" width="2.42578125" style="16" customWidth="1"/>
    <col min="2565" max="2565" width="10.140625" style="16" customWidth="1"/>
    <col min="2566" max="2566" width="2.42578125" style="16" customWidth="1"/>
    <col min="2567" max="2569" width="9.28515625" style="16" customWidth="1"/>
    <col min="2570" max="2570" width="2.42578125" style="16" customWidth="1"/>
    <col min="2571" max="2571" width="10.140625" style="16" customWidth="1"/>
    <col min="2572" max="2573" width="8.28515625" style="16" customWidth="1"/>
    <col min="2574" max="2574" width="16.140625" style="16" customWidth="1"/>
    <col min="2575" max="2810" width="9.140625" style="16"/>
    <col min="2811" max="2811" width="18.42578125" style="16" customWidth="1"/>
    <col min="2812" max="2812" width="2.42578125" style="16" customWidth="1"/>
    <col min="2813" max="2815" width="9.28515625" style="16" customWidth="1"/>
    <col min="2816" max="2816" width="2.42578125" style="16" customWidth="1"/>
    <col min="2817" max="2819" width="9.28515625" style="16" customWidth="1"/>
    <col min="2820" max="2820" width="2.42578125" style="16" customWidth="1"/>
    <col min="2821" max="2821" width="10.140625" style="16" customWidth="1"/>
    <col min="2822" max="2822" width="2.42578125" style="16" customWidth="1"/>
    <col min="2823" max="2825" width="9.28515625" style="16" customWidth="1"/>
    <col min="2826" max="2826" width="2.42578125" style="16" customWidth="1"/>
    <col min="2827" max="2827" width="10.140625" style="16" customWidth="1"/>
    <col min="2828" max="2829" width="8.28515625" style="16" customWidth="1"/>
    <col min="2830" max="2830" width="16.140625" style="16" customWidth="1"/>
    <col min="2831" max="3066" width="9.140625" style="16"/>
    <col min="3067" max="3067" width="18.42578125" style="16" customWidth="1"/>
    <col min="3068" max="3068" width="2.42578125" style="16" customWidth="1"/>
    <col min="3069" max="3071" width="9.28515625" style="16" customWidth="1"/>
    <col min="3072" max="3072" width="2.42578125" style="16" customWidth="1"/>
    <col min="3073" max="3075" width="9.28515625" style="16" customWidth="1"/>
    <col min="3076" max="3076" width="2.42578125" style="16" customWidth="1"/>
    <col min="3077" max="3077" width="10.140625" style="16" customWidth="1"/>
    <col min="3078" max="3078" width="2.42578125" style="16" customWidth="1"/>
    <col min="3079" max="3081" width="9.28515625" style="16" customWidth="1"/>
    <col min="3082" max="3082" width="2.42578125" style="16" customWidth="1"/>
    <col min="3083" max="3083" width="10.140625" style="16" customWidth="1"/>
    <col min="3084" max="3085" width="8.28515625" style="16" customWidth="1"/>
    <col min="3086" max="3086" width="16.140625" style="16" customWidth="1"/>
    <col min="3087" max="3322" width="9.140625" style="16"/>
    <col min="3323" max="3323" width="18.42578125" style="16" customWidth="1"/>
    <col min="3324" max="3324" width="2.42578125" style="16" customWidth="1"/>
    <col min="3325" max="3327" width="9.28515625" style="16" customWidth="1"/>
    <col min="3328" max="3328" width="2.42578125" style="16" customWidth="1"/>
    <col min="3329" max="3331" width="9.28515625" style="16" customWidth="1"/>
    <col min="3332" max="3332" width="2.42578125" style="16" customWidth="1"/>
    <col min="3333" max="3333" width="10.140625" style="16" customWidth="1"/>
    <col min="3334" max="3334" width="2.42578125" style="16" customWidth="1"/>
    <col min="3335" max="3337" width="9.28515625" style="16" customWidth="1"/>
    <col min="3338" max="3338" width="2.42578125" style="16" customWidth="1"/>
    <col min="3339" max="3339" width="10.140625" style="16" customWidth="1"/>
    <col min="3340" max="3341" width="8.28515625" style="16" customWidth="1"/>
    <col min="3342" max="3342" width="16.140625" style="16" customWidth="1"/>
    <col min="3343" max="3578" width="9.140625" style="16"/>
    <col min="3579" max="3579" width="18.42578125" style="16" customWidth="1"/>
    <col min="3580" max="3580" width="2.42578125" style="16" customWidth="1"/>
    <col min="3581" max="3583" width="9.28515625" style="16" customWidth="1"/>
    <col min="3584" max="3584" width="2.42578125" style="16" customWidth="1"/>
    <col min="3585" max="3587" width="9.28515625" style="16" customWidth="1"/>
    <col min="3588" max="3588" width="2.42578125" style="16" customWidth="1"/>
    <col min="3589" max="3589" width="10.140625" style="16" customWidth="1"/>
    <col min="3590" max="3590" width="2.42578125" style="16" customWidth="1"/>
    <col min="3591" max="3593" width="9.28515625" style="16" customWidth="1"/>
    <col min="3594" max="3594" width="2.42578125" style="16" customWidth="1"/>
    <col min="3595" max="3595" width="10.140625" style="16" customWidth="1"/>
    <col min="3596" max="3597" width="8.28515625" style="16" customWidth="1"/>
    <col min="3598" max="3598" width="16.140625" style="16" customWidth="1"/>
    <col min="3599" max="3834" width="9.140625" style="16"/>
    <col min="3835" max="3835" width="18.42578125" style="16" customWidth="1"/>
    <col min="3836" max="3836" width="2.42578125" style="16" customWidth="1"/>
    <col min="3837" max="3839" width="9.28515625" style="16" customWidth="1"/>
    <col min="3840" max="3840" width="2.42578125" style="16" customWidth="1"/>
    <col min="3841" max="3843" width="9.28515625" style="16" customWidth="1"/>
    <col min="3844" max="3844" width="2.42578125" style="16" customWidth="1"/>
    <col min="3845" max="3845" width="10.140625" style="16" customWidth="1"/>
    <col min="3846" max="3846" width="2.42578125" style="16" customWidth="1"/>
    <col min="3847" max="3849" width="9.28515625" style="16" customWidth="1"/>
    <col min="3850" max="3850" width="2.42578125" style="16" customWidth="1"/>
    <col min="3851" max="3851" width="10.140625" style="16" customWidth="1"/>
    <col min="3852" max="3853" width="8.28515625" style="16" customWidth="1"/>
    <col min="3854" max="3854" width="16.140625" style="16" customWidth="1"/>
    <col min="3855" max="4090" width="9.140625" style="16"/>
    <col min="4091" max="4091" width="18.42578125" style="16" customWidth="1"/>
    <col min="4092" max="4092" width="2.42578125" style="16" customWidth="1"/>
    <col min="4093" max="4095" width="9.28515625" style="16" customWidth="1"/>
    <col min="4096" max="4096" width="2.42578125" style="16" customWidth="1"/>
    <col min="4097" max="4099" width="9.28515625" style="16" customWidth="1"/>
    <col min="4100" max="4100" width="2.42578125" style="16" customWidth="1"/>
    <col min="4101" max="4101" width="10.140625" style="16" customWidth="1"/>
    <col min="4102" max="4102" width="2.42578125" style="16" customWidth="1"/>
    <col min="4103" max="4105" width="9.28515625" style="16" customWidth="1"/>
    <col min="4106" max="4106" width="2.42578125" style="16" customWidth="1"/>
    <col min="4107" max="4107" width="10.140625" style="16" customWidth="1"/>
    <col min="4108" max="4109" width="8.28515625" style="16" customWidth="1"/>
    <col min="4110" max="4110" width="16.140625" style="16" customWidth="1"/>
    <col min="4111" max="4346" width="9.140625" style="16"/>
    <col min="4347" max="4347" width="18.42578125" style="16" customWidth="1"/>
    <col min="4348" max="4348" width="2.42578125" style="16" customWidth="1"/>
    <col min="4349" max="4351" width="9.28515625" style="16" customWidth="1"/>
    <col min="4352" max="4352" width="2.42578125" style="16" customWidth="1"/>
    <col min="4353" max="4355" width="9.28515625" style="16" customWidth="1"/>
    <col min="4356" max="4356" width="2.42578125" style="16" customWidth="1"/>
    <col min="4357" max="4357" width="10.140625" style="16" customWidth="1"/>
    <col min="4358" max="4358" width="2.42578125" style="16" customWidth="1"/>
    <col min="4359" max="4361" width="9.28515625" style="16" customWidth="1"/>
    <col min="4362" max="4362" width="2.42578125" style="16" customWidth="1"/>
    <col min="4363" max="4363" width="10.140625" style="16" customWidth="1"/>
    <col min="4364" max="4365" width="8.28515625" style="16" customWidth="1"/>
    <col min="4366" max="4366" width="16.140625" style="16" customWidth="1"/>
    <col min="4367" max="4602" width="9.140625" style="16"/>
    <col min="4603" max="4603" width="18.42578125" style="16" customWidth="1"/>
    <col min="4604" max="4604" width="2.42578125" style="16" customWidth="1"/>
    <col min="4605" max="4607" width="9.28515625" style="16" customWidth="1"/>
    <col min="4608" max="4608" width="2.42578125" style="16" customWidth="1"/>
    <col min="4609" max="4611" width="9.28515625" style="16" customWidth="1"/>
    <col min="4612" max="4612" width="2.42578125" style="16" customWidth="1"/>
    <col min="4613" max="4613" width="10.140625" style="16" customWidth="1"/>
    <col min="4614" max="4614" width="2.42578125" style="16" customWidth="1"/>
    <col min="4615" max="4617" width="9.28515625" style="16" customWidth="1"/>
    <col min="4618" max="4618" width="2.42578125" style="16" customWidth="1"/>
    <col min="4619" max="4619" width="10.140625" style="16" customWidth="1"/>
    <col min="4620" max="4621" width="8.28515625" style="16" customWidth="1"/>
    <col min="4622" max="4622" width="16.140625" style="16" customWidth="1"/>
    <col min="4623" max="4858" width="9.140625" style="16"/>
    <col min="4859" max="4859" width="18.42578125" style="16" customWidth="1"/>
    <col min="4860" max="4860" width="2.42578125" style="16" customWidth="1"/>
    <col min="4861" max="4863" width="9.28515625" style="16" customWidth="1"/>
    <col min="4864" max="4864" width="2.42578125" style="16" customWidth="1"/>
    <col min="4865" max="4867" width="9.28515625" style="16" customWidth="1"/>
    <col min="4868" max="4868" width="2.42578125" style="16" customWidth="1"/>
    <col min="4869" max="4869" width="10.140625" style="16" customWidth="1"/>
    <col min="4870" max="4870" width="2.42578125" style="16" customWidth="1"/>
    <col min="4871" max="4873" width="9.28515625" style="16" customWidth="1"/>
    <col min="4874" max="4874" width="2.42578125" style="16" customWidth="1"/>
    <col min="4875" max="4875" width="10.140625" style="16" customWidth="1"/>
    <col min="4876" max="4877" width="8.28515625" style="16" customWidth="1"/>
    <col min="4878" max="4878" width="16.140625" style="16" customWidth="1"/>
    <col min="4879" max="5114" width="9.140625" style="16"/>
    <col min="5115" max="5115" width="18.42578125" style="16" customWidth="1"/>
    <col min="5116" max="5116" width="2.42578125" style="16" customWidth="1"/>
    <col min="5117" max="5119" width="9.28515625" style="16" customWidth="1"/>
    <col min="5120" max="5120" width="2.42578125" style="16" customWidth="1"/>
    <col min="5121" max="5123" width="9.28515625" style="16" customWidth="1"/>
    <col min="5124" max="5124" width="2.42578125" style="16" customWidth="1"/>
    <col min="5125" max="5125" width="10.140625" style="16" customWidth="1"/>
    <col min="5126" max="5126" width="2.42578125" style="16" customWidth="1"/>
    <col min="5127" max="5129" width="9.28515625" style="16" customWidth="1"/>
    <col min="5130" max="5130" width="2.42578125" style="16" customWidth="1"/>
    <col min="5131" max="5131" width="10.140625" style="16" customWidth="1"/>
    <col min="5132" max="5133" width="8.28515625" style="16" customWidth="1"/>
    <col min="5134" max="5134" width="16.140625" style="16" customWidth="1"/>
    <col min="5135" max="5370" width="9.140625" style="16"/>
    <col min="5371" max="5371" width="18.42578125" style="16" customWidth="1"/>
    <col min="5372" max="5372" width="2.42578125" style="16" customWidth="1"/>
    <col min="5373" max="5375" width="9.28515625" style="16" customWidth="1"/>
    <col min="5376" max="5376" width="2.42578125" style="16" customWidth="1"/>
    <col min="5377" max="5379" width="9.28515625" style="16" customWidth="1"/>
    <col min="5380" max="5380" width="2.42578125" style="16" customWidth="1"/>
    <col min="5381" max="5381" width="10.140625" style="16" customWidth="1"/>
    <col min="5382" max="5382" width="2.42578125" style="16" customWidth="1"/>
    <col min="5383" max="5385" width="9.28515625" style="16" customWidth="1"/>
    <col min="5386" max="5386" width="2.42578125" style="16" customWidth="1"/>
    <col min="5387" max="5387" width="10.140625" style="16" customWidth="1"/>
    <col min="5388" max="5389" width="8.28515625" style="16" customWidth="1"/>
    <col min="5390" max="5390" width="16.140625" style="16" customWidth="1"/>
    <col min="5391" max="5626" width="9.140625" style="16"/>
    <col min="5627" max="5627" width="18.42578125" style="16" customWidth="1"/>
    <col min="5628" max="5628" width="2.42578125" style="16" customWidth="1"/>
    <col min="5629" max="5631" width="9.28515625" style="16" customWidth="1"/>
    <col min="5632" max="5632" width="2.42578125" style="16" customWidth="1"/>
    <col min="5633" max="5635" width="9.28515625" style="16" customWidth="1"/>
    <col min="5636" max="5636" width="2.42578125" style="16" customWidth="1"/>
    <col min="5637" max="5637" width="10.140625" style="16" customWidth="1"/>
    <col min="5638" max="5638" width="2.42578125" style="16" customWidth="1"/>
    <col min="5639" max="5641" width="9.28515625" style="16" customWidth="1"/>
    <col min="5642" max="5642" width="2.42578125" style="16" customWidth="1"/>
    <col min="5643" max="5643" width="10.140625" style="16" customWidth="1"/>
    <col min="5644" max="5645" width="8.28515625" style="16" customWidth="1"/>
    <col min="5646" max="5646" width="16.140625" style="16" customWidth="1"/>
    <col min="5647" max="5882" width="9.140625" style="16"/>
    <col min="5883" max="5883" width="18.42578125" style="16" customWidth="1"/>
    <col min="5884" max="5884" width="2.42578125" style="16" customWidth="1"/>
    <col min="5885" max="5887" width="9.28515625" style="16" customWidth="1"/>
    <col min="5888" max="5888" width="2.42578125" style="16" customWidth="1"/>
    <col min="5889" max="5891" width="9.28515625" style="16" customWidth="1"/>
    <col min="5892" max="5892" width="2.42578125" style="16" customWidth="1"/>
    <col min="5893" max="5893" width="10.140625" style="16" customWidth="1"/>
    <col min="5894" max="5894" width="2.42578125" style="16" customWidth="1"/>
    <col min="5895" max="5897" width="9.28515625" style="16" customWidth="1"/>
    <col min="5898" max="5898" width="2.42578125" style="16" customWidth="1"/>
    <col min="5899" max="5899" width="10.140625" style="16" customWidth="1"/>
    <col min="5900" max="5901" width="8.28515625" style="16" customWidth="1"/>
    <col min="5902" max="5902" width="16.140625" style="16" customWidth="1"/>
    <col min="5903" max="6138" width="9.140625" style="16"/>
    <col min="6139" max="6139" width="18.42578125" style="16" customWidth="1"/>
    <col min="6140" max="6140" width="2.42578125" style="16" customWidth="1"/>
    <col min="6141" max="6143" width="9.28515625" style="16" customWidth="1"/>
    <col min="6144" max="6144" width="2.42578125" style="16" customWidth="1"/>
    <col min="6145" max="6147" width="9.28515625" style="16" customWidth="1"/>
    <col min="6148" max="6148" width="2.42578125" style="16" customWidth="1"/>
    <col min="6149" max="6149" width="10.140625" style="16" customWidth="1"/>
    <col min="6150" max="6150" width="2.42578125" style="16" customWidth="1"/>
    <col min="6151" max="6153" width="9.28515625" style="16" customWidth="1"/>
    <col min="6154" max="6154" width="2.42578125" style="16" customWidth="1"/>
    <col min="6155" max="6155" width="10.140625" style="16" customWidth="1"/>
    <col min="6156" max="6157" width="8.28515625" style="16" customWidth="1"/>
    <col min="6158" max="6158" width="16.140625" style="16" customWidth="1"/>
    <col min="6159" max="6394" width="9.140625" style="16"/>
    <col min="6395" max="6395" width="18.42578125" style="16" customWidth="1"/>
    <col min="6396" max="6396" width="2.42578125" style="16" customWidth="1"/>
    <col min="6397" max="6399" width="9.28515625" style="16" customWidth="1"/>
    <col min="6400" max="6400" width="2.42578125" style="16" customWidth="1"/>
    <col min="6401" max="6403" width="9.28515625" style="16" customWidth="1"/>
    <col min="6404" max="6404" width="2.42578125" style="16" customWidth="1"/>
    <col min="6405" max="6405" width="10.140625" style="16" customWidth="1"/>
    <col min="6406" max="6406" width="2.42578125" style="16" customWidth="1"/>
    <col min="6407" max="6409" width="9.28515625" style="16" customWidth="1"/>
    <col min="6410" max="6410" width="2.42578125" style="16" customWidth="1"/>
    <col min="6411" max="6411" width="10.140625" style="16" customWidth="1"/>
    <col min="6412" max="6413" width="8.28515625" style="16" customWidth="1"/>
    <col min="6414" max="6414" width="16.140625" style="16" customWidth="1"/>
    <col min="6415" max="6650" width="9.140625" style="16"/>
    <col min="6651" max="6651" width="18.42578125" style="16" customWidth="1"/>
    <col min="6652" max="6652" width="2.42578125" style="16" customWidth="1"/>
    <col min="6653" max="6655" width="9.28515625" style="16" customWidth="1"/>
    <col min="6656" max="6656" width="2.42578125" style="16" customWidth="1"/>
    <col min="6657" max="6659" width="9.28515625" style="16" customWidth="1"/>
    <col min="6660" max="6660" width="2.42578125" style="16" customWidth="1"/>
    <col min="6661" max="6661" width="10.140625" style="16" customWidth="1"/>
    <col min="6662" max="6662" width="2.42578125" style="16" customWidth="1"/>
    <col min="6663" max="6665" width="9.28515625" style="16" customWidth="1"/>
    <col min="6666" max="6666" width="2.42578125" style="16" customWidth="1"/>
    <col min="6667" max="6667" width="10.140625" style="16" customWidth="1"/>
    <col min="6668" max="6669" width="8.28515625" style="16" customWidth="1"/>
    <col min="6670" max="6670" width="16.140625" style="16" customWidth="1"/>
    <col min="6671" max="6906" width="9.140625" style="16"/>
    <col min="6907" max="6907" width="18.42578125" style="16" customWidth="1"/>
    <col min="6908" max="6908" width="2.42578125" style="16" customWidth="1"/>
    <col min="6909" max="6911" width="9.28515625" style="16" customWidth="1"/>
    <col min="6912" max="6912" width="2.42578125" style="16" customWidth="1"/>
    <col min="6913" max="6915" width="9.28515625" style="16" customWidth="1"/>
    <col min="6916" max="6916" width="2.42578125" style="16" customWidth="1"/>
    <col min="6917" max="6917" width="10.140625" style="16" customWidth="1"/>
    <col min="6918" max="6918" width="2.42578125" style="16" customWidth="1"/>
    <col min="6919" max="6921" width="9.28515625" style="16" customWidth="1"/>
    <col min="6922" max="6922" width="2.42578125" style="16" customWidth="1"/>
    <col min="6923" max="6923" width="10.140625" style="16" customWidth="1"/>
    <col min="6924" max="6925" width="8.28515625" style="16" customWidth="1"/>
    <col min="6926" max="6926" width="16.140625" style="16" customWidth="1"/>
    <col min="6927" max="7162" width="9.140625" style="16"/>
    <col min="7163" max="7163" width="18.42578125" style="16" customWidth="1"/>
    <col min="7164" max="7164" width="2.42578125" style="16" customWidth="1"/>
    <col min="7165" max="7167" width="9.28515625" style="16" customWidth="1"/>
    <col min="7168" max="7168" width="2.42578125" style="16" customWidth="1"/>
    <col min="7169" max="7171" width="9.28515625" style="16" customWidth="1"/>
    <col min="7172" max="7172" width="2.42578125" style="16" customWidth="1"/>
    <col min="7173" max="7173" width="10.140625" style="16" customWidth="1"/>
    <col min="7174" max="7174" width="2.42578125" style="16" customWidth="1"/>
    <col min="7175" max="7177" width="9.28515625" style="16" customWidth="1"/>
    <col min="7178" max="7178" width="2.42578125" style="16" customWidth="1"/>
    <col min="7179" max="7179" width="10.140625" style="16" customWidth="1"/>
    <col min="7180" max="7181" width="8.28515625" style="16" customWidth="1"/>
    <col min="7182" max="7182" width="16.140625" style="16" customWidth="1"/>
    <col min="7183" max="7418" width="9.140625" style="16"/>
    <col min="7419" max="7419" width="18.42578125" style="16" customWidth="1"/>
    <col min="7420" max="7420" width="2.42578125" style="16" customWidth="1"/>
    <col min="7421" max="7423" width="9.28515625" style="16" customWidth="1"/>
    <col min="7424" max="7424" width="2.42578125" style="16" customWidth="1"/>
    <col min="7425" max="7427" width="9.28515625" style="16" customWidth="1"/>
    <col min="7428" max="7428" width="2.42578125" style="16" customWidth="1"/>
    <col min="7429" max="7429" width="10.140625" style="16" customWidth="1"/>
    <col min="7430" max="7430" width="2.42578125" style="16" customWidth="1"/>
    <col min="7431" max="7433" width="9.28515625" style="16" customWidth="1"/>
    <col min="7434" max="7434" width="2.42578125" style="16" customWidth="1"/>
    <col min="7435" max="7435" width="10.140625" style="16" customWidth="1"/>
    <col min="7436" max="7437" width="8.28515625" style="16" customWidth="1"/>
    <col min="7438" max="7438" width="16.140625" style="16" customWidth="1"/>
    <col min="7439" max="7674" width="9.140625" style="16"/>
    <col min="7675" max="7675" width="18.42578125" style="16" customWidth="1"/>
    <col min="7676" max="7676" width="2.42578125" style="16" customWidth="1"/>
    <col min="7677" max="7679" width="9.28515625" style="16" customWidth="1"/>
    <col min="7680" max="7680" width="2.42578125" style="16" customWidth="1"/>
    <col min="7681" max="7683" width="9.28515625" style="16" customWidth="1"/>
    <col min="7684" max="7684" width="2.42578125" style="16" customWidth="1"/>
    <col min="7685" max="7685" width="10.140625" style="16" customWidth="1"/>
    <col min="7686" max="7686" width="2.42578125" style="16" customWidth="1"/>
    <col min="7687" max="7689" width="9.28515625" style="16" customWidth="1"/>
    <col min="7690" max="7690" width="2.42578125" style="16" customWidth="1"/>
    <col min="7691" max="7691" width="10.140625" style="16" customWidth="1"/>
    <col min="7692" max="7693" width="8.28515625" style="16" customWidth="1"/>
    <col min="7694" max="7694" width="16.140625" style="16" customWidth="1"/>
    <col min="7695" max="7930" width="9.140625" style="16"/>
    <col min="7931" max="7931" width="18.42578125" style="16" customWidth="1"/>
    <col min="7932" max="7932" width="2.42578125" style="16" customWidth="1"/>
    <col min="7933" max="7935" width="9.28515625" style="16" customWidth="1"/>
    <col min="7936" max="7936" width="2.42578125" style="16" customWidth="1"/>
    <col min="7937" max="7939" width="9.28515625" style="16" customWidth="1"/>
    <col min="7940" max="7940" width="2.42578125" style="16" customWidth="1"/>
    <col min="7941" max="7941" width="10.140625" style="16" customWidth="1"/>
    <col min="7942" max="7942" width="2.42578125" style="16" customWidth="1"/>
    <col min="7943" max="7945" width="9.28515625" style="16" customWidth="1"/>
    <col min="7946" max="7946" width="2.42578125" style="16" customWidth="1"/>
    <col min="7947" max="7947" width="10.140625" style="16" customWidth="1"/>
    <col min="7948" max="7949" width="8.28515625" style="16" customWidth="1"/>
    <col min="7950" max="7950" width="16.140625" style="16" customWidth="1"/>
    <col min="7951" max="8186" width="9.140625" style="16"/>
    <col min="8187" max="8187" width="18.42578125" style="16" customWidth="1"/>
    <col min="8188" max="8188" width="2.42578125" style="16" customWidth="1"/>
    <col min="8189" max="8191" width="9.28515625" style="16" customWidth="1"/>
    <col min="8192" max="8192" width="2.42578125" style="16" customWidth="1"/>
    <col min="8193" max="8195" width="9.28515625" style="16" customWidth="1"/>
    <col min="8196" max="8196" width="2.42578125" style="16" customWidth="1"/>
    <col min="8197" max="8197" width="10.140625" style="16" customWidth="1"/>
    <col min="8198" max="8198" width="2.42578125" style="16" customWidth="1"/>
    <col min="8199" max="8201" width="9.28515625" style="16" customWidth="1"/>
    <col min="8202" max="8202" width="2.42578125" style="16" customWidth="1"/>
    <col min="8203" max="8203" width="10.140625" style="16" customWidth="1"/>
    <col min="8204" max="8205" width="8.28515625" style="16" customWidth="1"/>
    <col min="8206" max="8206" width="16.140625" style="16" customWidth="1"/>
    <col min="8207" max="8442" width="9.140625" style="16"/>
    <col min="8443" max="8443" width="18.42578125" style="16" customWidth="1"/>
    <col min="8444" max="8444" width="2.42578125" style="16" customWidth="1"/>
    <col min="8445" max="8447" width="9.28515625" style="16" customWidth="1"/>
    <col min="8448" max="8448" width="2.42578125" style="16" customWidth="1"/>
    <col min="8449" max="8451" width="9.28515625" style="16" customWidth="1"/>
    <col min="8452" max="8452" width="2.42578125" style="16" customWidth="1"/>
    <col min="8453" max="8453" width="10.140625" style="16" customWidth="1"/>
    <col min="8454" max="8454" width="2.42578125" style="16" customWidth="1"/>
    <col min="8455" max="8457" width="9.28515625" style="16" customWidth="1"/>
    <col min="8458" max="8458" width="2.42578125" style="16" customWidth="1"/>
    <col min="8459" max="8459" width="10.140625" style="16" customWidth="1"/>
    <col min="8460" max="8461" width="8.28515625" style="16" customWidth="1"/>
    <col min="8462" max="8462" width="16.140625" style="16" customWidth="1"/>
    <col min="8463" max="8698" width="9.140625" style="16"/>
    <col min="8699" max="8699" width="18.42578125" style="16" customWidth="1"/>
    <col min="8700" max="8700" width="2.42578125" style="16" customWidth="1"/>
    <col min="8701" max="8703" width="9.28515625" style="16" customWidth="1"/>
    <col min="8704" max="8704" width="2.42578125" style="16" customWidth="1"/>
    <col min="8705" max="8707" width="9.28515625" style="16" customWidth="1"/>
    <col min="8708" max="8708" width="2.42578125" style="16" customWidth="1"/>
    <col min="8709" max="8709" width="10.140625" style="16" customWidth="1"/>
    <col min="8710" max="8710" width="2.42578125" style="16" customWidth="1"/>
    <col min="8711" max="8713" width="9.28515625" style="16" customWidth="1"/>
    <col min="8714" max="8714" width="2.42578125" style="16" customWidth="1"/>
    <col min="8715" max="8715" width="10.140625" style="16" customWidth="1"/>
    <col min="8716" max="8717" width="8.28515625" style="16" customWidth="1"/>
    <col min="8718" max="8718" width="16.140625" style="16" customWidth="1"/>
    <col min="8719" max="8954" width="9.140625" style="16"/>
    <col min="8955" max="8955" width="18.42578125" style="16" customWidth="1"/>
    <col min="8956" max="8956" width="2.42578125" style="16" customWidth="1"/>
    <col min="8957" max="8959" width="9.28515625" style="16" customWidth="1"/>
    <col min="8960" max="8960" width="2.42578125" style="16" customWidth="1"/>
    <col min="8961" max="8963" width="9.28515625" style="16" customWidth="1"/>
    <col min="8964" max="8964" width="2.42578125" style="16" customWidth="1"/>
    <col min="8965" max="8965" width="10.140625" style="16" customWidth="1"/>
    <col min="8966" max="8966" width="2.42578125" style="16" customWidth="1"/>
    <col min="8967" max="8969" width="9.28515625" style="16" customWidth="1"/>
    <col min="8970" max="8970" width="2.42578125" style="16" customWidth="1"/>
    <col min="8971" max="8971" width="10.140625" style="16" customWidth="1"/>
    <col min="8972" max="8973" width="8.28515625" style="16" customWidth="1"/>
    <col min="8974" max="8974" width="16.140625" style="16" customWidth="1"/>
    <col min="8975" max="9210" width="9.140625" style="16"/>
    <col min="9211" max="9211" width="18.42578125" style="16" customWidth="1"/>
    <col min="9212" max="9212" width="2.42578125" style="16" customWidth="1"/>
    <col min="9213" max="9215" width="9.28515625" style="16" customWidth="1"/>
    <col min="9216" max="9216" width="2.42578125" style="16" customWidth="1"/>
    <col min="9217" max="9219" width="9.28515625" style="16" customWidth="1"/>
    <col min="9220" max="9220" width="2.42578125" style="16" customWidth="1"/>
    <col min="9221" max="9221" width="10.140625" style="16" customWidth="1"/>
    <col min="9222" max="9222" width="2.42578125" style="16" customWidth="1"/>
    <col min="9223" max="9225" width="9.28515625" style="16" customWidth="1"/>
    <col min="9226" max="9226" width="2.42578125" style="16" customWidth="1"/>
    <col min="9227" max="9227" width="10.140625" style="16" customWidth="1"/>
    <col min="9228" max="9229" width="8.28515625" style="16" customWidth="1"/>
    <col min="9230" max="9230" width="16.140625" style="16" customWidth="1"/>
    <col min="9231" max="9466" width="9.140625" style="16"/>
    <col min="9467" max="9467" width="18.42578125" style="16" customWidth="1"/>
    <col min="9468" max="9468" width="2.42578125" style="16" customWidth="1"/>
    <col min="9469" max="9471" width="9.28515625" style="16" customWidth="1"/>
    <col min="9472" max="9472" width="2.42578125" style="16" customWidth="1"/>
    <col min="9473" max="9475" width="9.28515625" style="16" customWidth="1"/>
    <col min="9476" max="9476" width="2.42578125" style="16" customWidth="1"/>
    <col min="9477" max="9477" width="10.140625" style="16" customWidth="1"/>
    <col min="9478" max="9478" width="2.42578125" style="16" customWidth="1"/>
    <col min="9479" max="9481" width="9.28515625" style="16" customWidth="1"/>
    <col min="9482" max="9482" width="2.42578125" style="16" customWidth="1"/>
    <col min="9483" max="9483" width="10.140625" style="16" customWidth="1"/>
    <col min="9484" max="9485" width="8.28515625" style="16" customWidth="1"/>
    <col min="9486" max="9486" width="16.140625" style="16" customWidth="1"/>
    <col min="9487" max="9722" width="9.140625" style="16"/>
    <col min="9723" max="9723" width="18.42578125" style="16" customWidth="1"/>
    <col min="9724" max="9724" width="2.42578125" style="16" customWidth="1"/>
    <col min="9725" max="9727" width="9.28515625" style="16" customWidth="1"/>
    <col min="9728" max="9728" width="2.42578125" style="16" customWidth="1"/>
    <col min="9729" max="9731" width="9.28515625" style="16" customWidth="1"/>
    <col min="9732" max="9732" width="2.42578125" style="16" customWidth="1"/>
    <col min="9733" max="9733" width="10.140625" style="16" customWidth="1"/>
    <col min="9734" max="9734" width="2.42578125" style="16" customWidth="1"/>
    <col min="9735" max="9737" width="9.28515625" style="16" customWidth="1"/>
    <col min="9738" max="9738" width="2.42578125" style="16" customWidth="1"/>
    <col min="9739" max="9739" width="10.140625" style="16" customWidth="1"/>
    <col min="9740" max="9741" width="8.28515625" style="16" customWidth="1"/>
    <col min="9742" max="9742" width="16.140625" style="16" customWidth="1"/>
    <col min="9743" max="9978" width="9.140625" style="16"/>
    <col min="9979" max="9979" width="18.42578125" style="16" customWidth="1"/>
    <col min="9980" max="9980" width="2.42578125" style="16" customWidth="1"/>
    <col min="9981" max="9983" width="9.28515625" style="16" customWidth="1"/>
    <col min="9984" max="9984" width="2.42578125" style="16" customWidth="1"/>
    <col min="9985" max="9987" width="9.28515625" style="16" customWidth="1"/>
    <col min="9988" max="9988" width="2.42578125" style="16" customWidth="1"/>
    <col min="9989" max="9989" width="10.140625" style="16" customWidth="1"/>
    <col min="9990" max="9990" width="2.42578125" style="16" customWidth="1"/>
    <col min="9991" max="9993" width="9.28515625" style="16" customWidth="1"/>
    <col min="9994" max="9994" width="2.42578125" style="16" customWidth="1"/>
    <col min="9995" max="9995" width="10.140625" style="16" customWidth="1"/>
    <col min="9996" max="9997" width="8.28515625" style="16" customWidth="1"/>
    <col min="9998" max="9998" width="16.140625" style="16" customWidth="1"/>
    <col min="9999" max="10234" width="9.140625" style="16"/>
    <col min="10235" max="10235" width="18.42578125" style="16" customWidth="1"/>
    <col min="10236" max="10236" width="2.42578125" style="16" customWidth="1"/>
    <col min="10237" max="10239" width="9.28515625" style="16" customWidth="1"/>
    <col min="10240" max="10240" width="2.42578125" style="16" customWidth="1"/>
    <col min="10241" max="10243" width="9.28515625" style="16" customWidth="1"/>
    <col min="10244" max="10244" width="2.42578125" style="16" customWidth="1"/>
    <col min="10245" max="10245" width="10.140625" style="16" customWidth="1"/>
    <col min="10246" max="10246" width="2.42578125" style="16" customWidth="1"/>
    <col min="10247" max="10249" width="9.28515625" style="16" customWidth="1"/>
    <col min="10250" max="10250" width="2.42578125" style="16" customWidth="1"/>
    <col min="10251" max="10251" width="10.140625" style="16" customWidth="1"/>
    <col min="10252" max="10253" width="8.28515625" style="16" customWidth="1"/>
    <col min="10254" max="10254" width="16.140625" style="16" customWidth="1"/>
    <col min="10255" max="10490" width="9.140625" style="16"/>
    <col min="10491" max="10491" width="18.42578125" style="16" customWidth="1"/>
    <col min="10492" max="10492" width="2.42578125" style="16" customWidth="1"/>
    <col min="10493" max="10495" width="9.28515625" style="16" customWidth="1"/>
    <col min="10496" max="10496" width="2.42578125" style="16" customWidth="1"/>
    <col min="10497" max="10499" width="9.28515625" style="16" customWidth="1"/>
    <col min="10500" max="10500" width="2.42578125" style="16" customWidth="1"/>
    <col min="10501" max="10501" width="10.140625" style="16" customWidth="1"/>
    <col min="10502" max="10502" width="2.42578125" style="16" customWidth="1"/>
    <col min="10503" max="10505" width="9.28515625" style="16" customWidth="1"/>
    <col min="10506" max="10506" width="2.42578125" style="16" customWidth="1"/>
    <col min="10507" max="10507" width="10.140625" style="16" customWidth="1"/>
    <col min="10508" max="10509" width="8.28515625" style="16" customWidth="1"/>
    <col min="10510" max="10510" width="16.140625" style="16" customWidth="1"/>
    <col min="10511" max="10746" width="9.140625" style="16"/>
    <col min="10747" max="10747" width="18.42578125" style="16" customWidth="1"/>
    <col min="10748" max="10748" width="2.42578125" style="16" customWidth="1"/>
    <col min="10749" max="10751" width="9.28515625" style="16" customWidth="1"/>
    <col min="10752" max="10752" width="2.42578125" style="16" customWidth="1"/>
    <col min="10753" max="10755" width="9.28515625" style="16" customWidth="1"/>
    <col min="10756" max="10756" width="2.42578125" style="16" customWidth="1"/>
    <col min="10757" max="10757" width="10.140625" style="16" customWidth="1"/>
    <col min="10758" max="10758" width="2.42578125" style="16" customWidth="1"/>
    <col min="10759" max="10761" width="9.28515625" style="16" customWidth="1"/>
    <col min="10762" max="10762" width="2.42578125" style="16" customWidth="1"/>
    <col min="10763" max="10763" width="10.140625" style="16" customWidth="1"/>
    <col min="10764" max="10765" width="8.28515625" style="16" customWidth="1"/>
    <col min="10766" max="10766" width="16.140625" style="16" customWidth="1"/>
    <col min="10767" max="11002" width="9.140625" style="16"/>
    <col min="11003" max="11003" width="18.42578125" style="16" customWidth="1"/>
    <col min="11004" max="11004" width="2.42578125" style="16" customWidth="1"/>
    <col min="11005" max="11007" width="9.28515625" style="16" customWidth="1"/>
    <col min="11008" max="11008" width="2.42578125" style="16" customWidth="1"/>
    <col min="11009" max="11011" width="9.28515625" style="16" customWidth="1"/>
    <col min="11012" max="11012" width="2.42578125" style="16" customWidth="1"/>
    <col min="11013" max="11013" width="10.140625" style="16" customWidth="1"/>
    <col min="11014" max="11014" width="2.42578125" style="16" customWidth="1"/>
    <col min="11015" max="11017" width="9.28515625" style="16" customWidth="1"/>
    <col min="11018" max="11018" width="2.42578125" style="16" customWidth="1"/>
    <col min="11019" max="11019" width="10.140625" style="16" customWidth="1"/>
    <col min="11020" max="11021" width="8.28515625" style="16" customWidth="1"/>
    <col min="11022" max="11022" width="16.140625" style="16" customWidth="1"/>
    <col min="11023" max="11258" width="9.140625" style="16"/>
    <col min="11259" max="11259" width="18.42578125" style="16" customWidth="1"/>
    <col min="11260" max="11260" width="2.42578125" style="16" customWidth="1"/>
    <col min="11261" max="11263" width="9.28515625" style="16" customWidth="1"/>
    <col min="11264" max="11264" width="2.42578125" style="16" customWidth="1"/>
    <col min="11265" max="11267" width="9.28515625" style="16" customWidth="1"/>
    <col min="11268" max="11268" width="2.42578125" style="16" customWidth="1"/>
    <col min="11269" max="11269" width="10.140625" style="16" customWidth="1"/>
    <col min="11270" max="11270" width="2.42578125" style="16" customWidth="1"/>
    <col min="11271" max="11273" width="9.28515625" style="16" customWidth="1"/>
    <col min="11274" max="11274" width="2.42578125" style="16" customWidth="1"/>
    <col min="11275" max="11275" width="10.140625" style="16" customWidth="1"/>
    <col min="11276" max="11277" width="8.28515625" style="16" customWidth="1"/>
    <col min="11278" max="11278" width="16.140625" style="16" customWidth="1"/>
    <col min="11279" max="11514" width="9.140625" style="16"/>
    <col min="11515" max="11515" width="18.42578125" style="16" customWidth="1"/>
    <col min="11516" max="11516" width="2.42578125" style="16" customWidth="1"/>
    <col min="11517" max="11519" width="9.28515625" style="16" customWidth="1"/>
    <col min="11520" max="11520" width="2.42578125" style="16" customWidth="1"/>
    <col min="11521" max="11523" width="9.28515625" style="16" customWidth="1"/>
    <col min="11524" max="11524" width="2.42578125" style="16" customWidth="1"/>
    <col min="11525" max="11525" width="10.140625" style="16" customWidth="1"/>
    <col min="11526" max="11526" width="2.42578125" style="16" customWidth="1"/>
    <col min="11527" max="11529" width="9.28515625" style="16" customWidth="1"/>
    <col min="11530" max="11530" width="2.42578125" style="16" customWidth="1"/>
    <col min="11531" max="11531" width="10.140625" style="16" customWidth="1"/>
    <col min="11532" max="11533" width="8.28515625" style="16" customWidth="1"/>
    <col min="11534" max="11534" width="16.140625" style="16" customWidth="1"/>
    <col min="11535" max="11770" width="9.140625" style="16"/>
    <col min="11771" max="11771" width="18.42578125" style="16" customWidth="1"/>
    <col min="11772" max="11772" width="2.42578125" style="16" customWidth="1"/>
    <col min="11773" max="11775" width="9.28515625" style="16" customWidth="1"/>
    <col min="11776" max="11776" width="2.42578125" style="16" customWidth="1"/>
    <col min="11777" max="11779" width="9.28515625" style="16" customWidth="1"/>
    <col min="11780" max="11780" width="2.42578125" style="16" customWidth="1"/>
    <col min="11781" max="11781" width="10.140625" style="16" customWidth="1"/>
    <col min="11782" max="11782" width="2.42578125" style="16" customWidth="1"/>
    <col min="11783" max="11785" width="9.28515625" style="16" customWidth="1"/>
    <col min="11786" max="11786" width="2.42578125" style="16" customWidth="1"/>
    <col min="11787" max="11787" width="10.140625" style="16" customWidth="1"/>
    <col min="11788" max="11789" width="8.28515625" style="16" customWidth="1"/>
    <col min="11790" max="11790" width="16.140625" style="16" customWidth="1"/>
    <col min="11791" max="12026" width="9.140625" style="16"/>
    <col min="12027" max="12027" width="18.42578125" style="16" customWidth="1"/>
    <col min="12028" max="12028" width="2.42578125" style="16" customWidth="1"/>
    <col min="12029" max="12031" width="9.28515625" style="16" customWidth="1"/>
    <col min="12032" max="12032" width="2.42578125" style="16" customWidth="1"/>
    <col min="12033" max="12035" width="9.28515625" style="16" customWidth="1"/>
    <col min="12036" max="12036" width="2.42578125" style="16" customWidth="1"/>
    <col min="12037" max="12037" width="10.140625" style="16" customWidth="1"/>
    <col min="12038" max="12038" width="2.42578125" style="16" customWidth="1"/>
    <col min="12039" max="12041" width="9.28515625" style="16" customWidth="1"/>
    <col min="12042" max="12042" width="2.42578125" style="16" customWidth="1"/>
    <col min="12043" max="12043" width="10.140625" style="16" customWidth="1"/>
    <col min="12044" max="12045" width="8.28515625" style="16" customWidth="1"/>
    <col min="12046" max="12046" width="16.140625" style="16" customWidth="1"/>
    <col min="12047" max="12282" width="9.140625" style="16"/>
    <col min="12283" max="12283" width="18.42578125" style="16" customWidth="1"/>
    <col min="12284" max="12284" width="2.42578125" style="16" customWidth="1"/>
    <col min="12285" max="12287" width="9.28515625" style="16" customWidth="1"/>
    <col min="12288" max="12288" width="2.42578125" style="16" customWidth="1"/>
    <col min="12289" max="12291" width="9.28515625" style="16" customWidth="1"/>
    <col min="12292" max="12292" width="2.42578125" style="16" customWidth="1"/>
    <col min="12293" max="12293" width="10.140625" style="16" customWidth="1"/>
    <col min="12294" max="12294" width="2.42578125" style="16" customWidth="1"/>
    <col min="12295" max="12297" width="9.28515625" style="16" customWidth="1"/>
    <col min="12298" max="12298" width="2.42578125" style="16" customWidth="1"/>
    <col min="12299" max="12299" width="10.140625" style="16" customWidth="1"/>
    <col min="12300" max="12301" width="8.28515625" style="16" customWidth="1"/>
    <col min="12302" max="12302" width="16.140625" style="16" customWidth="1"/>
    <col min="12303" max="12538" width="9.140625" style="16"/>
    <col min="12539" max="12539" width="18.42578125" style="16" customWidth="1"/>
    <col min="12540" max="12540" width="2.42578125" style="16" customWidth="1"/>
    <col min="12541" max="12543" width="9.28515625" style="16" customWidth="1"/>
    <col min="12544" max="12544" width="2.42578125" style="16" customWidth="1"/>
    <col min="12545" max="12547" width="9.28515625" style="16" customWidth="1"/>
    <col min="12548" max="12548" width="2.42578125" style="16" customWidth="1"/>
    <col min="12549" max="12549" width="10.140625" style="16" customWidth="1"/>
    <col min="12550" max="12550" width="2.42578125" style="16" customWidth="1"/>
    <col min="12551" max="12553" width="9.28515625" style="16" customWidth="1"/>
    <col min="12554" max="12554" width="2.42578125" style="16" customWidth="1"/>
    <col min="12555" max="12555" width="10.140625" style="16" customWidth="1"/>
    <col min="12556" max="12557" width="8.28515625" style="16" customWidth="1"/>
    <col min="12558" max="12558" width="16.140625" style="16" customWidth="1"/>
    <col min="12559" max="12794" width="9.140625" style="16"/>
    <col min="12795" max="12795" width="18.42578125" style="16" customWidth="1"/>
    <col min="12796" max="12796" width="2.42578125" style="16" customWidth="1"/>
    <col min="12797" max="12799" width="9.28515625" style="16" customWidth="1"/>
    <col min="12800" max="12800" width="2.42578125" style="16" customWidth="1"/>
    <col min="12801" max="12803" width="9.28515625" style="16" customWidth="1"/>
    <col min="12804" max="12804" width="2.42578125" style="16" customWidth="1"/>
    <col min="12805" max="12805" width="10.140625" style="16" customWidth="1"/>
    <col min="12806" max="12806" width="2.42578125" style="16" customWidth="1"/>
    <col min="12807" max="12809" width="9.28515625" style="16" customWidth="1"/>
    <col min="12810" max="12810" width="2.42578125" style="16" customWidth="1"/>
    <col min="12811" max="12811" width="10.140625" style="16" customWidth="1"/>
    <col min="12812" max="12813" width="8.28515625" style="16" customWidth="1"/>
    <col min="12814" max="12814" width="16.140625" style="16" customWidth="1"/>
    <col min="12815" max="13050" width="9.140625" style="16"/>
    <col min="13051" max="13051" width="18.42578125" style="16" customWidth="1"/>
    <col min="13052" max="13052" width="2.42578125" style="16" customWidth="1"/>
    <col min="13053" max="13055" width="9.28515625" style="16" customWidth="1"/>
    <col min="13056" max="13056" width="2.42578125" style="16" customWidth="1"/>
    <col min="13057" max="13059" width="9.28515625" style="16" customWidth="1"/>
    <col min="13060" max="13060" width="2.42578125" style="16" customWidth="1"/>
    <col min="13061" max="13061" width="10.140625" style="16" customWidth="1"/>
    <col min="13062" max="13062" width="2.42578125" style="16" customWidth="1"/>
    <col min="13063" max="13065" width="9.28515625" style="16" customWidth="1"/>
    <col min="13066" max="13066" width="2.42578125" style="16" customWidth="1"/>
    <col min="13067" max="13067" width="10.140625" style="16" customWidth="1"/>
    <col min="13068" max="13069" width="8.28515625" style="16" customWidth="1"/>
    <col min="13070" max="13070" width="16.140625" style="16" customWidth="1"/>
    <col min="13071" max="13306" width="9.140625" style="16"/>
    <col min="13307" max="13307" width="18.42578125" style="16" customWidth="1"/>
    <col min="13308" max="13308" width="2.42578125" style="16" customWidth="1"/>
    <col min="13309" max="13311" width="9.28515625" style="16" customWidth="1"/>
    <col min="13312" max="13312" width="2.42578125" style="16" customWidth="1"/>
    <col min="13313" max="13315" width="9.28515625" style="16" customWidth="1"/>
    <col min="13316" max="13316" width="2.42578125" style="16" customWidth="1"/>
    <col min="13317" max="13317" width="10.140625" style="16" customWidth="1"/>
    <col min="13318" max="13318" width="2.42578125" style="16" customWidth="1"/>
    <col min="13319" max="13321" width="9.28515625" style="16" customWidth="1"/>
    <col min="13322" max="13322" width="2.42578125" style="16" customWidth="1"/>
    <col min="13323" max="13323" width="10.140625" style="16" customWidth="1"/>
    <col min="13324" max="13325" width="8.28515625" style="16" customWidth="1"/>
    <col min="13326" max="13326" width="16.140625" style="16" customWidth="1"/>
    <col min="13327" max="13562" width="9.140625" style="16"/>
    <col min="13563" max="13563" width="18.42578125" style="16" customWidth="1"/>
    <col min="13564" max="13564" width="2.42578125" style="16" customWidth="1"/>
    <col min="13565" max="13567" width="9.28515625" style="16" customWidth="1"/>
    <col min="13568" max="13568" width="2.42578125" style="16" customWidth="1"/>
    <col min="13569" max="13571" width="9.28515625" style="16" customWidth="1"/>
    <col min="13572" max="13572" width="2.42578125" style="16" customWidth="1"/>
    <col min="13573" max="13573" width="10.140625" style="16" customWidth="1"/>
    <col min="13574" max="13574" width="2.42578125" style="16" customWidth="1"/>
    <col min="13575" max="13577" width="9.28515625" style="16" customWidth="1"/>
    <col min="13578" max="13578" width="2.42578125" style="16" customWidth="1"/>
    <col min="13579" max="13579" width="10.140625" style="16" customWidth="1"/>
    <col min="13580" max="13581" width="8.28515625" style="16" customWidth="1"/>
    <col min="13582" max="13582" width="16.140625" style="16" customWidth="1"/>
    <col min="13583" max="13818" width="9.140625" style="16"/>
    <col min="13819" max="13819" width="18.42578125" style="16" customWidth="1"/>
    <col min="13820" max="13820" width="2.42578125" style="16" customWidth="1"/>
    <col min="13821" max="13823" width="9.28515625" style="16" customWidth="1"/>
    <col min="13824" max="13824" width="2.42578125" style="16" customWidth="1"/>
    <col min="13825" max="13827" width="9.28515625" style="16" customWidth="1"/>
    <col min="13828" max="13828" width="2.42578125" style="16" customWidth="1"/>
    <col min="13829" max="13829" width="10.140625" style="16" customWidth="1"/>
    <col min="13830" max="13830" width="2.42578125" style="16" customWidth="1"/>
    <col min="13831" max="13833" width="9.28515625" style="16" customWidth="1"/>
    <col min="13834" max="13834" width="2.42578125" style="16" customWidth="1"/>
    <col min="13835" max="13835" width="10.140625" style="16" customWidth="1"/>
    <col min="13836" max="13837" width="8.28515625" style="16" customWidth="1"/>
    <col min="13838" max="13838" width="16.140625" style="16" customWidth="1"/>
    <col min="13839" max="14074" width="9.140625" style="16"/>
    <col min="14075" max="14075" width="18.42578125" style="16" customWidth="1"/>
    <col min="14076" max="14076" width="2.42578125" style="16" customWidth="1"/>
    <col min="14077" max="14079" width="9.28515625" style="16" customWidth="1"/>
    <col min="14080" max="14080" width="2.42578125" style="16" customWidth="1"/>
    <col min="14081" max="14083" width="9.28515625" style="16" customWidth="1"/>
    <col min="14084" max="14084" width="2.42578125" style="16" customWidth="1"/>
    <col min="14085" max="14085" width="10.140625" style="16" customWidth="1"/>
    <col min="14086" max="14086" width="2.42578125" style="16" customWidth="1"/>
    <col min="14087" max="14089" width="9.28515625" style="16" customWidth="1"/>
    <col min="14090" max="14090" width="2.42578125" style="16" customWidth="1"/>
    <col min="14091" max="14091" width="10.140625" style="16" customWidth="1"/>
    <col min="14092" max="14093" width="8.28515625" style="16" customWidth="1"/>
    <col min="14094" max="14094" width="16.140625" style="16" customWidth="1"/>
    <col min="14095" max="14330" width="9.140625" style="16"/>
    <col min="14331" max="14331" width="18.42578125" style="16" customWidth="1"/>
    <col min="14332" max="14332" width="2.42578125" style="16" customWidth="1"/>
    <col min="14333" max="14335" width="9.28515625" style="16" customWidth="1"/>
    <col min="14336" max="14336" width="2.42578125" style="16" customWidth="1"/>
    <col min="14337" max="14339" width="9.28515625" style="16" customWidth="1"/>
    <col min="14340" max="14340" width="2.42578125" style="16" customWidth="1"/>
    <col min="14341" max="14341" width="10.140625" style="16" customWidth="1"/>
    <col min="14342" max="14342" width="2.42578125" style="16" customWidth="1"/>
    <col min="14343" max="14345" width="9.28515625" style="16" customWidth="1"/>
    <col min="14346" max="14346" width="2.42578125" style="16" customWidth="1"/>
    <col min="14347" max="14347" width="10.140625" style="16" customWidth="1"/>
    <col min="14348" max="14349" width="8.28515625" style="16" customWidth="1"/>
    <col min="14350" max="14350" width="16.140625" style="16" customWidth="1"/>
    <col min="14351" max="14586" width="9.140625" style="16"/>
    <col min="14587" max="14587" width="18.42578125" style="16" customWidth="1"/>
    <col min="14588" max="14588" width="2.42578125" style="16" customWidth="1"/>
    <col min="14589" max="14591" width="9.28515625" style="16" customWidth="1"/>
    <col min="14592" max="14592" width="2.42578125" style="16" customWidth="1"/>
    <col min="14593" max="14595" width="9.28515625" style="16" customWidth="1"/>
    <col min="14596" max="14596" width="2.42578125" style="16" customWidth="1"/>
    <col min="14597" max="14597" width="10.140625" style="16" customWidth="1"/>
    <col min="14598" max="14598" width="2.42578125" style="16" customWidth="1"/>
    <col min="14599" max="14601" width="9.28515625" style="16" customWidth="1"/>
    <col min="14602" max="14602" width="2.42578125" style="16" customWidth="1"/>
    <col min="14603" max="14603" width="10.140625" style="16" customWidth="1"/>
    <col min="14604" max="14605" width="8.28515625" style="16" customWidth="1"/>
    <col min="14606" max="14606" width="16.140625" style="16" customWidth="1"/>
    <col min="14607" max="14842" width="9.140625" style="16"/>
    <col min="14843" max="14843" width="18.42578125" style="16" customWidth="1"/>
    <col min="14844" max="14844" width="2.42578125" style="16" customWidth="1"/>
    <col min="14845" max="14847" width="9.28515625" style="16" customWidth="1"/>
    <col min="14848" max="14848" width="2.42578125" style="16" customWidth="1"/>
    <col min="14849" max="14851" width="9.28515625" style="16" customWidth="1"/>
    <col min="14852" max="14852" width="2.42578125" style="16" customWidth="1"/>
    <col min="14853" max="14853" width="10.140625" style="16" customWidth="1"/>
    <col min="14854" max="14854" width="2.42578125" style="16" customWidth="1"/>
    <col min="14855" max="14857" width="9.28515625" style="16" customWidth="1"/>
    <col min="14858" max="14858" width="2.42578125" style="16" customWidth="1"/>
    <col min="14859" max="14859" width="10.140625" style="16" customWidth="1"/>
    <col min="14860" max="14861" width="8.28515625" style="16" customWidth="1"/>
    <col min="14862" max="14862" width="16.140625" style="16" customWidth="1"/>
    <col min="14863" max="15098" width="9.140625" style="16"/>
    <col min="15099" max="15099" width="18.42578125" style="16" customWidth="1"/>
    <col min="15100" max="15100" width="2.42578125" style="16" customWidth="1"/>
    <col min="15101" max="15103" width="9.28515625" style="16" customWidth="1"/>
    <col min="15104" max="15104" width="2.42578125" style="16" customWidth="1"/>
    <col min="15105" max="15107" width="9.28515625" style="16" customWidth="1"/>
    <col min="15108" max="15108" width="2.42578125" style="16" customWidth="1"/>
    <col min="15109" max="15109" width="10.140625" style="16" customWidth="1"/>
    <col min="15110" max="15110" width="2.42578125" style="16" customWidth="1"/>
    <col min="15111" max="15113" width="9.28515625" style="16" customWidth="1"/>
    <col min="15114" max="15114" width="2.42578125" style="16" customWidth="1"/>
    <col min="15115" max="15115" width="10.140625" style="16" customWidth="1"/>
    <col min="15116" max="15117" width="8.28515625" style="16" customWidth="1"/>
    <col min="15118" max="15118" width="16.140625" style="16" customWidth="1"/>
    <col min="15119" max="15354" width="9.140625" style="16"/>
    <col min="15355" max="15355" width="18.42578125" style="16" customWidth="1"/>
    <col min="15356" max="15356" width="2.42578125" style="16" customWidth="1"/>
    <col min="15357" max="15359" width="9.28515625" style="16" customWidth="1"/>
    <col min="15360" max="15360" width="2.42578125" style="16" customWidth="1"/>
    <col min="15361" max="15363" width="9.28515625" style="16" customWidth="1"/>
    <col min="15364" max="15364" width="2.42578125" style="16" customWidth="1"/>
    <col min="15365" max="15365" width="10.140625" style="16" customWidth="1"/>
    <col min="15366" max="15366" width="2.42578125" style="16" customWidth="1"/>
    <col min="15367" max="15369" width="9.28515625" style="16" customWidth="1"/>
    <col min="15370" max="15370" width="2.42578125" style="16" customWidth="1"/>
    <col min="15371" max="15371" width="10.140625" style="16" customWidth="1"/>
    <col min="15372" max="15373" width="8.28515625" style="16" customWidth="1"/>
    <col min="15374" max="15374" width="16.140625" style="16" customWidth="1"/>
    <col min="15375" max="15610" width="9.140625" style="16"/>
    <col min="15611" max="15611" width="18.42578125" style="16" customWidth="1"/>
    <col min="15612" max="15612" width="2.42578125" style="16" customWidth="1"/>
    <col min="15613" max="15615" width="9.28515625" style="16" customWidth="1"/>
    <col min="15616" max="15616" width="2.42578125" style="16" customWidth="1"/>
    <col min="15617" max="15619" width="9.28515625" style="16" customWidth="1"/>
    <col min="15620" max="15620" width="2.42578125" style="16" customWidth="1"/>
    <col min="15621" max="15621" width="10.140625" style="16" customWidth="1"/>
    <col min="15622" max="15622" width="2.42578125" style="16" customWidth="1"/>
    <col min="15623" max="15625" width="9.28515625" style="16" customWidth="1"/>
    <col min="15626" max="15626" width="2.42578125" style="16" customWidth="1"/>
    <col min="15627" max="15627" width="10.140625" style="16" customWidth="1"/>
    <col min="15628" max="15629" width="8.28515625" style="16" customWidth="1"/>
    <col min="15630" max="15630" width="16.140625" style="16" customWidth="1"/>
    <col min="15631" max="15866" width="9.140625" style="16"/>
    <col min="15867" max="15867" width="18.42578125" style="16" customWidth="1"/>
    <col min="15868" max="15868" width="2.42578125" style="16" customWidth="1"/>
    <col min="15869" max="15871" width="9.28515625" style="16" customWidth="1"/>
    <col min="15872" max="15872" width="2.42578125" style="16" customWidth="1"/>
    <col min="15873" max="15875" width="9.28515625" style="16" customWidth="1"/>
    <col min="15876" max="15876" width="2.42578125" style="16" customWidth="1"/>
    <col min="15877" max="15877" width="10.140625" style="16" customWidth="1"/>
    <col min="15878" max="15878" width="2.42578125" style="16" customWidth="1"/>
    <col min="15879" max="15881" width="9.28515625" style="16" customWidth="1"/>
    <col min="15882" max="15882" width="2.42578125" style="16" customWidth="1"/>
    <col min="15883" max="15883" width="10.140625" style="16" customWidth="1"/>
    <col min="15884" max="15885" width="8.28515625" style="16" customWidth="1"/>
    <col min="15886" max="15886" width="16.140625" style="16" customWidth="1"/>
    <col min="15887" max="16122" width="9.140625" style="16"/>
    <col min="16123" max="16123" width="18.42578125" style="16" customWidth="1"/>
    <col min="16124" max="16124" width="2.42578125" style="16" customWidth="1"/>
    <col min="16125" max="16127" width="9.28515625" style="16" customWidth="1"/>
    <col min="16128" max="16128" width="2.42578125" style="16" customWidth="1"/>
    <col min="16129" max="16131" width="9.28515625" style="16" customWidth="1"/>
    <col min="16132" max="16132" width="2.42578125" style="16" customWidth="1"/>
    <col min="16133" max="16133" width="10.140625" style="16" customWidth="1"/>
    <col min="16134" max="16134" width="2.42578125" style="16" customWidth="1"/>
    <col min="16135" max="16137" width="9.28515625" style="16" customWidth="1"/>
    <col min="16138" max="16138" width="2.42578125" style="16" customWidth="1"/>
    <col min="16139" max="16139" width="10.140625" style="16" customWidth="1"/>
    <col min="16140" max="16141" width="8.28515625" style="16" customWidth="1"/>
    <col min="16142" max="16142" width="16.140625" style="16" customWidth="1"/>
    <col min="16143" max="16384" width="9.140625" style="16"/>
  </cols>
  <sheetData>
    <row r="1" spans="1:17" s="33" customFormat="1" ht="22.5" customHeight="1" x14ac:dyDescent="0.25">
      <c r="A1" s="29" t="s">
        <v>628</v>
      </c>
      <c r="B1" s="30"/>
      <c r="C1" s="30"/>
      <c r="D1" s="30"/>
      <c r="E1" s="31"/>
      <c r="F1" s="30"/>
      <c r="G1" s="30"/>
      <c r="H1" s="30"/>
      <c r="I1" s="31"/>
      <c r="J1" s="30"/>
      <c r="K1" s="31"/>
      <c r="L1" s="30"/>
      <c r="M1" s="30"/>
      <c r="N1" s="30"/>
      <c r="O1" s="32"/>
      <c r="P1" s="30"/>
      <c r="Q1" s="31"/>
    </row>
    <row r="2" spans="1:17" ht="32.25" customHeight="1" x14ac:dyDescent="0.25">
      <c r="A2" s="34"/>
      <c r="B2" s="34"/>
      <c r="C2" s="35" t="s">
        <v>0</v>
      </c>
      <c r="D2" s="35" t="s">
        <v>217</v>
      </c>
      <c r="E2" s="10" t="s">
        <v>1</v>
      </c>
      <c r="F2" s="35"/>
      <c r="G2" s="35" t="s">
        <v>218</v>
      </c>
      <c r="H2" s="35" t="s">
        <v>219</v>
      </c>
      <c r="I2" s="10" t="s">
        <v>2</v>
      </c>
      <c r="J2" s="35"/>
      <c r="K2" s="36" t="s">
        <v>220</v>
      </c>
      <c r="L2" s="35"/>
      <c r="M2" s="35" t="s">
        <v>221</v>
      </c>
      <c r="N2" s="35" t="s">
        <v>222</v>
      </c>
      <c r="O2" s="37" t="s">
        <v>3</v>
      </c>
      <c r="P2" s="35"/>
      <c r="Q2" s="36" t="s">
        <v>223</v>
      </c>
    </row>
    <row r="3" spans="1:17" x14ac:dyDescent="0.25">
      <c r="A3" s="1" t="s">
        <v>31</v>
      </c>
      <c r="C3" s="38">
        <v>9459.8900400000002</v>
      </c>
      <c r="D3" s="38">
        <v>9613.91777</v>
      </c>
      <c r="E3" s="39">
        <f>D3-C3</f>
        <v>154.02772999999979</v>
      </c>
      <c r="G3" s="38">
        <v>401.95659000000001</v>
      </c>
      <c r="H3" s="38">
        <v>197.99015</v>
      </c>
      <c r="I3" s="41">
        <f>H3-G3</f>
        <v>-203.96644000000001</v>
      </c>
      <c r="K3" s="42">
        <f>E3+I3</f>
        <v>-49.938710000000214</v>
      </c>
      <c r="M3" s="38">
        <v>0</v>
      </c>
      <c r="N3" s="38">
        <v>0</v>
      </c>
      <c r="O3" s="41">
        <f>N3-M3</f>
        <v>0</v>
      </c>
      <c r="Q3" s="42">
        <f>K3+O3</f>
        <v>-49.938710000000214</v>
      </c>
    </row>
    <row r="4" spans="1:17" x14ac:dyDescent="0.25">
      <c r="A4" s="2" t="s">
        <v>32</v>
      </c>
      <c r="C4" s="38">
        <v>21486.593280000001</v>
      </c>
      <c r="D4" s="38">
        <v>21502.773789999999</v>
      </c>
      <c r="E4" s="39">
        <f t="shared" ref="E4:E67" si="0">D4-C4</f>
        <v>16.180509999998321</v>
      </c>
      <c r="G4" s="38">
        <v>576.60681999999997</v>
      </c>
      <c r="H4" s="38">
        <v>668.70074</v>
      </c>
      <c r="I4" s="41">
        <f t="shared" ref="I4:I67" si="1">H4-G4</f>
        <v>92.093920000000026</v>
      </c>
      <c r="K4" s="42">
        <f t="shared" ref="K4:K67" si="2">E4+I4</f>
        <v>108.27442999999835</v>
      </c>
      <c r="M4" s="38">
        <v>0</v>
      </c>
      <c r="N4" s="38">
        <v>0</v>
      </c>
      <c r="O4" s="41">
        <f t="shared" ref="O4:O67" si="3">N4-M4</f>
        <v>0</v>
      </c>
      <c r="Q4" s="42">
        <f t="shared" ref="Q4:Q67" si="4">K4+O4</f>
        <v>108.27442999999835</v>
      </c>
    </row>
    <row r="5" spans="1:17" x14ac:dyDescent="0.25">
      <c r="A5" s="2" t="s">
        <v>4</v>
      </c>
      <c r="C5" s="38">
        <v>9767.1895199999999</v>
      </c>
      <c r="D5" s="38">
        <v>9282.7516099999993</v>
      </c>
      <c r="E5" s="39">
        <f t="shared" si="0"/>
        <v>-484.43791000000056</v>
      </c>
      <c r="G5" s="38">
        <v>194.87187</v>
      </c>
      <c r="H5" s="38">
        <v>791.57844999999998</v>
      </c>
      <c r="I5" s="41">
        <f t="shared" si="1"/>
        <v>596.70658000000003</v>
      </c>
      <c r="K5" s="42">
        <f t="shared" si="2"/>
        <v>112.26866999999947</v>
      </c>
      <c r="M5" s="38">
        <v>0</v>
      </c>
      <c r="N5" s="38">
        <v>0</v>
      </c>
      <c r="O5" s="41">
        <f t="shared" si="3"/>
        <v>0</v>
      </c>
      <c r="Q5" s="42">
        <f t="shared" si="4"/>
        <v>112.26866999999947</v>
      </c>
    </row>
    <row r="6" spans="1:17" x14ac:dyDescent="0.25">
      <c r="A6" s="2" t="s">
        <v>33</v>
      </c>
      <c r="C6" s="38">
        <v>6408.3842599999998</v>
      </c>
      <c r="D6" s="38">
        <v>6700.3566500000006</v>
      </c>
      <c r="E6" s="39">
        <f t="shared" si="0"/>
        <v>291.97239000000081</v>
      </c>
      <c r="G6" s="38">
        <v>201.33304000000001</v>
      </c>
      <c r="H6" s="38">
        <v>85.82038</v>
      </c>
      <c r="I6" s="41">
        <f t="shared" si="1"/>
        <v>-115.51266000000001</v>
      </c>
      <c r="K6" s="42">
        <f t="shared" si="2"/>
        <v>176.4597300000008</v>
      </c>
      <c r="M6" s="38">
        <v>0</v>
      </c>
      <c r="N6" s="38">
        <v>0</v>
      </c>
      <c r="O6" s="41">
        <f t="shared" si="3"/>
        <v>0</v>
      </c>
      <c r="Q6" s="42">
        <f t="shared" si="4"/>
        <v>176.4597300000008</v>
      </c>
    </row>
    <row r="7" spans="1:17" x14ac:dyDescent="0.25">
      <c r="A7" s="2" t="s">
        <v>34</v>
      </c>
      <c r="C7" s="38">
        <v>1636.3024500000001</v>
      </c>
      <c r="D7" s="38">
        <v>1744.8081800000004</v>
      </c>
      <c r="E7" s="39">
        <f t="shared" si="0"/>
        <v>108.50573000000031</v>
      </c>
      <c r="G7" s="38">
        <v>44.010289999999998</v>
      </c>
      <c r="H7" s="38">
        <v>20.90015</v>
      </c>
      <c r="I7" s="41">
        <f t="shared" si="1"/>
        <v>-23.110139999999998</v>
      </c>
      <c r="K7" s="42">
        <f t="shared" si="2"/>
        <v>85.395590000000311</v>
      </c>
      <c r="M7" s="38">
        <v>0</v>
      </c>
      <c r="N7" s="38">
        <v>0</v>
      </c>
      <c r="O7" s="41">
        <f t="shared" si="3"/>
        <v>0</v>
      </c>
      <c r="Q7" s="42">
        <f t="shared" si="4"/>
        <v>85.395590000000311</v>
      </c>
    </row>
    <row r="8" spans="1:17" x14ac:dyDescent="0.25">
      <c r="A8" s="2" t="s">
        <v>35</v>
      </c>
      <c r="C8" s="38">
        <v>20822.41661</v>
      </c>
      <c r="D8" s="38">
        <v>20978.47264</v>
      </c>
      <c r="E8" s="39">
        <f t="shared" si="0"/>
        <v>156.05602999999974</v>
      </c>
      <c r="G8" s="38">
        <v>266.39956000000001</v>
      </c>
      <c r="H8" s="38">
        <v>247.27</v>
      </c>
      <c r="I8" s="41">
        <f t="shared" si="1"/>
        <v>-19.129559999999998</v>
      </c>
      <c r="K8" s="42">
        <f t="shared" si="2"/>
        <v>136.92646999999974</v>
      </c>
      <c r="M8" s="38">
        <v>0</v>
      </c>
      <c r="N8" s="38">
        <v>0</v>
      </c>
      <c r="O8" s="41">
        <f t="shared" si="3"/>
        <v>0</v>
      </c>
      <c r="Q8" s="42">
        <f t="shared" si="4"/>
        <v>136.92646999999974</v>
      </c>
    </row>
    <row r="9" spans="1:17" x14ac:dyDescent="0.25">
      <c r="A9" s="2" t="s">
        <v>36</v>
      </c>
      <c r="C9" s="38">
        <v>4246.8341200000004</v>
      </c>
      <c r="D9" s="38">
        <v>4422.3052299999999</v>
      </c>
      <c r="E9" s="39">
        <f t="shared" si="0"/>
        <v>175.4711099999995</v>
      </c>
      <c r="G9" s="38">
        <v>150.04679999999999</v>
      </c>
      <c r="H9" s="38">
        <v>91.313020000000009</v>
      </c>
      <c r="I9" s="41">
        <f t="shared" si="1"/>
        <v>-58.733779999999982</v>
      </c>
      <c r="K9" s="42">
        <f t="shared" si="2"/>
        <v>116.73732999999952</v>
      </c>
      <c r="M9" s="38">
        <v>0</v>
      </c>
      <c r="N9" s="38">
        <v>0</v>
      </c>
      <c r="O9" s="41">
        <f t="shared" si="3"/>
        <v>0</v>
      </c>
      <c r="Q9" s="42">
        <f t="shared" si="4"/>
        <v>116.73732999999952</v>
      </c>
    </row>
    <row r="10" spans="1:17" x14ac:dyDescent="0.25">
      <c r="A10" s="2" t="s">
        <v>5</v>
      </c>
      <c r="C10" s="38">
        <v>38325.466589999996</v>
      </c>
      <c r="D10" s="38">
        <v>38123.557339999999</v>
      </c>
      <c r="E10" s="39">
        <f t="shared" si="0"/>
        <v>-201.90924999999697</v>
      </c>
      <c r="G10" s="38">
        <v>363.03121000000004</v>
      </c>
      <c r="H10" s="38">
        <v>2901.2742499999999</v>
      </c>
      <c r="I10" s="41">
        <f t="shared" si="1"/>
        <v>2538.2430399999998</v>
      </c>
      <c r="K10" s="42">
        <f t="shared" si="2"/>
        <v>2336.3337900000029</v>
      </c>
      <c r="M10" s="38">
        <v>232.88135999999997</v>
      </c>
      <c r="N10" s="38">
        <v>206.69454000000002</v>
      </c>
      <c r="O10" s="41">
        <f t="shared" si="3"/>
        <v>-26.186819999999955</v>
      </c>
      <c r="Q10" s="42">
        <f t="shared" si="4"/>
        <v>2310.146970000003</v>
      </c>
    </row>
    <row r="11" spans="1:17" x14ac:dyDescent="0.25">
      <c r="A11" s="2" t="s">
        <v>37</v>
      </c>
      <c r="C11" s="38">
        <v>1397.6388999999999</v>
      </c>
      <c r="D11" s="38">
        <v>1416.1578299999999</v>
      </c>
      <c r="E11" s="39">
        <f t="shared" si="0"/>
        <v>18.518929999999955</v>
      </c>
      <c r="G11" s="38">
        <v>43.020040000000002</v>
      </c>
      <c r="H11" s="38">
        <v>17.220849999999999</v>
      </c>
      <c r="I11" s="41">
        <f t="shared" si="1"/>
        <v>-25.799190000000003</v>
      </c>
      <c r="K11" s="42">
        <f t="shared" si="2"/>
        <v>-7.2802600000000481</v>
      </c>
      <c r="M11" s="38">
        <v>0</v>
      </c>
      <c r="N11" s="38">
        <v>0</v>
      </c>
      <c r="O11" s="41">
        <f t="shared" si="3"/>
        <v>0</v>
      </c>
      <c r="Q11" s="42">
        <f t="shared" si="4"/>
        <v>-7.2802600000000481</v>
      </c>
    </row>
    <row r="12" spans="1:17" x14ac:dyDescent="0.25">
      <c r="A12" s="2" t="s">
        <v>38</v>
      </c>
      <c r="C12" s="38">
        <v>6977.9460999999992</v>
      </c>
      <c r="D12" s="38">
        <v>7155.5105500000009</v>
      </c>
      <c r="E12" s="39">
        <f t="shared" si="0"/>
        <v>177.56445000000167</v>
      </c>
      <c r="G12" s="38">
        <v>140.03561999999999</v>
      </c>
      <c r="H12" s="38">
        <v>96.700519999999997</v>
      </c>
      <c r="I12" s="41">
        <f t="shared" si="1"/>
        <v>-43.335099999999997</v>
      </c>
      <c r="K12" s="42">
        <f t="shared" si="2"/>
        <v>134.22935000000166</v>
      </c>
      <c r="M12" s="38">
        <v>0</v>
      </c>
      <c r="N12" s="38">
        <v>0</v>
      </c>
      <c r="O12" s="41">
        <f t="shared" si="3"/>
        <v>0</v>
      </c>
      <c r="Q12" s="42">
        <f t="shared" si="4"/>
        <v>134.22935000000166</v>
      </c>
    </row>
    <row r="13" spans="1:17" x14ac:dyDescent="0.25">
      <c r="A13" s="2" t="s">
        <v>6</v>
      </c>
      <c r="C13" s="38">
        <v>19154.315309999998</v>
      </c>
      <c r="D13" s="38">
        <v>17996.874250000001</v>
      </c>
      <c r="E13" s="39">
        <f t="shared" si="0"/>
        <v>-1157.4410599999974</v>
      </c>
      <c r="G13" s="38">
        <v>135.00498000000002</v>
      </c>
      <c r="H13" s="38">
        <v>835.53293999999994</v>
      </c>
      <c r="I13" s="41">
        <f t="shared" si="1"/>
        <v>700.52795999999989</v>
      </c>
      <c r="K13" s="42">
        <f t="shared" si="2"/>
        <v>-456.91309999999748</v>
      </c>
      <c r="M13" s="38">
        <v>0</v>
      </c>
      <c r="N13" s="38">
        <v>0</v>
      </c>
      <c r="O13" s="41">
        <f t="shared" si="3"/>
        <v>0</v>
      </c>
      <c r="Q13" s="42">
        <f t="shared" si="4"/>
        <v>-456.91309999999748</v>
      </c>
    </row>
    <row r="14" spans="1:17" x14ac:dyDescent="0.25">
      <c r="A14" s="2" t="s">
        <v>39</v>
      </c>
      <c r="C14" s="38">
        <v>7347.9947400000001</v>
      </c>
      <c r="D14" s="38">
        <v>7822.0592200000001</v>
      </c>
      <c r="E14" s="39">
        <f t="shared" si="0"/>
        <v>474.06448</v>
      </c>
      <c r="G14" s="38">
        <v>170.93664999999999</v>
      </c>
      <c r="H14" s="38">
        <v>166.96204999999998</v>
      </c>
      <c r="I14" s="41">
        <f t="shared" si="1"/>
        <v>-3.9746000000000095</v>
      </c>
      <c r="K14" s="42">
        <f t="shared" si="2"/>
        <v>470.08987999999999</v>
      </c>
      <c r="M14" s="38">
        <v>0</v>
      </c>
      <c r="N14" s="38">
        <v>0</v>
      </c>
      <c r="O14" s="41">
        <f t="shared" si="3"/>
        <v>0</v>
      </c>
      <c r="Q14" s="42">
        <f t="shared" si="4"/>
        <v>470.08987999999999</v>
      </c>
    </row>
    <row r="15" spans="1:17" x14ac:dyDescent="0.25">
      <c r="A15" s="2" t="s">
        <v>40</v>
      </c>
      <c r="C15" s="38">
        <v>2732.5177100000001</v>
      </c>
      <c r="D15" s="38">
        <v>2639.1519200000002</v>
      </c>
      <c r="E15" s="39">
        <f t="shared" si="0"/>
        <v>-93.365789999999834</v>
      </c>
      <c r="G15" s="38">
        <v>28.496029999999998</v>
      </c>
      <c r="H15" s="38">
        <v>85.288710000000009</v>
      </c>
      <c r="I15" s="41">
        <f t="shared" si="1"/>
        <v>56.792680000000011</v>
      </c>
      <c r="K15" s="42">
        <f t="shared" si="2"/>
        <v>-36.573109999999822</v>
      </c>
      <c r="M15" s="38">
        <v>0</v>
      </c>
      <c r="N15" s="38">
        <v>0</v>
      </c>
      <c r="O15" s="41">
        <f t="shared" si="3"/>
        <v>0</v>
      </c>
      <c r="Q15" s="42">
        <f t="shared" si="4"/>
        <v>-36.573109999999822</v>
      </c>
    </row>
    <row r="16" spans="1:17" x14ac:dyDescent="0.25">
      <c r="A16" s="2" t="s">
        <v>41</v>
      </c>
      <c r="C16" s="38">
        <v>1401.4237800000001</v>
      </c>
      <c r="D16" s="38">
        <v>1373.6954800000001</v>
      </c>
      <c r="E16" s="39">
        <f t="shared" si="0"/>
        <v>-27.72829999999999</v>
      </c>
      <c r="G16" s="38">
        <v>28.938890000000001</v>
      </c>
      <c r="H16" s="38">
        <v>111.50632</v>
      </c>
      <c r="I16" s="41">
        <f t="shared" si="1"/>
        <v>82.567430000000002</v>
      </c>
      <c r="K16" s="42">
        <f t="shared" si="2"/>
        <v>54.839130000000011</v>
      </c>
      <c r="M16" s="38">
        <v>0</v>
      </c>
      <c r="N16" s="38">
        <v>0</v>
      </c>
      <c r="O16" s="41">
        <f t="shared" si="3"/>
        <v>0</v>
      </c>
      <c r="Q16" s="42">
        <f t="shared" si="4"/>
        <v>54.839130000000011</v>
      </c>
    </row>
    <row r="17" spans="1:17" x14ac:dyDescent="0.25">
      <c r="A17" s="2" t="s">
        <v>27</v>
      </c>
      <c r="C17" s="38">
        <v>222816.82863999999</v>
      </c>
      <c r="D17" s="38">
        <v>214284.91379999998</v>
      </c>
      <c r="E17" s="39">
        <f t="shared" si="0"/>
        <v>-8531.9148400000122</v>
      </c>
      <c r="G17" s="38">
        <v>4898.6839500000006</v>
      </c>
      <c r="H17" s="38">
        <v>10646.022989999999</v>
      </c>
      <c r="I17" s="41">
        <f t="shared" si="1"/>
        <v>5747.3390399999989</v>
      </c>
      <c r="K17" s="42">
        <f t="shared" si="2"/>
        <v>-2784.5758000000133</v>
      </c>
      <c r="M17" s="38">
        <v>247.44201999999999</v>
      </c>
      <c r="N17" s="38">
        <v>1093.38446</v>
      </c>
      <c r="O17" s="41">
        <f t="shared" si="3"/>
        <v>845.94244000000003</v>
      </c>
      <c r="Q17" s="42">
        <f t="shared" si="4"/>
        <v>-1938.6333600000132</v>
      </c>
    </row>
    <row r="18" spans="1:17" x14ac:dyDescent="0.25">
      <c r="A18" s="2" t="s">
        <v>7</v>
      </c>
      <c r="C18" s="38">
        <v>28198.114840000002</v>
      </c>
      <c r="D18" s="38">
        <v>28689.06005</v>
      </c>
      <c r="E18" s="39">
        <f t="shared" si="0"/>
        <v>490.94520999999804</v>
      </c>
      <c r="G18" s="38">
        <v>307.76042000000001</v>
      </c>
      <c r="H18" s="38">
        <v>1059.51412</v>
      </c>
      <c r="I18" s="41">
        <f t="shared" si="1"/>
        <v>751.75369999999998</v>
      </c>
      <c r="K18" s="42">
        <f t="shared" si="2"/>
        <v>1242.698909999998</v>
      </c>
      <c r="M18" s="38">
        <v>0</v>
      </c>
      <c r="N18" s="38">
        <v>0</v>
      </c>
      <c r="O18" s="41">
        <f t="shared" si="3"/>
        <v>0</v>
      </c>
      <c r="Q18" s="42">
        <f t="shared" si="4"/>
        <v>1242.698909999998</v>
      </c>
    </row>
    <row r="19" spans="1:17" x14ac:dyDescent="0.25">
      <c r="A19" s="2" t="s">
        <v>42</v>
      </c>
      <c r="C19" s="38">
        <v>18774.279300000002</v>
      </c>
      <c r="D19" s="38">
        <v>19176.638060000001</v>
      </c>
      <c r="E19" s="39">
        <f t="shared" si="0"/>
        <v>402.35875999999917</v>
      </c>
      <c r="G19" s="38">
        <v>416.21584000000001</v>
      </c>
      <c r="H19" s="38">
        <v>314.54907000000003</v>
      </c>
      <c r="I19" s="41">
        <f t="shared" si="1"/>
        <v>-101.66676999999999</v>
      </c>
      <c r="K19" s="42">
        <f t="shared" si="2"/>
        <v>300.69198999999918</v>
      </c>
      <c r="M19" s="38">
        <v>0</v>
      </c>
      <c r="N19" s="38">
        <v>0</v>
      </c>
      <c r="O19" s="41">
        <f t="shared" si="3"/>
        <v>0</v>
      </c>
      <c r="Q19" s="42">
        <f t="shared" si="4"/>
        <v>300.69198999999918</v>
      </c>
    </row>
    <row r="20" spans="1:17" x14ac:dyDescent="0.25">
      <c r="A20" s="2" t="s">
        <v>43</v>
      </c>
      <c r="C20" s="38">
        <v>6008.8711800000001</v>
      </c>
      <c r="D20" s="38">
        <v>5903.2025000000003</v>
      </c>
      <c r="E20" s="39">
        <f t="shared" si="0"/>
        <v>-105.66867999999977</v>
      </c>
      <c r="G20" s="38">
        <v>122.8176</v>
      </c>
      <c r="H20" s="38">
        <v>270.66931</v>
      </c>
      <c r="I20" s="41">
        <f t="shared" si="1"/>
        <v>147.85171</v>
      </c>
      <c r="K20" s="42">
        <f t="shared" si="2"/>
        <v>42.18303000000023</v>
      </c>
      <c r="M20" s="38">
        <v>0</v>
      </c>
      <c r="N20" s="38">
        <v>0</v>
      </c>
      <c r="O20" s="41">
        <f t="shared" si="3"/>
        <v>0</v>
      </c>
      <c r="Q20" s="42">
        <f t="shared" si="4"/>
        <v>42.18303000000023</v>
      </c>
    </row>
    <row r="21" spans="1:17" x14ac:dyDescent="0.25">
      <c r="A21" s="2" t="s">
        <v>44</v>
      </c>
      <c r="C21" s="38">
        <v>9555.1751700000004</v>
      </c>
      <c r="D21" s="38">
        <v>9851.6450600000007</v>
      </c>
      <c r="E21" s="39">
        <f t="shared" si="0"/>
        <v>296.46989000000031</v>
      </c>
      <c r="G21" s="38">
        <v>241.77755999999999</v>
      </c>
      <c r="H21" s="38">
        <v>108.12319000000001</v>
      </c>
      <c r="I21" s="41">
        <f t="shared" si="1"/>
        <v>-133.65436999999997</v>
      </c>
      <c r="K21" s="42">
        <f t="shared" si="2"/>
        <v>162.81552000000033</v>
      </c>
      <c r="M21" s="38">
        <v>0</v>
      </c>
      <c r="N21" s="38">
        <v>0</v>
      </c>
      <c r="O21" s="41">
        <f t="shared" si="3"/>
        <v>0</v>
      </c>
      <c r="Q21" s="42">
        <f t="shared" si="4"/>
        <v>162.81552000000033</v>
      </c>
    </row>
    <row r="22" spans="1:17" x14ac:dyDescent="0.25">
      <c r="A22" s="2" t="s">
        <v>8</v>
      </c>
      <c r="C22" s="38">
        <v>4345.8463300000003</v>
      </c>
      <c r="D22" s="38">
        <v>4344.0635299999994</v>
      </c>
      <c r="E22" s="39">
        <f t="shared" si="0"/>
        <v>-1.7828000000008615</v>
      </c>
      <c r="G22" s="38">
        <v>126.82308</v>
      </c>
      <c r="H22" s="38">
        <v>157.92095999999998</v>
      </c>
      <c r="I22" s="41">
        <f t="shared" si="1"/>
        <v>31.097879999999975</v>
      </c>
      <c r="K22" s="42">
        <f t="shared" si="2"/>
        <v>29.315079999999114</v>
      </c>
      <c r="M22" s="38">
        <v>0</v>
      </c>
      <c r="N22" s="38">
        <v>0</v>
      </c>
      <c r="O22" s="41">
        <f t="shared" si="3"/>
        <v>0</v>
      </c>
      <c r="Q22" s="42">
        <f t="shared" si="4"/>
        <v>29.315079999999114</v>
      </c>
    </row>
    <row r="23" spans="1:17" x14ac:dyDescent="0.25">
      <c r="A23" s="2" t="s">
        <v>45</v>
      </c>
      <c r="C23" s="38">
        <v>817.40330999999992</v>
      </c>
      <c r="D23" s="38">
        <v>772.40022999999997</v>
      </c>
      <c r="E23" s="39">
        <f t="shared" si="0"/>
        <v>-45.003079999999954</v>
      </c>
      <c r="G23" s="38">
        <v>62.021819999999998</v>
      </c>
      <c r="H23" s="38">
        <v>6.9479300000000004</v>
      </c>
      <c r="I23" s="41">
        <f t="shared" si="1"/>
        <v>-55.073889999999999</v>
      </c>
      <c r="K23" s="42">
        <f t="shared" si="2"/>
        <v>-100.07696999999996</v>
      </c>
      <c r="M23" s="38">
        <v>0</v>
      </c>
      <c r="N23" s="38">
        <v>0</v>
      </c>
      <c r="O23" s="41">
        <f t="shared" si="3"/>
        <v>0</v>
      </c>
      <c r="Q23" s="42">
        <f t="shared" si="4"/>
        <v>-100.07696999999996</v>
      </c>
    </row>
    <row r="24" spans="1:17" x14ac:dyDescent="0.25">
      <c r="A24" s="2" t="s">
        <v>46</v>
      </c>
      <c r="C24" s="38">
        <v>8965.8351700000003</v>
      </c>
      <c r="D24" s="38">
        <v>8892.028620000001</v>
      </c>
      <c r="E24" s="39">
        <f t="shared" si="0"/>
        <v>-73.806549999999334</v>
      </c>
      <c r="G24" s="38">
        <v>289.02864</v>
      </c>
      <c r="H24" s="38">
        <v>122.598</v>
      </c>
      <c r="I24" s="41">
        <f t="shared" si="1"/>
        <v>-166.43063999999998</v>
      </c>
      <c r="K24" s="42">
        <f t="shared" si="2"/>
        <v>-240.23718999999932</v>
      </c>
      <c r="M24" s="38">
        <v>42.497599999999998</v>
      </c>
      <c r="N24" s="38">
        <v>0</v>
      </c>
      <c r="O24" s="41">
        <f t="shared" si="3"/>
        <v>-42.497599999999998</v>
      </c>
      <c r="Q24" s="42">
        <f t="shared" si="4"/>
        <v>-282.73478999999929</v>
      </c>
    </row>
    <row r="25" spans="1:17" x14ac:dyDescent="0.25">
      <c r="A25" s="2" t="s">
        <v>47</v>
      </c>
      <c r="C25" s="38">
        <v>3002.6327000000001</v>
      </c>
      <c r="D25" s="38">
        <v>2995.1454099999996</v>
      </c>
      <c r="E25" s="39">
        <f t="shared" si="0"/>
        <v>-7.4872900000004847</v>
      </c>
      <c r="G25" s="38">
        <v>74.181579999999997</v>
      </c>
      <c r="H25" s="38">
        <v>242.37514999999999</v>
      </c>
      <c r="I25" s="41">
        <f t="shared" si="1"/>
        <v>168.19356999999999</v>
      </c>
      <c r="K25" s="42">
        <f t="shared" si="2"/>
        <v>160.70627999999951</v>
      </c>
      <c r="M25" s="38">
        <v>0</v>
      </c>
      <c r="N25" s="38">
        <v>0</v>
      </c>
      <c r="O25" s="41">
        <f t="shared" si="3"/>
        <v>0</v>
      </c>
      <c r="Q25" s="42">
        <f t="shared" si="4"/>
        <v>160.70627999999951</v>
      </c>
    </row>
    <row r="26" spans="1:17" x14ac:dyDescent="0.25">
      <c r="A26" s="2" t="s">
        <v>48</v>
      </c>
      <c r="C26" s="38">
        <v>13074.472309999999</v>
      </c>
      <c r="D26" s="38">
        <v>12725.241740000001</v>
      </c>
      <c r="E26" s="39">
        <f t="shared" si="0"/>
        <v>-349.2305699999979</v>
      </c>
      <c r="G26" s="38">
        <v>261.42104999999998</v>
      </c>
      <c r="H26" s="38">
        <v>856.45709999999997</v>
      </c>
      <c r="I26" s="41">
        <f t="shared" si="1"/>
        <v>595.03604999999993</v>
      </c>
      <c r="K26" s="42">
        <f t="shared" si="2"/>
        <v>245.80548000000204</v>
      </c>
      <c r="M26" s="38">
        <v>0</v>
      </c>
      <c r="N26" s="38">
        <v>0</v>
      </c>
      <c r="O26" s="41">
        <f t="shared" si="3"/>
        <v>0</v>
      </c>
      <c r="Q26" s="42">
        <f t="shared" si="4"/>
        <v>245.80548000000204</v>
      </c>
    </row>
    <row r="27" spans="1:17" x14ac:dyDescent="0.25">
      <c r="A27" s="2" t="s">
        <v>49</v>
      </c>
      <c r="C27" s="38">
        <v>2429.7411199999997</v>
      </c>
      <c r="D27" s="38">
        <v>2456.7435500000006</v>
      </c>
      <c r="E27" s="39">
        <f t="shared" si="0"/>
        <v>27.002430000000913</v>
      </c>
      <c r="G27" s="38">
        <v>61.198050000000002</v>
      </c>
      <c r="H27" s="38">
        <v>450.13779999999997</v>
      </c>
      <c r="I27" s="41">
        <f t="shared" si="1"/>
        <v>388.93974999999995</v>
      </c>
      <c r="K27" s="42">
        <f t="shared" si="2"/>
        <v>415.94218000000086</v>
      </c>
      <c r="M27" s="38">
        <v>0</v>
      </c>
      <c r="N27" s="38">
        <v>0</v>
      </c>
      <c r="O27" s="41">
        <f t="shared" si="3"/>
        <v>0</v>
      </c>
      <c r="Q27" s="42">
        <f t="shared" si="4"/>
        <v>415.94218000000086</v>
      </c>
    </row>
    <row r="28" spans="1:17" x14ac:dyDescent="0.25">
      <c r="A28" s="2" t="s">
        <v>50</v>
      </c>
      <c r="C28" s="38">
        <v>3532.3399899999995</v>
      </c>
      <c r="D28" s="38">
        <v>3622.7632699999999</v>
      </c>
      <c r="E28" s="39">
        <f t="shared" si="0"/>
        <v>90.423280000000432</v>
      </c>
      <c r="G28" s="38">
        <v>135.11764000000002</v>
      </c>
      <c r="H28" s="38">
        <v>98.857050000000001</v>
      </c>
      <c r="I28" s="41">
        <f t="shared" si="1"/>
        <v>-36.260590000000022</v>
      </c>
      <c r="K28" s="42">
        <f t="shared" si="2"/>
        <v>54.16269000000041</v>
      </c>
      <c r="M28" s="38">
        <v>35.124099999999999</v>
      </c>
      <c r="N28" s="38">
        <v>0</v>
      </c>
      <c r="O28" s="41">
        <f t="shared" si="3"/>
        <v>-35.124099999999999</v>
      </c>
      <c r="Q28" s="42">
        <f t="shared" si="4"/>
        <v>19.038590000000411</v>
      </c>
    </row>
    <row r="29" spans="1:17" x14ac:dyDescent="0.25">
      <c r="A29" s="2" t="s">
        <v>51</v>
      </c>
      <c r="C29" s="38">
        <v>11601.040659999999</v>
      </c>
      <c r="D29" s="38">
        <v>8460.2012900000009</v>
      </c>
      <c r="E29" s="39">
        <f t="shared" si="0"/>
        <v>-3140.8393699999979</v>
      </c>
      <c r="G29" s="38">
        <v>45.710839999999997</v>
      </c>
      <c r="H29" s="38">
        <v>534.16373999999996</v>
      </c>
      <c r="I29" s="41">
        <f t="shared" si="1"/>
        <v>488.45289999999994</v>
      </c>
      <c r="K29" s="42">
        <f t="shared" si="2"/>
        <v>-2652.3864699999981</v>
      </c>
      <c r="M29" s="38">
        <v>0</v>
      </c>
      <c r="N29" s="38">
        <v>0</v>
      </c>
      <c r="O29" s="41">
        <f t="shared" si="3"/>
        <v>0</v>
      </c>
      <c r="Q29" s="42">
        <f t="shared" si="4"/>
        <v>-2652.3864699999981</v>
      </c>
    </row>
    <row r="30" spans="1:17" x14ac:dyDescent="0.25">
      <c r="A30" s="2" t="s">
        <v>52</v>
      </c>
      <c r="C30" s="38">
        <v>12461.665630000001</v>
      </c>
      <c r="D30" s="38">
        <v>12583.723479999999</v>
      </c>
      <c r="E30" s="39">
        <f t="shared" si="0"/>
        <v>122.05784999999742</v>
      </c>
      <c r="G30" s="38">
        <v>109.78706</v>
      </c>
      <c r="H30" s="38">
        <v>280.68331000000001</v>
      </c>
      <c r="I30" s="41">
        <f t="shared" si="1"/>
        <v>170.89625000000001</v>
      </c>
      <c r="K30" s="42">
        <f t="shared" si="2"/>
        <v>292.95409999999742</v>
      </c>
      <c r="M30" s="38">
        <v>0</v>
      </c>
      <c r="N30" s="38">
        <v>0</v>
      </c>
      <c r="O30" s="41">
        <f t="shared" si="3"/>
        <v>0</v>
      </c>
      <c r="Q30" s="42">
        <f t="shared" si="4"/>
        <v>292.95409999999742</v>
      </c>
    </row>
    <row r="31" spans="1:17" x14ac:dyDescent="0.25">
      <c r="A31" s="2" t="s">
        <v>9</v>
      </c>
      <c r="C31" s="38">
        <v>546.85853999999995</v>
      </c>
      <c r="D31" s="38">
        <v>542.50445999999999</v>
      </c>
      <c r="E31" s="39">
        <f t="shared" si="0"/>
        <v>-4.3540799999999535</v>
      </c>
      <c r="G31" s="38">
        <v>8.2485099999999996</v>
      </c>
      <c r="H31" s="38">
        <v>265.16415000000001</v>
      </c>
      <c r="I31" s="41">
        <f t="shared" si="1"/>
        <v>256.91564</v>
      </c>
      <c r="K31" s="42">
        <f t="shared" si="2"/>
        <v>252.56156000000004</v>
      </c>
      <c r="M31" s="38">
        <v>0</v>
      </c>
      <c r="N31" s="38">
        <v>0</v>
      </c>
      <c r="O31" s="41">
        <f t="shared" si="3"/>
        <v>0</v>
      </c>
      <c r="Q31" s="42">
        <f t="shared" si="4"/>
        <v>252.56156000000004</v>
      </c>
    </row>
    <row r="32" spans="1:17" x14ac:dyDescent="0.25">
      <c r="A32" s="2" t="s">
        <v>10</v>
      </c>
      <c r="C32" s="38">
        <v>9672.6915799999988</v>
      </c>
      <c r="D32" s="38">
        <v>9604.070630000002</v>
      </c>
      <c r="E32" s="39">
        <f t="shared" si="0"/>
        <v>-68.62094999999681</v>
      </c>
      <c r="G32" s="38">
        <v>287.19817999999998</v>
      </c>
      <c r="H32" s="38">
        <v>248.4845</v>
      </c>
      <c r="I32" s="41">
        <f t="shared" si="1"/>
        <v>-38.713679999999982</v>
      </c>
      <c r="K32" s="42">
        <f t="shared" si="2"/>
        <v>-107.33462999999679</v>
      </c>
      <c r="M32" s="38">
        <v>0</v>
      </c>
      <c r="N32" s="38">
        <v>0</v>
      </c>
      <c r="O32" s="41">
        <f t="shared" si="3"/>
        <v>0</v>
      </c>
      <c r="Q32" s="42">
        <f t="shared" si="4"/>
        <v>-107.33462999999679</v>
      </c>
    </row>
    <row r="33" spans="1:17" x14ac:dyDescent="0.25">
      <c r="A33" s="2" t="s">
        <v>53</v>
      </c>
      <c r="C33" s="38">
        <v>31450.075670000002</v>
      </c>
      <c r="D33" s="38">
        <v>31718.319990000004</v>
      </c>
      <c r="E33" s="39">
        <f t="shared" si="0"/>
        <v>268.24432000000161</v>
      </c>
      <c r="G33" s="38">
        <v>914.71219999999994</v>
      </c>
      <c r="H33" s="38">
        <v>1146.2101299999999</v>
      </c>
      <c r="I33" s="41">
        <f t="shared" si="1"/>
        <v>231.49793</v>
      </c>
      <c r="K33" s="42">
        <f t="shared" si="2"/>
        <v>499.7422500000016</v>
      </c>
      <c r="M33" s="38">
        <v>0</v>
      </c>
      <c r="N33" s="38">
        <v>0</v>
      </c>
      <c r="O33" s="41">
        <f t="shared" si="3"/>
        <v>0</v>
      </c>
      <c r="Q33" s="42">
        <f t="shared" si="4"/>
        <v>499.7422500000016</v>
      </c>
    </row>
    <row r="34" spans="1:17" x14ac:dyDescent="0.25">
      <c r="A34" s="2" t="s">
        <v>54</v>
      </c>
      <c r="C34" s="38">
        <v>18542.922749999998</v>
      </c>
      <c r="D34" s="38">
        <v>18752.820110000001</v>
      </c>
      <c r="E34" s="39">
        <f t="shared" si="0"/>
        <v>209.89736000000266</v>
      </c>
      <c r="G34" s="38">
        <v>611.2006899999999</v>
      </c>
      <c r="H34" s="38">
        <v>349.93445000000003</v>
      </c>
      <c r="I34" s="41">
        <f t="shared" si="1"/>
        <v>-261.26623999999987</v>
      </c>
      <c r="K34" s="42">
        <f t="shared" si="2"/>
        <v>-51.368879999997205</v>
      </c>
      <c r="M34" s="38">
        <v>0</v>
      </c>
      <c r="N34" s="38">
        <v>0</v>
      </c>
      <c r="O34" s="41">
        <f t="shared" si="3"/>
        <v>0</v>
      </c>
      <c r="Q34" s="42">
        <f t="shared" si="4"/>
        <v>-51.368879999997205</v>
      </c>
    </row>
    <row r="35" spans="1:17" x14ac:dyDescent="0.25">
      <c r="A35" s="2" t="s">
        <v>55</v>
      </c>
      <c r="C35" s="38">
        <v>14531.417000000001</v>
      </c>
      <c r="D35" s="38">
        <v>11366.10281</v>
      </c>
      <c r="E35" s="39">
        <f t="shared" si="0"/>
        <v>-3165.314190000001</v>
      </c>
      <c r="G35" s="38">
        <v>104.75463999999999</v>
      </c>
      <c r="H35" s="38">
        <v>343.69607000000002</v>
      </c>
      <c r="I35" s="41">
        <f t="shared" si="1"/>
        <v>238.94143000000003</v>
      </c>
      <c r="K35" s="42">
        <f t="shared" si="2"/>
        <v>-2926.3727600000011</v>
      </c>
      <c r="M35" s="38">
        <v>0</v>
      </c>
      <c r="N35" s="38">
        <v>0</v>
      </c>
      <c r="O35" s="41">
        <f t="shared" si="3"/>
        <v>0</v>
      </c>
      <c r="Q35" s="42">
        <f t="shared" si="4"/>
        <v>-2926.3727600000011</v>
      </c>
    </row>
    <row r="36" spans="1:17" x14ac:dyDescent="0.25">
      <c r="A36" s="2" t="s">
        <v>56</v>
      </c>
      <c r="C36" s="38">
        <v>5977.1024299999999</v>
      </c>
      <c r="D36" s="38">
        <v>6101.7981300000001</v>
      </c>
      <c r="E36" s="39">
        <f t="shared" si="0"/>
        <v>124.69570000000022</v>
      </c>
      <c r="G36" s="38">
        <v>173.21064000000001</v>
      </c>
      <c r="H36" s="38">
        <v>227.31529</v>
      </c>
      <c r="I36" s="41">
        <f t="shared" si="1"/>
        <v>54.104649999999992</v>
      </c>
      <c r="K36" s="42">
        <f t="shared" si="2"/>
        <v>178.80035000000021</v>
      </c>
      <c r="M36" s="38">
        <v>0</v>
      </c>
      <c r="N36" s="38">
        <v>0</v>
      </c>
      <c r="O36" s="41">
        <f t="shared" si="3"/>
        <v>0</v>
      </c>
      <c r="Q36" s="42">
        <f t="shared" si="4"/>
        <v>178.80035000000021</v>
      </c>
    </row>
    <row r="37" spans="1:17" x14ac:dyDescent="0.25">
      <c r="A37" s="2" t="s">
        <v>57</v>
      </c>
      <c r="C37" s="38">
        <v>424.90321999999998</v>
      </c>
      <c r="D37" s="38">
        <v>467.99763000000007</v>
      </c>
      <c r="E37" s="39">
        <f t="shared" si="0"/>
        <v>43.094410000000096</v>
      </c>
      <c r="G37" s="38">
        <v>70.102710000000002</v>
      </c>
      <c r="H37" s="38">
        <v>3.9934499999999997</v>
      </c>
      <c r="I37" s="41">
        <f t="shared" si="1"/>
        <v>-66.109260000000006</v>
      </c>
      <c r="K37" s="42">
        <f t="shared" si="2"/>
        <v>-23.01484999999991</v>
      </c>
      <c r="M37" s="38">
        <v>0</v>
      </c>
      <c r="N37" s="38">
        <v>0</v>
      </c>
      <c r="O37" s="41">
        <f t="shared" si="3"/>
        <v>0</v>
      </c>
      <c r="Q37" s="42">
        <f t="shared" si="4"/>
        <v>-23.01484999999991</v>
      </c>
    </row>
    <row r="38" spans="1:17" x14ac:dyDescent="0.25">
      <c r="A38" s="2" t="s">
        <v>58</v>
      </c>
      <c r="C38" s="38">
        <v>6189.1974700000001</v>
      </c>
      <c r="D38" s="38">
        <v>5870.5615699999998</v>
      </c>
      <c r="E38" s="39">
        <f t="shared" si="0"/>
        <v>-318.63590000000022</v>
      </c>
      <c r="G38" s="38">
        <v>314.31646999999998</v>
      </c>
      <c r="H38" s="38">
        <v>305.84147999999999</v>
      </c>
      <c r="I38" s="41">
        <f t="shared" si="1"/>
        <v>-8.4749899999999911</v>
      </c>
      <c r="K38" s="42">
        <f t="shared" si="2"/>
        <v>-327.11089000000021</v>
      </c>
      <c r="M38" s="38">
        <v>0</v>
      </c>
      <c r="N38" s="38">
        <v>0</v>
      </c>
      <c r="O38" s="41">
        <f t="shared" si="3"/>
        <v>0</v>
      </c>
      <c r="Q38" s="42">
        <f t="shared" si="4"/>
        <v>-327.11089000000021</v>
      </c>
    </row>
    <row r="39" spans="1:17" x14ac:dyDescent="0.25">
      <c r="A39" s="2" t="s">
        <v>11</v>
      </c>
      <c r="C39" s="38">
        <v>72650.076829999991</v>
      </c>
      <c r="D39" s="38">
        <v>68665.9666</v>
      </c>
      <c r="E39" s="39">
        <f t="shared" si="0"/>
        <v>-3984.1102299999911</v>
      </c>
      <c r="G39" s="38">
        <v>1517.4406000000001</v>
      </c>
      <c r="H39" s="38">
        <v>5352.0790099999995</v>
      </c>
      <c r="I39" s="41">
        <f t="shared" si="1"/>
        <v>3834.6384099999996</v>
      </c>
      <c r="K39" s="42">
        <f t="shared" si="2"/>
        <v>-149.47181999999157</v>
      </c>
      <c r="M39" s="38">
        <v>0</v>
      </c>
      <c r="N39" s="38">
        <v>0</v>
      </c>
      <c r="O39" s="41">
        <f t="shared" si="3"/>
        <v>0</v>
      </c>
      <c r="Q39" s="42">
        <f t="shared" si="4"/>
        <v>-149.47181999999157</v>
      </c>
    </row>
    <row r="40" spans="1:17" x14ac:dyDescent="0.25">
      <c r="A40" s="3" t="s">
        <v>59</v>
      </c>
      <c r="C40" s="38">
        <v>11556.094639999999</v>
      </c>
      <c r="D40" s="38">
        <v>10808.61831</v>
      </c>
      <c r="E40" s="39">
        <f t="shared" si="0"/>
        <v>-747.47632999999951</v>
      </c>
      <c r="G40" s="38">
        <v>234.77307999999999</v>
      </c>
      <c r="H40" s="38">
        <v>998.38972000000001</v>
      </c>
      <c r="I40" s="41">
        <f t="shared" si="1"/>
        <v>763.61663999999996</v>
      </c>
      <c r="K40" s="42">
        <f t="shared" si="2"/>
        <v>16.140310000000454</v>
      </c>
      <c r="M40" s="38">
        <v>0</v>
      </c>
      <c r="N40" s="38">
        <v>0</v>
      </c>
      <c r="O40" s="41">
        <f t="shared" si="3"/>
        <v>0</v>
      </c>
      <c r="Q40" s="42">
        <f t="shared" si="4"/>
        <v>16.140310000000454</v>
      </c>
    </row>
    <row r="41" spans="1:17" x14ac:dyDescent="0.25">
      <c r="A41" s="2" t="s">
        <v>60</v>
      </c>
      <c r="C41" s="38">
        <v>43176.635239999996</v>
      </c>
      <c r="D41" s="38">
        <v>44440.242390000007</v>
      </c>
      <c r="E41" s="39">
        <f t="shared" si="0"/>
        <v>1263.6071500000107</v>
      </c>
      <c r="G41" s="38">
        <v>138.67063000000002</v>
      </c>
      <c r="H41" s="38">
        <v>533.21326999999997</v>
      </c>
      <c r="I41" s="41">
        <f t="shared" si="1"/>
        <v>394.54263999999995</v>
      </c>
      <c r="K41" s="42">
        <f t="shared" si="2"/>
        <v>1658.1497900000106</v>
      </c>
      <c r="M41" s="38">
        <v>0</v>
      </c>
      <c r="N41" s="38">
        <v>0</v>
      </c>
      <c r="O41" s="41">
        <f t="shared" si="3"/>
        <v>0</v>
      </c>
      <c r="Q41" s="42">
        <f t="shared" si="4"/>
        <v>1658.1497900000106</v>
      </c>
    </row>
    <row r="42" spans="1:17" x14ac:dyDescent="0.25">
      <c r="A42" s="2" t="s">
        <v>61</v>
      </c>
      <c r="C42" s="38">
        <v>11368.196040000001</v>
      </c>
      <c r="D42" s="38">
        <v>10298.730940000001</v>
      </c>
      <c r="E42" s="39">
        <f t="shared" si="0"/>
        <v>-1069.4650999999994</v>
      </c>
      <c r="G42" s="38">
        <v>211.68965</v>
      </c>
      <c r="H42" s="38">
        <v>285.30534999999998</v>
      </c>
      <c r="I42" s="41">
        <f t="shared" si="1"/>
        <v>73.615699999999975</v>
      </c>
      <c r="K42" s="42">
        <f t="shared" si="2"/>
        <v>-995.84939999999949</v>
      </c>
      <c r="M42" s="38">
        <v>0</v>
      </c>
      <c r="N42" s="38">
        <v>0</v>
      </c>
      <c r="O42" s="41">
        <f t="shared" si="3"/>
        <v>0</v>
      </c>
      <c r="Q42" s="42">
        <f t="shared" si="4"/>
        <v>-995.84939999999949</v>
      </c>
    </row>
    <row r="43" spans="1:17" x14ac:dyDescent="0.25">
      <c r="A43" s="2" t="s">
        <v>62</v>
      </c>
      <c r="C43" s="38">
        <v>11803.06285</v>
      </c>
      <c r="D43" s="38">
        <v>12221.539540000002</v>
      </c>
      <c r="E43" s="39">
        <f t="shared" si="0"/>
        <v>418.47669000000133</v>
      </c>
      <c r="G43" s="38">
        <v>164.97166000000001</v>
      </c>
      <c r="H43" s="38">
        <v>117.21253999999999</v>
      </c>
      <c r="I43" s="41">
        <f t="shared" si="1"/>
        <v>-47.759120000000024</v>
      </c>
      <c r="K43" s="42">
        <f t="shared" si="2"/>
        <v>370.71757000000127</v>
      </c>
      <c r="M43" s="38">
        <v>0</v>
      </c>
      <c r="N43" s="38">
        <v>0</v>
      </c>
      <c r="O43" s="41">
        <f t="shared" si="3"/>
        <v>0</v>
      </c>
      <c r="Q43" s="42">
        <f t="shared" si="4"/>
        <v>370.71757000000127</v>
      </c>
    </row>
    <row r="44" spans="1:17" x14ac:dyDescent="0.25">
      <c r="A44" s="2" t="s">
        <v>63</v>
      </c>
      <c r="C44" s="38">
        <v>7024.9259000000002</v>
      </c>
      <c r="D44" s="38">
        <v>6553.3864500000009</v>
      </c>
      <c r="E44" s="39">
        <f t="shared" si="0"/>
        <v>-471.53944999999931</v>
      </c>
      <c r="G44" s="38">
        <v>107.19042</v>
      </c>
      <c r="H44" s="38">
        <v>52.62424</v>
      </c>
      <c r="I44" s="41">
        <f t="shared" si="1"/>
        <v>-54.566180000000003</v>
      </c>
      <c r="K44" s="42">
        <f t="shared" si="2"/>
        <v>-526.10562999999934</v>
      </c>
      <c r="M44" s="38">
        <v>0</v>
      </c>
      <c r="N44" s="38">
        <v>0</v>
      </c>
      <c r="O44" s="41">
        <f t="shared" si="3"/>
        <v>0</v>
      </c>
      <c r="Q44" s="42">
        <f t="shared" si="4"/>
        <v>-526.10562999999934</v>
      </c>
    </row>
    <row r="45" spans="1:17" x14ac:dyDescent="0.25">
      <c r="A45" s="2" t="s">
        <v>64</v>
      </c>
      <c r="C45" s="38">
        <v>2330.7592199999999</v>
      </c>
      <c r="D45" s="38">
        <v>2534.2457399999998</v>
      </c>
      <c r="E45" s="39">
        <f t="shared" si="0"/>
        <v>203.48651999999993</v>
      </c>
      <c r="G45" s="38">
        <v>61.716440000000006</v>
      </c>
      <c r="H45" s="38">
        <v>11.90588</v>
      </c>
      <c r="I45" s="41">
        <f t="shared" si="1"/>
        <v>-49.810560000000009</v>
      </c>
      <c r="K45" s="42">
        <f t="shared" si="2"/>
        <v>153.67595999999992</v>
      </c>
      <c r="M45" s="38">
        <v>0</v>
      </c>
      <c r="N45" s="38">
        <v>0</v>
      </c>
      <c r="O45" s="41">
        <f t="shared" si="3"/>
        <v>0</v>
      </c>
      <c r="Q45" s="42">
        <f t="shared" si="4"/>
        <v>153.67595999999992</v>
      </c>
    </row>
    <row r="46" spans="1:17" x14ac:dyDescent="0.25">
      <c r="A46" s="2" t="s">
        <v>65</v>
      </c>
      <c r="C46" s="38">
        <v>1034.63852</v>
      </c>
      <c r="D46" s="38">
        <v>1068.18797</v>
      </c>
      <c r="E46" s="39">
        <f t="shared" si="0"/>
        <v>33.549449999999979</v>
      </c>
      <c r="G46" s="38">
        <v>12.62804</v>
      </c>
      <c r="H46" s="38">
        <v>46.61045</v>
      </c>
      <c r="I46" s="41">
        <f t="shared" si="1"/>
        <v>33.982410000000002</v>
      </c>
      <c r="K46" s="42">
        <f t="shared" si="2"/>
        <v>67.53185999999998</v>
      </c>
      <c r="M46" s="38">
        <v>0</v>
      </c>
      <c r="N46" s="38">
        <v>0</v>
      </c>
      <c r="O46" s="41">
        <f t="shared" si="3"/>
        <v>0</v>
      </c>
      <c r="Q46" s="42">
        <f t="shared" si="4"/>
        <v>67.53185999999998</v>
      </c>
    </row>
    <row r="47" spans="1:17" x14ac:dyDescent="0.25">
      <c r="A47" s="2" t="s">
        <v>66</v>
      </c>
      <c r="C47" s="38">
        <v>15316.77306</v>
      </c>
      <c r="D47" s="38">
        <v>15438.699029999996</v>
      </c>
      <c r="E47" s="39">
        <f t="shared" si="0"/>
        <v>121.9259699999966</v>
      </c>
      <c r="G47" s="38">
        <v>445.53167999999999</v>
      </c>
      <c r="H47" s="38">
        <v>371.8587</v>
      </c>
      <c r="I47" s="41">
        <f t="shared" si="1"/>
        <v>-73.672979999999995</v>
      </c>
      <c r="K47" s="42">
        <f t="shared" si="2"/>
        <v>48.252989999996601</v>
      </c>
      <c r="M47" s="38">
        <v>0</v>
      </c>
      <c r="N47" s="38">
        <v>0</v>
      </c>
      <c r="O47" s="41">
        <f t="shared" si="3"/>
        <v>0</v>
      </c>
      <c r="Q47" s="42">
        <f t="shared" si="4"/>
        <v>48.252989999996601</v>
      </c>
    </row>
    <row r="48" spans="1:17" x14ac:dyDescent="0.25">
      <c r="A48" s="2" t="s">
        <v>67</v>
      </c>
      <c r="C48" s="38">
        <v>26912.779640000001</v>
      </c>
      <c r="D48" s="38">
        <v>24835.576099999998</v>
      </c>
      <c r="E48" s="39">
        <f t="shared" si="0"/>
        <v>-2077.2035400000022</v>
      </c>
      <c r="G48" s="38">
        <v>1345.12059</v>
      </c>
      <c r="H48" s="38">
        <v>1210.6807800000001</v>
      </c>
      <c r="I48" s="41">
        <f t="shared" si="1"/>
        <v>-134.43980999999985</v>
      </c>
      <c r="K48" s="42">
        <f t="shared" si="2"/>
        <v>-2211.6433500000021</v>
      </c>
      <c r="M48" s="38">
        <v>0</v>
      </c>
      <c r="N48" s="38">
        <v>0</v>
      </c>
      <c r="O48" s="41">
        <f t="shared" si="3"/>
        <v>0</v>
      </c>
      <c r="Q48" s="42">
        <f t="shared" si="4"/>
        <v>-2211.6433500000021</v>
      </c>
    </row>
    <row r="49" spans="1:17" x14ac:dyDescent="0.25">
      <c r="A49" s="2" t="s">
        <v>68</v>
      </c>
      <c r="C49" s="38">
        <v>4481.5250100000003</v>
      </c>
      <c r="D49" s="38">
        <v>4637.5880699999998</v>
      </c>
      <c r="E49" s="39">
        <f t="shared" si="0"/>
        <v>156.0630599999995</v>
      </c>
      <c r="G49" s="38">
        <v>172.31542999999999</v>
      </c>
      <c r="H49" s="38">
        <v>272.44472999999999</v>
      </c>
      <c r="I49" s="41">
        <f t="shared" si="1"/>
        <v>100.1293</v>
      </c>
      <c r="K49" s="42">
        <f t="shared" si="2"/>
        <v>256.1923599999995</v>
      </c>
      <c r="M49" s="38">
        <v>0</v>
      </c>
      <c r="N49" s="38">
        <v>0</v>
      </c>
      <c r="O49" s="41">
        <f t="shared" si="3"/>
        <v>0</v>
      </c>
      <c r="Q49" s="42">
        <f t="shared" si="4"/>
        <v>256.1923599999995</v>
      </c>
    </row>
    <row r="50" spans="1:17" x14ac:dyDescent="0.25">
      <c r="A50" s="2" t="s">
        <v>69</v>
      </c>
      <c r="C50" s="38">
        <v>20445.305810000002</v>
      </c>
      <c r="D50" s="38">
        <v>20949.759420000002</v>
      </c>
      <c r="E50" s="39">
        <f t="shared" si="0"/>
        <v>504.45361000000048</v>
      </c>
      <c r="G50" s="38">
        <v>350.37216999999998</v>
      </c>
      <c r="H50" s="38">
        <v>308.87740000000002</v>
      </c>
      <c r="I50" s="41">
        <f t="shared" si="1"/>
        <v>-41.49476999999996</v>
      </c>
      <c r="K50" s="42">
        <f t="shared" si="2"/>
        <v>462.95884000000052</v>
      </c>
      <c r="M50" s="38">
        <v>0</v>
      </c>
      <c r="N50" s="38">
        <v>0</v>
      </c>
      <c r="O50" s="41">
        <f t="shared" si="3"/>
        <v>0</v>
      </c>
      <c r="Q50" s="42">
        <f t="shared" si="4"/>
        <v>462.95884000000052</v>
      </c>
    </row>
    <row r="51" spans="1:17" x14ac:dyDescent="0.25">
      <c r="A51" s="2" t="s">
        <v>12</v>
      </c>
      <c r="C51" s="38">
        <v>2907.02225</v>
      </c>
      <c r="D51" s="38">
        <v>3285.3348299999998</v>
      </c>
      <c r="E51" s="39">
        <f t="shared" si="0"/>
        <v>378.3125799999998</v>
      </c>
      <c r="G51" s="38">
        <v>91.82632000000001</v>
      </c>
      <c r="H51" s="38">
        <v>10.386809999999999</v>
      </c>
      <c r="I51" s="41">
        <f t="shared" si="1"/>
        <v>-81.439510000000013</v>
      </c>
      <c r="K51" s="42">
        <f t="shared" si="2"/>
        <v>296.87306999999976</v>
      </c>
      <c r="M51" s="38">
        <v>0</v>
      </c>
      <c r="N51" s="38">
        <v>0</v>
      </c>
      <c r="O51" s="41">
        <f t="shared" si="3"/>
        <v>0</v>
      </c>
      <c r="Q51" s="42">
        <f t="shared" si="4"/>
        <v>296.87306999999976</v>
      </c>
    </row>
    <row r="52" spans="1:17" x14ac:dyDescent="0.25">
      <c r="A52" s="2" t="s">
        <v>70</v>
      </c>
      <c r="C52" s="38">
        <v>6325.5551100000002</v>
      </c>
      <c r="D52" s="38">
        <v>5892.7303099999999</v>
      </c>
      <c r="E52" s="39">
        <f t="shared" si="0"/>
        <v>-432.82480000000032</v>
      </c>
      <c r="G52" s="38">
        <v>72.987350000000006</v>
      </c>
      <c r="H52" s="38">
        <v>344.87997999999999</v>
      </c>
      <c r="I52" s="41">
        <f t="shared" si="1"/>
        <v>271.89263</v>
      </c>
      <c r="K52" s="42">
        <f t="shared" si="2"/>
        <v>-160.93217000000033</v>
      </c>
      <c r="M52" s="38">
        <v>0</v>
      </c>
      <c r="N52" s="38">
        <v>0</v>
      </c>
      <c r="O52" s="41">
        <f t="shared" si="3"/>
        <v>0</v>
      </c>
      <c r="Q52" s="42">
        <f t="shared" si="4"/>
        <v>-160.93217000000033</v>
      </c>
    </row>
    <row r="53" spans="1:17" x14ac:dyDescent="0.25">
      <c r="A53" s="2" t="s">
        <v>71</v>
      </c>
      <c r="C53" s="38">
        <v>1790.5130799999997</v>
      </c>
      <c r="D53" s="38">
        <v>1897.3796299999999</v>
      </c>
      <c r="E53" s="39">
        <f t="shared" si="0"/>
        <v>106.86655000000019</v>
      </c>
      <c r="G53" s="38">
        <v>66.973060000000004</v>
      </c>
      <c r="H53" s="38">
        <v>3.2300500000000003</v>
      </c>
      <c r="I53" s="41">
        <f t="shared" si="1"/>
        <v>-63.743010000000005</v>
      </c>
      <c r="K53" s="42">
        <f t="shared" si="2"/>
        <v>43.123540000000183</v>
      </c>
      <c r="M53" s="38">
        <v>0</v>
      </c>
      <c r="N53" s="38">
        <v>0</v>
      </c>
      <c r="O53" s="41">
        <f t="shared" si="3"/>
        <v>0</v>
      </c>
      <c r="Q53" s="42">
        <f t="shared" si="4"/>
        <v>43.123540000000183</v>
      </c>
    </row>
    <row r="54" spans="1:17" x14ac:dyDescent="0.25">
      <c r="A54" s="2" t="s">
        <v>72</v>
      </c>
      <c r="C54" s="38">
        <v>10272.465889999999</v>
      </c>
      <c r="D54" s="38">
        <v>10868.743349999999</v>
      </c>
      <c r="E54" s="39">
        <f t="shared" si="0"/>
        <v>596.27745999999934</v>
      </c>
      <c r="G54" s="38">
        <v>267.73489000000001</v>
      </c>
      <c r="H54" s="38">
        <v>230.58208999999999</v>
      </c>
      <c r="I54" s="41">
        <f t="shared" si="1"/>
        <v>-37.152800000000013</v>
      </c>
      <c r="K54" s="42">
        <f t="shared" si="2"/>
        <v>559.12465999999927</v>
      </c>
      <c r="M54" s="38">
        <v>0</v>
      </c>
      <c r="N54" s="38">
        <v>0</v>
      </c>
      <c r="O54" s="41">
        <f t="shared" si="3"/>
        <v>0</v>
      </c>
      <c r="Q54" s="42">
        <f t="shared" si="4"/>
        <v>559.12465999999927</v>
      </c>
    </row>
    <row r="55" spans="1:17" x14ac:dyDescent="0.25">
      <c r="A55" s="2" t="s">
        <v>13</v>
      </c>
      <c r="C55" s="38">
        <v>5606.6902100000007</v>
      </c>
      <c r="D55" s="38">
        <v>5827.0393400000003</v>
      </c>
      <c r="E55" s="39">
        <f t="shared" si="0"/>
        <v>220.3491299999996</v>
      </c>
      <c r="G55" s="38">
        <v>169.77245000000002</v>
      </c>
      <c r="H55" s="38">
        <v>234.22543999999999</v>
      </c>
      <c r="I55" s="41">
        <f t="shared" si="1"/>
        <v>64.452989999999971</v>
      </c>
      <c r="K55" s="42">
        <f t="shared" si="2"/>
        <v>284.8021199999996</v>
      </c>
      <c r="M55" s="38">
        <v>0</v>
      </c>
      <c r="N55" s="38">
        <v>0</v>
      </c>
      <c r="O55" s="41">
        <f t="shared" si="3"/>
        <v>0</v>
      </c>
      <c r="Q55" s="42">
        <f t="shared" si="4"/>
        <v>284.8021199999996</v>
      </c>
    </row>
    <row r="56" spans="1:17" x14ac:dyDescent="0.25">
      <c r="A56" s="2" t="s">
        <v>26</v>
      </c>
      <c r="C56" s="38">
        <v>3686.7498100000003</v>
      </c>
      <c r="D56" s="38">
        <v>3666.3730300000002</v>
      </c>
      <c r="E56" s="39">
        <f t="shared" si="0"/>
        <v>-20.376780000000053</v>
      </c>
      <c r="G56" s="38">
        <v>64.29576999999999</v>
      </c>
      <c r="H56" s="38">
        <v>90.424929999999989</v>
      </c>
      <c r="I56" s="41">
        <f t="shared" si="1"/>
        <v>26.129159999999999</v>
      </c>
      <c r="K56" s="42">
        <f t="shared" si="2"/>
        <v>5.7523799999999454</v>
      </c>
      <c r="M56" s="38">
        <v>0</v>
      </c>
      <c r="N56" s="38">
        <v>0</v>
      </c>
      <c r="O56" s="41">
        <f t="shared" si="3"/>
        <v>0</v>
      </c>
      <c r="Q56" s="42">
        <f t="shared" si="4"/>
        <v>5.7523799999999454</v>
      </c>
    </row>
    <row r="57" spans="1:17" x14ac:dyDescent="0.25">
      <c r="A57" s="2" t="s">
        <v>73</v>
      </c>
      <c r="C57" s="38">
        <v>260.34963999999997</v>
      </c>
      <c r="D57" s="38">
        <v>247.30252999999999</v>
      </c>
      <c r="E57" s="39">
        <f t="shared" si="0"/>
        <v>-13.047109999999975</v>
      </c>
      <c r="G57" s="38">
        <v>12.368129999999999</v>
      </c>
      <c r="H57" s="38">
        <v>0.89854999999999996</v>
      </c>
      <c r="I57" s="41">
        <f t="shared" si="1"/>
        <v>-11.469579999999999</v>
      </c>
      <c r="K57" s="42">
        <f t="shared" si="2"/>
        <v>-24.516689999999976</v>
      </c>
      <c r="M57" s="38">
        <v>0</v>
      </c>
      <c r="N57" s="38">
        <v>0</v>
      </c>
      <c r="O57" s="41">
        <f t="shared" si="3"/>
        <v>0</v>
      </c>
      <c r="Q57" s="42">
        <f t="shared" si="4"/>
        <v>-24.516689999999976</v>
      </c>
    </row>
    <row r="58" spans="1:17" x14ac:dyDescent="0.25">
      <c r="A58" s="1" t="s">
        <v>14</v>
      </c>
      <c r="C58" s="38">
        <v>78613.804940000002</v>
      </c>
      <c r="D58" s="38">
        <v>74390.635680000007</v>
      </c>
      <c r="E58" s="39">
        <f t="shared" si="0"/>
        <v>-4223.1692599999951</v>
      </c>
      <c r="G58" s="38">
        <v>1837.7402500000001</v>
      </c>
      <c r="H58" s="38">
        <v>6959.0615499999994</v>
      </c>
      <c r="I58" s="41">
        <f t="shared" si="1"/>
        <v>5121.3212999999996</v>
      </c>
      <c r="K58" s="42">
        <f t="shared" si="2"/>
        <v>898.15204000000449</v>
      </c>
      <c r="M58" s="38">
        <v>0</v>
      </c>
      <c r="N58" s="38">
        <v>0</v>
      </c>
      <c r="O58" s="41">
        <f t="shared" si="3"/>
        <v>0</v>
      </c>
      <c r="Q58" s="42">
        <f t="shared" si="4"/>
        <v>898.15204000000449</v>
      </c>
    </row>
    <row r="59" spans="1:17" x14ac:dyDescent="0.25">
      <c r="A59" s="2" t="s">
        <v>28</v>
      </c>
      <c r="C59" s="38">
        <v>26024.672409999999</v>
      </c>
      <c r="D59" s="38">
        <v>27119.26353</v>
      </c>
      <c r="E59" s="39">
        <f t="shared" si="0"/>
        <v>1094.591120000001</v>
      </c>
      <c r="G59" s="38">
        <v>619.57899999999995</v>
      </c>
      <c r="H59" s="38">
        <v>959.42684999999994</v>
      </c>
      <c r="I59" s="41">
        <f t="shared" si="1"/>
        <v>339.84784999999999</v>
      </c>
      <c r="K59" s="42">
        <f t="shared" si="2"/>
        <v>1434.4389700000011</v>
      </c>
      <c r="M59" s="38">
        <v>282.81720000000001</v>
      </c>
      <c r="N59" s="38">
        <v>24.165749999999999</v>
      </c>
      <c r="O59" s="41">
        <f t="shared" si="3"/>
        <v>-258.65145000000001</v>
      </c>
      <c r="Q59" s="42">
        <f t="shared" si="4"/>
        <v>1175.787520000001</v>
      </c>
    </row>
    <row r="60" spans="1:17" x14ac:dyDescent="0.25">
      <c r="A60" s="2" t="s">
        <v>29</v>
      </c>
      <c r="C60" s="38">
        <v>466927.68060000008</v>
      </c>
      <c r="D60" s="38">
        <v>432637.40299999999</v>
      </c>
      <c r="E60" s="39">
        <f t="shared" si="0"/>
        <v>-34290.277600000089</v>
      </c>
      <c r="G60" s="38">
        <v>14863.67787</v>
      </c>
      <c r="H60" s="38">
        <v>47134.296430000002</v>
      </c>
      <c r="I60" s="41">
        <f t="shared" si="1"/>
        <v>32270.618560000003</v>
      </c>
      <c r="K60" s="42">
        <f t="shared" si="2"/>
        <v>-2019.659040000086</v>
      </c>
      <c r="M60" s="38">
        <v>0</v>
      </c>
      <c r="N60" s="38">
        <v>0</v>
      </c>
      <c r="O60" s="41">
        <f t="shared" si="3"/>
        <v>0</v>
      </c>
      <c r="Q60" s="42">
        <f t="shared" si="4"/>
        <v>-2019.659040000086</v>
      </c>
    </row>
    <row r="61" spans="1:17" x14ac:dyDescent="0.25">
      <c r="A61" s="2" t="s">
        <v>74</v>
      </c>
      <c r="C61" s="38">
        <v>6475.3188900000005</v>
      </c>
      <c r="D61" s="38">
        <v>6531.9387800000004</v>
      </c>
      <c r="E61" s="39">
        <f t="shared" si="0"/>
        <v>56.619889999999941</v>
      </c>
      <c r="G61" s="38">
        <v>191.51467000000002</v>
      </c>
      <c r="H61" s="38">
        <v>139.58118999999999</v>
      </c>
      <c r="I61" s="41">
        <f t="shared" si="1"/>
        <v>-51.933480000000031</v>
      </c>
      <c r="K61" s="42">
        <f t="shared" si="2"/>
        <v>4.6864099999999098</v>
      </c>
      <c r="M61" s="38">
        <v>0</v>
      </c>
      <c r="N61" s="38">
        <v>0</v>
      </c>
      <c r="O61" s="41">
        <f t="shared" si="3"/>
        <v>0</v>
      </c>
      <c r="Q61" s="42">
        <f t="shared" si="4"/>
        <v>4.6864099999999098</v>
      </c>
    </row>
    <row r="62" spans="1:17" x14ac:dyDescent="0.25">
      <c r="A62" s="2" t="s">
        <v>75</v>
      </c>
      <c r="C62" s="38">
        <v>12891.618750000001</v>
      </c>
      <c r="D62" s="38">
        <v>12556.37745</v>
      </c>
      <c r="E62" s="39">
        <f t="shared" si="0"/>
        <v>-335.2413000000015</v>
      </c>
      <c r="G62" s="38">
        <v>304.27073999999999</v>
      </c>
      <c r="H62" s="38">
        <v>187.42745000000002</v>
      </c>
      <c r="I62" s="41">
        <f t="shared" si="1"/>
        <v>-116.84328999999997</v>
      </c>
      <c r="K62" s="42">
        <f t="shared" si="2"/>
        <v>-452.08459000000147</v>
      </c>
      <c r="M62" s="38">
        <v>0</v>
      </c>
      <c r="N62" s="38">
        <v>0</v>
      </c>
      <c r="O62" s="41">
        <f t="shared" si="3"/>
        <v>0</v>
      </c>
      <c r="Q62" s="42">
        <f t="shared" si="4"/>
        <v>-452.08459000000147</v>
      </c>
    </row>
    <row r="63" spans="1:17" x14ac:dyDescent="0.25">
      <c r="A63" s="2" t="s">
        <v>76</v>
      </c>
      <c r="C63" s="38">
        <v>7111.6858700000012</v>
      </c>
      <c r="D63" s="38">
        <v>7214.3316199999999</v>
      </c>
      <c r="E63" s="39">
        <f t="shared" si="0"/>
        <v>102.64574999999877</v>
      </c>
      <c r="G63" s="38">
        <v>38.239350000000002</v>
      </c>
      <c r="H63" s="38">
        <v>220.62825000000001</v>
      </c>
      <c r="I63" s="41">
        <f t="shared" si="1"/>
        <v>182.38890000000001</v>
      </c>
      <c r="K63" s="42">
        <f t="shared" si="2"/>
        <v>285.03464999999881</v>
      </c>
      <c r="M63" s="38">
        <v>0</v>
      </c>
      <c r="N63" s="38">
        <v>0</v>
      </c>
      <c r="O63" s="41">
        <f t="shared" si="3"/>
        <v>0</v>
      </c>
      <c r="Q63" s="42">
        <f t="shared" si="4"/>
        <v>285.03464999999881</v>
      </c>
    </row>
    <row r="64" spans="1:17" x14ac:dyDescent="0.25">
      <c r="A64" s="2" t="s">
        <v>77</v>
      </c>
      <c r="C64" s="38">
        <v>15378.10226</v>
      </c>
      <c r="D64" s="38">
        <v>17343.194620000002</v>
      </c>
      <c r="E64" s="39">
        <f t="shared" si="0"/>
        <v>1965.0923600000024</v>
      </c>
      <c r="G64" s="38">
        <v>5.1961000000000004</v>
      </c>
      <c r="H64" s="38">
        <v>482.60730000000001</v>
      </c>
      <c r="I64" s="41">
        <f t="shared" si="1"/>
        <v>477.41120000000001</v>
      </c>
      <c r="K64" s="42">
        <f t="shared" si="2"/>
        <v>2442.5035600000024</v>
      </c>
      <c r="M64" s="38">
        <v>0</v>
      </c>
      <c r="N64" s="38">
        <v>0</v>
      </c>
      <c r="O64" s="41">
        <f t="shared" si="3"/>
        <v>0</v>
      </c>
      <c r="Q64" s="42">
        <f t="shared" si="4"/>
        <v>2442.5035600000024</v>
      </c>
    </row>
    <row r="65" spans="1:17" x14ac:dyDescent="0.25">
      <c r="A65" s="2" t="s">
        <v>15</v>
      </c>
      <c r="C65" s="38">
        <v>32733.478520000004</v>
      </c>
      <c r="D65" s="38">
        <v>36022.205669999996</v>
      </c>
      <c r="E65" s="39">
        <f t="shared" si="0"/>
        <v>3288.7271499999915</v>
      </c>
      <c r="G65" s="38">
        <v>695.10650999999996</v>
      </c>
      <c r="H65" s="38">
        <v>972.79255000000001</v>
      </c>
      <c r="I65" s="41">
        <f t="shared" si="1"/>
        <v>277.68604000000005</v>
      </c>
      <c r="K65" s="42">
        <f t="shared" si="2"/>
        <v>3566.4131899999916</v>
      </c>
      <c r="M65" s="38">
        <v>0</v>
      </c>
      <c r="N65" s="38">
        <v>0</v>
      </c>
      <c r="O65" s="41">
        <f t="shared" si="3"/>
        <v>0</v>
      </c>
      <c r="Q65" s="42">
        <f t="shared" si="4"/>
        <v>3566.4131899999916</v>
      </c>
    </row>
    <row r="66" spans="1:17" x14ac:dyDescent="0.25">
      <c r="A66" s="2" t="s">
        <v>78</v>
      </c>
      <c r="C66" s="38">
        <v>9104.2222999999994</v>
      </c>
      <c r="D66" s="38">
        <v>8614.6255700000002</v>
      </c>
      <c r="E66" s="39">
        <f t="shared" si="0"/>
        <v>-489.5967299999993</v>
      </c>
      <c r="G66" s="38">
        <v>150.32167999999999</v>
      </c>
      <c r="H66" s="38">
        <v>745.52794999999992</v>
      </c>
      <c r="I66" s="41">
        <f t="shared" si="1"/>
        <v>595.2062699999999</v>
      </c>
      <c r="K66" s="42">
        <f t="shared" si="2"/>
        <v>105.60954000000061</v>
      </c>
      <c r="M66" s="38">
        <v>0</v>
      </c>
      <c r="N66" s="38">
        <v>0</v>
      </c>
      <c r="O66" s="41">
        <f t="shared" si="3"/>
        <v>0</v>
      </c>
      <c r="Q66" s="42">
        <f t="shared" si="4"/>
        <v>105.60954000000061</v>
      </c>
    </row>
    <row r="67" spans="1:17" x14ac:dyDescent="0.25">
      <c r="A67" s="2" t="s">
        <v>16</v>
      </c>
      <c r="C67" s="38">
        <v>89712.370479999998</v>
      </c>
      <c r="D67" s="38">
        <v>90377.80279999999</v>
      </c>
      <c r="E67" s="39">
        <f t="shared" si="0"/>
        <v>665.43231999999261</v>
      </c>
      <c r="G67" s="38">
        <v>3417.3292799999999</v>
      </c>
      <c r="H67" s="38">
        <v>7565.6463200000007</v>
      </c>
      <c r="I67" s="41">
        <f t="shared" si="1"/>
        <v>4148.3170400000008</v>
      </c>
      <c r="K67" s="42">
        <f t="shared" si="2"/>
        <v>4813.7493599999934</v>
      </c>
      <c r="M67" s="38">
        <v>0</v>
      </c>
      <c r="N67" s="38">
        <v>0</v>
      </c>
      <c r="O67" s="41">
        <f t="shared" si="3"/>
        <v>0</v>
      </c>
      <c r="Q67" s="42">
        <f t="shared" si="4"/>
        <v>4813.7493599999934</v>
      </c>
    </row>
    <row r="68" spans="1:17" x14ac:dyDescent="0.25">
      <c r="A68" s="2" t="s">
        <v>79</v>
      </c>
      <c r="C68" s="38">
        <v>1508.94407</v>
      </c>
      <c r="D68" s="38">
        <v>1371.59591</v>
      </c>
      <c r="E68" s="39">
        <f t="shared" ref="E68:E108" si="5">D68-C68</f>
        <v>-137.34816000000001</v>
      </c>
      <c r="G68" s="38">
        <v>30.55199</v>
      </c>
      <c r="H68" s="38">
        <v>1.0503399999999998</v>
      </c>
      <c r="I68" s="41">
        <f t="shared" ref="I68:I108" si="6">H68-G68</f>
        <v>-29.501650000000001</v>
      </c>
      <c r="K68" s="42">
        <f t="shared" ref="K68:K108" si="7">E68+I68</f>
        <v>-166.84981000000002</v>
      </c>
      <c r="M68" s="38">
        <v>0</v>
      </c>
      <c r="N68" s="38">
        <v>0</v>
      </c>
      <c r="O68" s="41">
        <f t="shared" ref="O68:O108" si="8">N68-M68</f>
        <v>0</v>
      </c>
      <c r="Q68" s="42">
        <f t="shared" ref="Q68:Q108" si="9">K68+O68</f>
        <v>-166.84981000000002</v>
      </c>
    </row>
    <row r="69" spans="1:17" x14ac:dyDescent="0.25">
      <c r="A69" s="2" t="s">
        <v>80</v>
      </c>
      <c r="C69" s="38">
        <v>8982.9440999999988</v>
      </c>
      <c r="D69" s="38">
        <v>9045.4337899999991</v>
      </c>
      <c r="E69" s="39">
        <f t="shared" si="5"/>
        <v>62.489690000000337</v>
      </c>
      <c r="G69" s="38">
        <v>190.06364000000002</v>
      </c>
      <c r="H69" s="38">
        <v>137.65164999999999</v>
      </c>
      <c r="I69" s="41">
        <f t="shared" si="6"/>
        <v>-52.411990000000031</v>
      </c>
      <c r="K69" s="42">
        <f t="shared" si="7"/>
        <v>10.077700000000306</v>
      </c>
      <c r="M69" s="38">
        <v>0</v>
      </c>
      <c r="N69" s="38">
        <v>0</v>
      </c>
      <c r="O69" s="41">
        <f t="shared" si="8"/>
        <v>0</v>
      </c>
      <c r="Q69" s="42">
        <f t="shared" si="9"/>
        <v>10.077700000000306</v>
      </c>
    </row>
    <row r="70" spans="1:17" x14ac:dyDescent="0.25">
      <c r="A70" s="2" t="s">
        <v>81</v>
      </c>
      <c r="C70" s="38">
        <v>1416.45741</v>
      </c>
      <c r="D70" s="38">
        <v>1476.1285</v>
      </c>
      <c r="E70" s="39">
        <f t="shared" si="5"/>
        <v>59.671090000000049</v>
      </c>
      <c r="G70" s="38">
        <v>17.071240000000003</v>
      </c>
      <c r="H70" s="38">
        <v>25.994199999999999</v>
      </c>
      <c r="I70" s="41">
        <f t="shared" si="6"/>
        <v>8.9229599999999962</v>
      </c>
      <c r="K70" s="42">
        <f t="shared" si="7"/>
        <v>68.594050000000038</v>
      </c>
      <c r="M70" s="38">
        <v>0</v>
      </c>
      <c r="N70" s="38">
        <v>0</v>
      </c>
      <c r="O70" s="41">
        <f t="shared" si="8"/>
        <v>0</v>
      </c>
      <c r="Q70" s="42">
        <f t="shared" si="9"/>
        <v>68.594050000000038</v>
      </c>
    </row>
    <row r="71" spans="1:17" x14ac:dyDescent="0.25">
      <c r="A71" s="2" t="s">
        <v>17</v>
      </c>
      <c r="C71" s="38">
        <v>38493.094940000003</v>
      </c>
      <c r="D71" s="38">
        <v>37255.266040000002</v>
      </c>
      <c r="E71" s="39">
        <f t="shared" si="5"/>
        <v>-1237.8289000000004</v>
      </c>
      <c r="G71" s="38">
        <v>784.74046999999996</v>
      </c>
      <c r="H71" s="38">
        <v>1600.1288300000001</v>
      </c>
      <c r="I71" s="41">
        <f t="shared" si="6"/>
        <v>815.38836000000015</v>
      </c>
      <c r="K71" s="42">
        <f t="shared" si="7"/>
        <v>-422.44054000000028</v>
      </c>
      <c r="M71" s="38">
        <v>0</v>
      </c>
      <c r="N71" s="38">
        <v>0</v>
      </c>
      <c r="O71" s="41">
        <f t="shared" si="8"/>
        <v>0</v>
      </c>
      <c r="Q71" s="42">
        <f t="shared" si="9"/>
        <v>-422.44054000000028</v>
      </c>
    </row>
    <row r="72" spans="1:17" x14ac:dyDescent="0.25">
      <c r="A72" s="2" t="s">
        <v>82</v>
      </c>
      <c r="C72" s="38">
        <v>18863.429840000001</v>
      </c>
      <c r="D72" s="38">
        <v>19089.331440000002</v>
      </c>
      <c r="E72" s="39">
        <f t="shared" si="5"/>
        <v>225.90160000000105</v>
      </c>
      <c r="G72" s="38">
        <v>156.12943999999999</v>
      </c>
      <c r="H72" s="38">
        <v>133.55708999999999</v>
      </c>
      <c r="I72" s="41">
        <f t="shared" si="6"/>
        <v>-22.57235</v>
      </c>
      <c r="K72" s="42">
        <f t="shared" si="7"/>
        <v>203.32925000000105</v>
      </c>
      <c r="M72" s="38">
        <v>0</v>
      </c>
      <c r="N72" s="38">
        <v>0</v>
      </c>
      <c r="O72" s="41">
        <f t="shared" si="8"/>
        <v>0</v>
      </c>
      <c r="Q72" s="42">
        <f t="shared" si="9"/>
        <v>203.32925000000105</v>
      </c>
    </row>
    <row r="73" spans="1:17" x14ac:dyDescent="0.25">
      <c r="A73" s="2" t="s">
        <v>18</v>
      </c>
      <c r="C73" s="38">
        <v>16538.730800000001</v>
      </c>
      <c r="D73" s="38">
        <v>17683.28671</v>
      </c>
      <c r="E73" s="39">
        <f t="shared" si="5"/>
        <v>1144.5559099999991</v>
      </c>
      <c r="G73" s="38">
        <v>95.440669999999997</v>
      </c>
      <c r="H73" s="38">
        <v>320.97136</v>
      </c>
      <c r="I73" s="41">
        <f t="shared" si="6"/>
        <v>225.53068999999999</v>
      </c>
      <c r="K73" s="42">
        <f t="shared" si="7"/>
        <v>1370.0865999999992</v>
      </c>
      <c r="M73" s="38">
        <v>0</v>
      </c>
      <c r="N73" s="38">
        <v>0</v>
      </c>
      <c r="O73" s="41">
        <f t="shared" si="8"/>
        <v>0</v>
      </c>
      <c r="Q73" s="42">
        <f t="shared" si="9"/>
        <v>1370.0865999999992</v>
      </c>
    </row>
    <row r="74" spans="1:17" x14ac:dyDescent="0.25">
      <c r="A74" s="2" t="s">
        <v>83</v>
      </c>
      <c r="C74" s="38">
        <v>8818.78593</v>
      </c>
      <c r="D74" s="38">
        <v>9975.0211099999997</v>
      </c>
      <c r="E74" s="39">
        <f t="shared" si="5"/>
        <v>1156.2351799999997</v>
      </c>
      <c r="G74" s="38">
        <v>271.74990000000003</v>
      </c>
      <c r="H74" s="38">
        <v>830.9030600000001</v>
      </c>
      <c r="I74" s="41">
        <f t="shared" si="6"/>
        <v>559.15316000000007</v>
      </c>
      <c r="K74" s="42">
        <f t="shared" si="7"/>
        <v>1715.3883399999997</v>
      </c>
      <c r="M74" s="38">
        <v>0</v>
      </c>
      <c r="N74" s="38">
        <v>0</v>
      </c>
      <c r="O74" s="41">
        <f t="shared" si="8"/>
        <v>0</v>
      </c>
      <c r="Q74" s="42">
        <f t="shared" si="9"/>
        <v>1715.3883399999997</v>
      </c>
    </row>
    <row r="75" spans="1:17" x14ac:dyDescent="0.25">
      <c r="A75" s="2" t="s">
        <v>19</v>
      </c>
      <c r="C75" s="38">
        <v>12927.22018</v>
      </c>
      <c r="D75" s="38">
        <v>12518.909020000001</v>
      </c>
      <c r="E75" s="39">
        <f t="shared" si="5"/>
        <v>-408.31115999999929</v>
      </c>
      <c r="G75" s="38">
        <v>641.30786000000001</v>
      </c>
      <c r="H75" s="38">
        <v>1821.59193</v>
      </c>
      <c r="I75" s="41">
        <f t="shared" si="6"/>
        <v>1180.2840700000002</v>
      </c>
      <c r="K75" s="42">
        <f t="shared" si="7"/>
        <v>771.97291000000087</v>
      </c>
      <c r="M75" s="38">
        <v>0</v>
      </c>
      <c r="N75" s="38">
        <v>0</v>
      </c>
      <c r="O75" s="41">
        <f t="shared" si="8"/>
        <v>0</v>
      </c>
      <c r="Q75" s="42">
        <f t="shared" si="9"/>
        <v>771.97291000000087</v>
      </c>
    </row>
    <row r="76" spans="1:17" x14ac:dyDescent="0.25">
      <c r="A76" s="2" t="s">
        <v>84</v>
      </c>
      <c r="C76" s="38">
        <v>5235.7397600000004</v>
      </c>
      <c r="D76" s="38">
        <v>5235.6651300000003</v>
      </c>
      <c r="E76" s="39">
        <f t="shared" si="5"/>
        <v>-7.463000000007014E-2</v>
      </c>
      <c r="G76" s="38">
        <v>87.498109999999997</v>
      </c>
      <c r="H76" s="38">
        <v>154.61320000000001</v>
      </c>
      <c r="I76" s="41">
        <f t="shared" si="6"/>
        <v>67.115090000000009</v>
      </c>
      <c r="K76" s="42">
        <f t="shared" si="7"/>
        <v>67.040459999999939</v>
      </c>
      <c r="M76" s="38">
        <v>0</v>
      </c>
      <c r="N76" s="38">
        <v>0</v>
      </c>
      <c r="O76" s="41">
        <f t="shared" si="8"/>
        <v>0</v>
      </c>
      <c r="Q76" s="42">
        <f t="shared" si="9"/>
        <v>67.040459999999939</v>
      </c>
    </row>
    <row r="77" spans="1:17" x14ac:dyDescent="0.25">
      <c r="A77" s="2" t="s">
        <v>85</v>
      </c>
      <c r="C77" s="38">
        <v>1470.0969599999999</v>
      </c>
      <c r="D77" s="38">
        <v>1484.88329</v>
      </c>
      <c r="E77" s="39">
        <f t="shared" si="5"/>
        <v>14.786330000000135</v>
      </c>
      <c r="G77" s="38">
        <v>43.365160000000003</v>
      </c>
      <c r="H77" s="38">
        <v>3.3328000000000002</v>
      </c>
      <c r="I77" s="41">
        <f t="shared" si="6"/>
        <v>-40.032360000000004</v>
      </c>
      <c r="K77" s="42">
        <f t="shared" si="7"/>
        <v>-25.24602999999987</v>
      </c>
      <c r="M77" s="38">
        <v>0</v>
      </c>
      <c r="N77" s="38">
        <v>0</v>
      </c>
      <c r="O77" s="41">
        <f t="shared" si="8"/>
        <v>0</v>
      </c>
      <c r="Q77" s="42">
        <f t="shared" si="9"/>
        <v>-25.24602999999987</v>
      </c>
    </row>
    <row r="78" spans="1:17" x14ac:dyDescent="0.25">
      <c r="A78" s="2" t="s">
        <v>86</v>
      </c>
      <c r="C78" s="38">
        <v>4741.9048700000003</v>
      </c>
      <c r="D78" s="38">
        <v>4747.3657899999998</v>
      </c>
      <c r="E78" s="39">
        <f t="shared" si="5"/>
        <v>5.4609199999995326</v>
      </c>
      <c r="G78" s="38">
        <v>22.867139999999999</v>
      </c>
      <c r="H78" s="38">
        <v>45.999679999999998</v>
      </c>
      <c r="I78" s="41">
        <f t="shared" si="6"/>
        <v>23.132539999999999</v>
      </c>
      <c r="K78" s="42">
        <f t="shared" si="7"/>
        <v>28.593459999999531</v>
      </c>
      <c r="M78" s="38">
        <v>0</v>
      </c>
      <c r="N78" s="38">
        <v>0</v>
      </c>
      <c r="O78" s="41">
        <f t="shared" si="8"/>
        <v>0</v>
      </c>
      <c r="Q78" s="42">
        <f t="shared" si="9"/>
        <v>28.593459999999531</v>
      </c>
    </row>
    <row r="79" spans="1:17" x14ac:dyDescent="0.25">
      <c r="A79" s="2" t="s">
        <v>20</v>
      </c>
      <c r="C79" s="38">
        <v>11511.7804</v>
      </c>
      <c r="D79" s="38">
        <v>12304.34763</v>
      </c>
      <c r="E79" s="39">
        <f t="shared" si="5"/>
        <v>792.56723000000056</v>
      </c>
      <c r="G79" s="38">
        <v>46.820080000000004</v>
      </c>
      <c r="H79" s="38">
        <v>111.52486</v>
      </c>
      <c r="I79" s="41">
        <f t="shared" si="6"/>
        <v>64.70478</v>
      </c>
      <c r="K79" s="42">
        <f t="shared" si="7"/>
        <v>857.27201000000059</v>
      </c>
      <c r="M79" s="38">
        <v>0</v>
      </c>
      <c r="N79" s="38">
        <v>0</v>
      </c>
      <c r="O79" s="41">
        <f t="shared" si="8"/>
        <v>0</v>
      </c>
      <c r="Q79" s="42">
        <f t="shared" si="9"/>
        <v>857.27201000000059</v>
      </c>
    </row>
    <row r="80" spans="1:17" x14ac:dyDescent="0.25">
      <c r="A80" s="2" t="s">
        <v>87</v>
      </c>
      <c r="C80" s="38">
        <v>4528.2475599999998</v>
      </c>
      <c r="D80" s="38">
        <v>4802.1775500000003</v>
      </c>
      <c r="E80" s="39">
        <f t="shared" si="5"/>
        <v>273.92999000000054</v>
      </c>
      <c r="G80" s="38">
        <v>80.060630000000003</v>
      </c>
      <c r="H80" s="38">
        <v>221.857</v>
      </c>
      <c r="I80" s="41">
        <f t="shared" si="6"/>
        <v>141.79637</v>
      </c>
      <c r="K80" s="42">
        <f t="shared" si="7"/>
        <v>415.72636000000057</v>
      </c>
      <c r="M80" s="38">
        <v>0</v>
      </c>
      <c r="N80" s="38">
        <v>0</v>
      </c>
      <c r="O80" s="41">
        <f t="shared" si="8"/>
        <v>0</v>
      </c>
      <c r="Q80" s="42">
        <f t="shared" si="9"/>
        <v>415.72636000000057</v>
      </c>
    </row>
    <row r="81" spans="1:17" x14ac:dyDescent="0.25">
      <c r="A81" s="2" t="s">
        <v>30</v>
      </c>
      <c r="C81" s="38">
        <v>6091.0715099999998</v>
      </c>
      <c r="D81" s="38">
        <v>6137.4816700000001</v>
      </c>
      <c r="E81" s="39">
        <f t="shared" si="5"/>
        <v>46.41016000000036</v>
      </c>
      <c r="G81" s="38">
        <v>69.485550000000003</v>
      </c>
      <c r="H81" s="38">
        <v>82.192830000000001</v>
      </c>
      <c r="I81" s="41">
        <f t="shared" si="6"/>
        <v>12.707279999999997</v>
      </c>
      <c r="K81" s="42">
        <f t="shared" si="7"/>
        <v>59.117440000000357</v>
      </c>
      <c r="M81" s="38">
        <v>0.4</v>
      </c>
      <c r="N81" s="38">
        <v>0</v>
      </c>
      <c r="O81" s="41">
        <f t="shared" si="8"/>
        <v>-0.4</v>
      </c>
      <c r="Q81" s="42">
        <f t="shared" si="9"/>
        <v>58.717440000000359</v>
      </c>
    </row>
    <row r="82" spans="1:17" x14ac:dyDescent="0.25">
      <c r="A82" s="2" t="s">
        <v>88</v>
      </c>
      <c r="C82" s="38">
        <v>4962.1255499999997</v>
      </c>
      <c r="D82" s="38">
        <v>5005.6287899999998</v>
      </c>
      <c r="E82" s="39">
        <f t="shared" si="5"/>
        <v>43.503240000000005</v>
      </c>
      <c r="G82" s="38">
        <v>75.462879999999998</v>
      </c>
      <c r="H82" s="38">
        <v>206.71655999999999</v>
      </c>
      <c r="I82" s="41">
        <f t="shared" si="6"/>
        <v>131.25367999999997</v>
      </c>
      <c r="K82" s="42">
        <f t="shared" si="7"/>
        <v>174.75691999999998</v>
      </c>
      <c r="M82" s="38">
        <v>0</v>
      </c>
      <c r="N82" s="38">
        <v>0</v>
      </c>
      <c r="O82" s="41">
        <f t="shared" si="8"/>
        <v>0</v>
      </c>
      <c r="Q82" s="42">
        <f t="shared" si="9"/>
        <v>174.75691999999998</v>
      </c>
    </row>
    <row r="83" spans="1:17" x14ac:dyDescent="0.25">
      <c r="A83" s="2" t="s">
        <v>89</v>
      </c>
      <c r="C83" s="38">
        <v>46799.954360000003</v>
      </c>
      <c r="D83" s="38">
        <v>49917.730510000001</v>
      </c>
      <c r="E83" s="39">
        <f t="shared" si="5"/>
        <v>3117.7761499999979</v>
      </c>
      <c r="G83" s="38">
        <v>173.37479000000002</v>
      </c>
      <c r="H83" s="38">
        <v>1527.9726000000001</v>
      </c>
      <c r="I83" s="41">
        <f t="shared" si="6"/>
        <v>1354.59781</v>
      </c>
      <c r="K83" s="42">
        <f t="shared" si="7"/>
        <v>4472.3739599999981</v>
      </c>
      <c r="M83" s="38">
        <v>171.82794000000001</v>
      </c>
      <c r="N83" s="38">
        <v>303.60147999999998</v>
      </c>
      <c r="O83" s="41">
        <f t="shared" si="8"/>
        <v>131.77353999999997</v>
      </c>
      <c r="Q83" s="42">
        <f t="shared" si="9"/>
        <v>4604.1474999999982</v>
      </c>
    </row>
    <row r="84" spans="1:17" x14ac:dyDescent="0.25">
      <c r="A84" s="2" t="s">
        <v>90</v>
      </c>
      <c r="C84" s="38">
        <v>1910.1959299999999</v>
      </c>
      <c r="D84" s="38">
        <v>1843.9081799999999</v>
      </c>
      <c r="E84" s="39">
        <f t="shared" si="5"/>
        <v>-66.28774999999996</v>
      </c>
      <c r="G84" s="38">
        <v>10.75853</v>
      </c>
      <c r="H84" s="38">
        <v>25.9954</v>
      </c>
      <c r="I84" s="41">
        <f t="shared" si="6"/>
        <v>15.23687</v>
      </c>
      <c r="K84" s="42">
        <f t="shared" si="7"/>
        <v>-51.050879999999964</v>
      </c>
      <c r="M84" s="38">
        <v>0</v>
      </c>
      <c r="N84" s="38">
        <v>0</v>
      </c>
      <c r="O84" s="41">
        <f t="shared" si="8"/>
        <v>0</v>
      </c>
      <c r="Q84" s="42">
        <f t="shared" si="9"/>
        <v>-51.050879999999964</v>
      </c>
    </row>
    <row r="85" spans="1:17" x14ac:dyDescent="0.25">
      <c r="A85" s="2" t="s">
        <v>91</v>
      </c>
      <c r="C85" s="38">
        <v>3039.6363899999997</v>
      </c>
      <c r="D85" s="38">
        <v>3020.2611500000003</v>
      </c>
      <c r="E85" s="39">
        <f t="shared" si="5"/>
        <v>-19.375239999999394</v>
      </c>
      <c r="G85" s="38">
        <v>31.137360000000001</v>
      </c>
      <c r="H85" s="38">
        <v>19.581150000000001</v>
      </c>
      <c r="I85" s="41">
        <f t="shared" si="6"/>
        <v>-11.55621</v>
      </c>
      <c r="K85" s="42">
        <f t="shared" si="7"/>
        <v>-30.931449999999394</v>
      </c>
      <c r="M85" s="38">
        <v>0</v>
      </c>
      <c r="N85" s="38">
        <v>0</v>
      </c>
      <c r="O85" s="41">
        <f t="shared" si="8"/>
        <v>0</v>
      </c>
      <c r="Q85" s="42">
        <f t="shared" si="9"/>
        <v>-30.931449999999394</v>
      </c>
    </row>
    <row r="86" spans="1:17" x14ac:dyDescent="0.25">
      <c r="A86" s="2" t="s">
        <v>92</v>
      </c>
      <c r="C86" s="38">
        <v>8466.3162400000001</v>
      </c>
      <c r="D86" s="38">
        <v>8528.0999400000001</v>
      </c>
      <c r="E86" s="39">
        <f t="shared" si="5"/>
        <v>61.783699999999953</v>
      </c>
      <c r="G86" s="38">
        <v>370.91296999999997</v>
      </c>
      <c r="H86" s="38">
        <v>417.75993</v>
      </c>
      <c r="I86" s="41">
        <f t="shared" si="6"/>
        <v>46.846960000000024</v>
      </c>
      <c r="K86" s="42">
        <f t="shared" si="7"/>
        <v>108.63065999999998</v>
      </c>
      <c r="M86" s="38">
        <v>0</v>
      </c>
      <c r="N86" s="38">
        <v>0</v>
      </c>
      <c r="O86" s="41">
        <f t="shared" si="8"/>
        <v>0</v>
      </c>
      <c r="Q86" s="42">
        <f t="shared" si="9"/>
        <v>108.63065999999998</v>
      </c>
    </row>
    <row r="87" spans="1:17" x14ac:dyDescent="0.25">
      <c r="A87" s="2" t="s">
        <v>93</v>
      </c>
      <c r="C87" s="38">
        <v>10843.61542</v>
      </c>
      <c r="D87" s="38">
        <v>10745.811800000001</v>
      </c>
      <c r="E87" s="39">
        <f t="shared" si="5"/>
        <v>-97.803619999998773</v>
      </c>
      <c r="G87" s="38">
        <v>126.48324000000001</v>
      </c>
      <c r="H87" s="38">
        <v>314.00794999999999</v>
      </c>
      <c r="I87" s="41">
        <f t="shared" si="6"/>
        <v>187.52470999999997</v>
      </c>
      <c r="K87" s="42">
        <f t="shared" si="7"/>
        <v>89.721090000001197</v>
      </c>
      <c r="M87" s="38">
        <v>0</v>
      </c>
      <c r="N87" s="38">
        <v>0</v>
      </c>
      <c r="O87" s="41">
        <f t="shared" si="8"/>
        <v>0</v>
      </c>
      <c r="Q87" s="42">
        <f t="shared" si="9"/>
        <v>89.721090000001197</v>
      </c>
    </row>
    <row r="88" spans="1:17" x14ac:dyDescent="0.25">
      <c r="A88" s="2" t="s">
        <v>94</v>
      </c>
      <c r="C88" s="38">
        <v>2167.0817000000002</v>
      </c>
      <c r="D88" s="38">
        <v>2035.6948899999998</v>
      </c>
      <c r="E88" s="39">
        <f t="shared" si="5"/>
        <v>-131.38681000000042</v>
      </c>
      <c r="G88" s="38">
        <v>101.44331</v>
      </c>
      <c r="H88" s="38">
        <v>82.133300000000006</v>
      </c>
      <c r="I88" s="41">
        <f t="shared" si="6"/>
        <v>-19.310009999999991</v>
      </c>
      <c r="K88" s="42">
        <f t="shared" si="7"/>
        <v>-150.6968200000004</v>
      </c>
      <c r="M88" s="38">
        <v>0</v>
      </c>
      <c r="N88" s="38">
        <v>0</v>
      </c>
      <c r="O88" s="41">
        <f t="shared" si="8"/>
        <v>0</v>
      </c>
      <c r="Q88" s="42">
        <f t="shared" si="9"/>
        <v>-150.6968200000004</v>
      </c>
    </row>
    <row r="89" spans="1:17" x14ac:dyDescent="0.25">
      <c r="A89" s="2" t="s">
        <v>95</v>
      </c>
      <c r="C89" s="38">
        <v>6320.0578999999998</v>
      </c>
      <c r="D89" s="38">
        <v>6057.5796300000011</v>
      </c>
      <c r="E89" s="39">
        <f t="shared" si="5"/>
        <v>-262.4782699999987</v>
      </c>
      <c r="G89" s="38">
        <v>61.146830000000001</v>
      </c>
      <c r="H89" s="38">
        <v>66.012199999999993</v>
      </c>
      <c r="I89" s="41">
        <f t="shared" si="6"/>
        <v>4.8653699999999915</v>
      </c>
      <c r="K89" s="42">
        <f t="shared" si="7"/>
        <v>-257.61289999999872</v>
      </c>
      <c r="M89" s="38">
        <v>0</v>
      </c>
      <c r="N89" s="38">
        <v>0</v>
      </c>
      <c r="O89" s="41">
        <f t="shared" si="8"/>
        <v>0</v>
      </c>
      <c r="Q89" s="42">
        <f t="shared" si="9"/>
        <v>-257.61289999999872</v>
      </c>
    </row>
    <row r="90" spans="1:17" x14ac:dyDescent="0.25">
      <c r="A90" s="2" t="s">
        <v>96</v>
      </c>
      <c r="C90" s="38">
        <v>6239.9152099999992</v>
      </c>
      <c r="D90" s="38">
        <v>6329.5300599999991</v>
      </c>
      <c r="E90" s="39">
        <f t="shared" si="5"/>
        <v>89.614849999999933</v>
      </c>
      <c r="G90" s="38">
        <v>482.84532000000002</v>
      </c>
      <c r="H90" s="38">
        <v>668.89632999999992</v>
      </c>
      <c r="I90" s="41">
        <f t="shared" si="6"/>
        <v>186.05100999999991</v>
      </c>
      <c r="K90" s="42">
        <f t="shared" si="7"/>
        <v>275.66585999999984</v>
      </c>
      <c r="M90" s="38">
        <v>0</v>
      </c>
      <c r="N90" s="38">
        <v>0</v>
      </c>
      <c r="O90" s="41">
        <f t="shared" si="8"/>
        <v>0</v>
      </c>
      <c r="Q90" s="42">
        <f t="shared" si="9"/>
        <v>275.66585999999984</v>
      </c>
    </row>
    <row r="91" spans="1:17" ht="13.5" customHeight="1" x14ac:dyDescent="0.25">
      <c r="A91" s="2" t="s">
        <v>97</v>
      </c>
      <c r="C91" s="38">
        <v>11155.024389999999</v>
      </c>
      <c r="D91" s="38">
        <v>10699.54408</v>
      </c>
      <c r="E91" s="39">
        <f t="shared" si="5"/>
        <v>-455.48030999999901</v>
      </c>
      <c r="G91" s="38">
        <v>153.86559</v>
      </c>
      <c r="H91" s="38">
        <v>547.60725000000002</v>
      </c>
      <c r="I91" s="41">
        <f t="shared" si="6"/>
        <v>393.74166000000002</v>
      </c>
      <c r="K91" s="42">
        <f t="shared" si="7"/>
        <v>-61.738649999998984</v>
      </c>
      <c r="M91" s="38">
        <v>0</v>
      </c>
      <c r="N91" s="38">
        <v>0</v>
      </c>
      <c r="O91" s="41">
        <f t="shared" si="8"/>
        <v>0</v>
      </c>
      <c r="Q91" s="42">
        <f t="shared" si="9"/>
        <v>-61.738649999998984</v>
      </c>
    </row>
    <row r="92" spans="1:17" x14ac:dyDescent="0.25">
      <c r="A92" s="2" t="s">
        <v>98</v>
      </c>
      <c r="C92" s="38">
        <v>17796.27707</v>
      </c>
      <c r="D92" s="38">
        <v>17405.253960000002</v>
      </c>
      <c r="E92" s="39">
        <f t="shared" si="5"/>
        <v>-391.02310999999827</v>
      </c>
      <c r="G92" s="38">
        <v>373.04354999999998</v>
      </c>
      <c r="H92" s="38">
        <v>262.11304999999999</v>
      </c>
      <c r="I92" s="41">
        <f t="shared" si="6"/>
        <v>-110.93049999999999</v>
      </c>
      <c r="K92" s="42">
        <f t="shared" si="7"/>
        <v>-501.95360999999826</v>
      </c>
      <c r="M92" s="38">
        <v>0</v>
      </c>
      <c r="N92" s="38">
        <v>0</v>
      </c>
      <c r="O92" s="41">
        <f t="shared" si="8"/>
        <v>0</v>
      </c>
      <c r="Q92" s="42">
        <f t="shared" si="9"/>
        <v>-501.95360999999826</v>
      </c>
    </row>
    <row r="93" spans="1:17" x14ac:dyDescent="0.25">
      <c r="A93" s="2" t="s">
        <v>99</v>
      </c>
      <c r="C93" s="38">
        <v>6157.7801599999993</v>
      </c>
      <c r="D93" s="38">
        <v>5977.2872300000008</v>
      </c>
      <c r="E93" s="39">
        <f t="shared" si="5"/>
        <v>-180.49292999999852</v>
      </c>
      <c r="G93" s="38">
        <v>36.509010000000004</v>
      </c>
      <c r="H93" s="38">
        <v>307.84771000000001</v>
      </c>
      <c r="I93" s="41">
        <f t="shared" si="6"/>
        <v>271.33870000000002</v>
      </c>
      <c r="K93" s="42">
        <f t="shared" si="7"/>
        <v>90.845770000001494</v>
      </c>
      <c r="M93" s="38">
        <v>679.58365000000003</v>
      </c>
      <c r="N93" s="38">
        <v>525.93994999999995</v>
      </c>
      <c r="O93" s="41">
        <f t="shared" si="8"/>
        <v>-153.64370000000008</v>
      </c>
      <c r="Q93" s="42">
        <f t="shared" si="9"/>
        <v>-62.797929999998587</v>
      </c>
    </row>
    <row r="94" spans="1:17" x14ac:dyDescent="0.25">
      <c r="A94" s="2" t="s">
        <v>590</v>
      </c>
      <c r="C94" s="38">
        <v>11903.337199999998</v>
      </c>
      <c r="D94" s="38">
        <v>11239.018599999999</v>
      </c>
      <c r="E94" s="39">
        <f t="shared" si="5"/>
        <v>-664.3185999999987</v>
      </c>
      <c r="G94" s="38">
        <v>48.70082</v>
      </c>
      <c r="H94" s="38">
        <v>23.24</v>
      </c>
      <c r="I94" s="41">
        <f t="shared" si="6"/>
        <v>-25.460820000000002</v>
      </c>
      <c r="K94" s="42">
        <f t="shared" si="7"/>
        <v>-689.77941999999871</v>
      </c>
      <c r="M94" s="38">
        <v>0</v>
      </c>
      <c r="N94" s="38">
        <v>0</v>
      </c>
      <c r="O94" s="41">
        <f t="shared" si="8"/>
        <v>0</v>
      </c>
      <c r="Q94" s="42">
        <f t="shared" si="9"/>
        <v>-689.77941999999871</v>
      </c>
    </row>
    <row r="95" spans="1:17" x14ac:dyDescent="0.25">
      <c r="A95" s="4" t="s">
        <v>22</v>
      </c>
      <c r="C95" s="38">
        <v>10880.50281</v>
      </c>
      <c r="D95" s="38">
        <v>11748.226009999998</v>
      </c>
      <c r="E95" s="39">
        <f t="shared" si="5"/>
        <v>867.72319999999854</v>
      </c>
      <c r="G95" s="38">
        <v>111.54617999999999</v>
      </c>
      <c r="H95" s="38">
        <v>420.04682000000003</v>
      </c>
      <c r="I95" s="41">
        <f t="shared" si="6"/>
        <v>308.50064000000003</v>
      </c>
      <c r="K95" s="42">
        <f t="shared" si="7"/>
        <v>1176.2238399999985</v>
      </c>
      <c r="M95" s="38">
        <v>0</v>
      </c>
      <c r="N95" s="38">
        <v>0</v>
      </c>
      <c r="O95" s="41">
        <f t="shared" si="8"/>
        <v>0</v>
      </c>
      <c r="Q95" s="42">
        <f t="shared" si="9"/>
        <v>1176.2238399999985</v>
      </c>
    </row>
    <row r="96" spans="1:17" x14ac:dyDescent="0.25">
      <c r="A96" s="2" t="s">
        <v>100</v>
      </c>
      <c r="C96" s="38">
        <v>9134.8232800000005</v>
      </c>
      <c r="D96" s="38">
        <v>9604.4834200000005</v>
      </c>
      <c r="E96" s="39">
        <f t="shared" si="5"/>
        <v>469.66013999999996</v>
      </c>
      <c r="G96" s="38">
        <v>344.10915999999997</v>
      </c>
      <c r="H96" s="38">
        <v>75.570909999999998</v>
      </c>
      <c r="I96" s="41">
        <f t="shared" si="6"/>
        <v>-268.53824999999995</v>
      </c>
      <c r="K96" s="42">
        <f t="shared" si="7"/>
        <v>201.12189000000001</v>
      </c>
      <c r="M96" s="38">
        <v>0</v>
      </c>
      <c r="N96" s="38">
        <v>0</v>
      </c>
      <c r="O96" s="41">
        <f t="shared" si="8"/>
        <v>0</v>
      </c>
      <c r="Q96" s="42">
        <f t="shared" si="9"/>
        <v>201.12189000000001</v>
      </c>
    </row>
    <row r="97" spans="1:17" x14ac:dyDescent="0.25">
      <c r="A97" s="2" t="s">
        <v>101</v>
      </c>
      <c r="C97" s="38">
        <v>10975.802640000002</v>
      </c>
      <c r="D97" s="38">
        <v>12039.267740000001</v>
      </c>
      <c r="E97" s="39">
        <f t="shared" si="5"/>
        <v>1063.4650999999994</v>
      </c>
      <c r="G97" s="38">
        <v>124.13789999999999</v>
      </c>
      <c r="H97" s="38">
        <v>114.72900999999999</v>
      </c>
      <c r="I97" s="41">
        <f t="shared" si="6"/>
        <v>-9.4088899999999995</v>
      </c>
      <c r="K97" s="42">
        <f t="shared" si="7"/>
        <v>1054.0562099999995</v>
      </c>
      <c r="M97" s="38">
        <v>0</v>
      </c>
      <c r="N97" s="38">
        <v>0</v>
      </c>
      <c r="O97" s="41">
        <f t="shared" si="8"/>
        <v>0</v>
      </c>
      <c r="Q97" s="42">
        <f t="shared" si="9"/>
        <v>1054.0562099999995</v>
      </c>
    </row>
    <row r="98" spans="1:17" x14ac:dyDescent="0.25">
      <c r="A98" s="2" t="s">
        <v>23</v>
      </c>
      <c r="C98" s="38">
        <v>29075.53299</v>
      </c>
      <c r="D98" s="38">
        <v>32099.879140000001</v>
      </c>
      <c r="E98" s="39">
        <f t="shared" si="5"/>
        <v>3024.3461500000012</v>
      </c>
      <c r="G98" s="38">
        <v>41.169839999999994</v>
      </c>
      <c r="H98" s="38">
        <v>578.42650000000003</v>
      </c>
      <c r="I98" s="41">
        <f t="shared" si="6"/>
        <v>537.25666000000001</v>
      </c>
      <c r="K98" s="42">
        <f t="shared" si="7"/>
        <v>3561.6028100000012</v>
      </c>
      <c r="M98" s="38">
        <v>0</v>
      </c>
      <c r="N98" s="38">
        <v>0</v>
      </c>
      <c r="O98" s="41">
        <f t="shared" si="8"/>
        <v>0</v>
      </c>
      <c r="Q98" s="42">
        <f t="shared" si="9"/>
        <v>3561.6028100000012</v>
      </c>
    </row>
    <row r="99" spans="1:17" ht="12.75" customHeight="1" x14ac:dyDescent="0.25">
      <c r="A99" s="2" t="s">
        <v>102</v>
      </c>
      <c r="C99" s="38">
        <v>14620.65129</v>
      </c>
      <c r="D99" s="38">
        <v>14838.725189999997</v>
      </c>
      <c r="E99" s="39">
        <f t="shared" si="5"/>
        <v>218.07389999999759</v>
      </c>
      <c r="G99" s="38">
        <v>196.54404</v>
      </c>
      <c r="H99" s="38">
        <v>188.68078</v>
      </c>
      <c r="I99" s="41">
        <f t="shared" si="6"/>
        <v>-7.8632599999999968</v>
      </c>
      <c r="K99" s="42">
        <f t="shared" si="7"/>
        <v>210.2106399999976</v>
      </c>
      <c r="M99" s="38">
        <v>0</v>
      </c>
      <c r="N99" s="38">
        <v>0</v>
      </c>
      <c r="O99" s="41">
        <f t="shared" si="8"/>
        <v>0</v>
      </c>
      <c r="Q99" s="42">
        <f t="shared" si="9"/>
        <v>210.2106399999976</v>
      </c>
    </row>
    <row r="100" spans="1:17" x14ac:dyDescent="0.25">
      <c r="A100" s="2" t="s">
        <v>24</v>
      </c>
      <c r="C100" s="38">
        <v>10186.01269</v>
      </c>
      <c r="D100" s="38">
        <v>9826.9904299999998</v>
      </c>
      <c r="E100" s="39">
        <f t="shared" si="5"/>
        <v>-359.02225999999973</v>
      </c>
      <c r="G100" s="38">
        <v>201.78806</v>
      </c>
      <c r="H100" s="38">
        <v>322.46782000000002</v>
      </c>
      <c r="I100" s="41">
        <f t="shared" si="6"/>
        <v>120.67976000000002</v>
      </c>
      <c r="K100" s="42">
        <f t="shared" si="7"/>
        <v>-238.34249999999972</v>
      </c>
      <c r="M100" s="38">
        <v>0</v>
      </c>
      <c r="N100" s="38">
        <v>0</v>
      </c>
      <c r="O100" s="41">
        <f t="shared" si="8"/>
        <v>0</v>
      </c>
      <c r="Q100" s="42">
        <f t="shared" si="9"/>
        <v>-238.34249999999972</v>
      </c>
    </row>
    <row r="101" spans="1:17" x14ac:dyDescent="0.25">
      <c r="A101" s="3" t="s">
        <v>103</v>
      </c>
      <c r="C101" s="38">
        <v>12490.906159999999</v>
      </c>
      <c r="D101" s="38">
        <v>12528.096129999998</v>
      </c>
      <c r="E101" s="39">
        <f t="shared" si="5"/>
        <v>37.189969999999448</v>
      </c>
      <c r="G101" s="38">
        <v>96.543259999999989</v>
      </c>
      <c r="H101" s="38">
        <v>142.04820000000001</v>
      </c>
      <c r="I101" s="41">
        <f t="shared" si="6"/>
        <v>45.504940000000019</v>
      </c>
      <c r="K101" s="42">
        <f t="shared" si="7"/>
        <v>82.694909999999467</v>
      </c>
      <c r="M101" s="38">
        <v>0</v>
      </c>
      <c r="N101" s="38">
        <v>0</v>
      </c>
      <c r="O101" s="41">
        <f t="shared" si="8"/>
        <v>0</v>
      </c>
      <c r="Q101" s="42">
        <f t="shared" si="9"/>
        <v>82.694909999999467</v>
      </c>
    </row>
    <row r="102" spans="1:17" x14ac:dyDescent="0.25">
      <c r="A102" s="2" t="s">
        <v>104</v>
      </c>
      <c r="C102" s="38">
        <v>14425.220819999999</v>
      </c>
      <c r="D102" s="38">
        <v>13723.758640000004</v>
      </c>
      <c r="E102" s="39">
        <f t="shared" si="5"/>
        <v>-701.46217999999499</v>
      </c>
      <c r="G102" s="38">
        <v>216.53639000000001</v>
      </c>
      <c r="H102" s="38">
        <v>492.16909999999996</v>
      </c>
      <c r="I102" s="41">
        <f t="shared" si="6"/>
        <v>275.63270999999997</v>
      </c>
      <c r="K102" s="42">
        <f t="shared" si="7"/>
        <v>-425.82946999999501</v>
      </c>
      <c r="M102" s="38">
        <v>0</v>
      </c>
      <c r="N102" s="38">
        <v>0</v>
      </c>
      <c r="O102" s="41">
        <f t="shared" si="8"/>
        <v>0</v>
      </c>
      <c r="Q102" s="42">
        <f t="shared" si="9"/>
        <v>-425.82946999999501</v>
      </c>
    </row>
    <row r="103" spans="1:17" x14ac:dyDescent="0.25">
      <c r="A103" s="2" t="s">
        <v>25</v>
      </c>
      <c r="C103" s="38">
        <v>14464.24237</v>
      </c>
      <c r="D103" s="38">
        <v>18994.69154</v>
      </c>
      <c r="E103" s="39">
        <f t="shared" si="5"/>
        <v>4530.4491699999999</v>
      </c>
      <c r="G103" s="38">
        <v>97.946130000000011</v>
      </c>
      <c r="H103" s="38">
        <v>175.44889000000001</v>
      </c>
      <c r="I103" s="41">
        <f t="shared" si="6"/>
        <v>77.502759999999995</v>
      </c>
      <c r="K103" s="42">
        <f t="shared" si="7"/>
        <v>4607.9519300000002</v>
      </c>
      <c r="M103" s="38">
        <v>0</v>
      </c>
      <c r="N103" s="38">
        <v>0</v>
      </c>
      <c r="O103" s="41">
        <f t="shared" si="8"/>
        <v>0</v>
      </c>
      <c r="Q103" s="42">
        <f t="shared" si="9"/>
        <v>4607.9519300000002</v>
      </c>
    </row>
    <row r="104" spans="1:17" x14ac:dyDescent="0.25">
      <c r="A104" s="2" t="s">
        <v>105</v>
      </c>
      <c r="C104" s="38">
        <v>15903.117490000001</v>
      </c>
      <c r="D104" s="38">
        <v>20995.81194</v>
      </c>
      <c r="E104" s="39">
        <f t="shared" si="5"/>
        <v>5092.6944499999991</v>
      </c>
      <c r="G104" s="38">
        <v>171.03541000000001</v>
      </c>
      <c r="H104" s="38">
        <v>653.32619</v>
      </c>
      <c r="I104" s="41">
        <f t="shared" si="6"/>
        <v>482.29077999999998</v>
      </c>
      <c r="K104" s="42">
        <f t="shared" si="7"/>
        <v>5574.9852299999993</v>
      </c>
      <c r="M104" s="38">
        <v>0</v>
      </c>
      <c r="N104" s="38">
        <v>8.82</v>
      </c>
      <c r="O104" s="41">
        <f t="shared" si="8"/>
        <v>8.82</v>
      </c>
      <c r="Q104" s="42">
        <f t="shared" si="9"/>
        <v>5583.805229999999</v>
      </c>
    </row>
    <row r="105" spans="1:17" x14ac:dyDescent="0.25">
      <c r="A105" s="2" t="s">
        <v>106</v>
      </c>
      <c r="C105" s="38">
        <v>3184.5427600000003</v>
      </c>
      <c r="D105" s="38">
        <v>3271.4300799999996</v>
      </c>
      <c r="E105" s="39">
        <f t="shared" si="5"/>
        <v>86.887319999999363</v>
      </c>
      <c r="G105" s="38">
        <v>83.681839999999994</v>
      </c>
      <c r="H105" s="38">
        <v>6.6988000000000003</v>
      </c>
      <c r="I105" s="41">
        <f t="shared" si="6"/>
        <v>-76.983039999999988</v>
      </c>
      <c r="K105" s="42">
        <f t="shared" si="7"/>
        <v>9.9042799999993747</v>
      </c>
      <c r="M105" s="38">
        <v>0</v>
      </c>
      <c r="N105" s="38">
        <v>0</v>
      </c>
      <c r="O105" s="41">
        <f t="shared" si="8"/>
        <v>0</v>
      </c>
      <c r="Q105" s="42">
        <f t="shared" si="9"/>
        <v>9.9042799999993747</v>
      </c>
    </row>
    <row r="106" spans="1:17" x14ac:dyDescent="0.25">
      <c r="A106" s="2" t="s">
        <v>107</v>
      </c>
      <c r="C106" s="38">
        <v>5846.7009200000002</v>
      </c>
      <c r="D106" s="38">
        <v>5294.4597200000007</v>
      </c>
      <c r="E106" s="39">
        <f t="shared" si="5"/>
        <v>-552.24119999999948</v>
      </c>
      <c r="G106" s="38">
        <v>103.32985000000001</v>
      </c>
      <c r="H106" s="38">
        <v>326.27888999999999</v>
      </c>
      <c r="I106" s="41">
        <f t="shared" si="6"/>
        <v>222.94903999999997</v>
      </c>
      <c r="K106" s="42">
        <f t="shared" si="7"/>
        <v>-329.29215999999951</v>
      </c>
      <c r="M106" s="38">
        <v>0</v>
      </c>
      <c r="N106" s="38">
        <v>0</v>
      </c>
      <c r="O106" s="41">
        <f t="shared" si="8"/>
        <v>0</v>
      </c>
      <c r="Q106" s="42">
        <f t="shared" si="9"/>
        <v>-329.29215999999951</v>
      </c>
    </row>
    <row r="107" spans="1:17" x14ac:dyDescent="0.25">
      <c r="A107" s="2" t="s">
        <v>108</v>
      </c>
      <c r="C107" s="38">
        <v>8432.6336599999995</v>
      </c>
      <c r="D107" s="38">
        <v>7872.3284899999999</v>
      </c>
      <c r="E107" s="39">
        <f t="shared" si="5"/>
        <v>-560.30516999999963</v>
      </c>
      <c r="G107" s="38">
        <v>89.241830000000007</v>
      </c>
      <c r="H107" s="38">
        <v>133.56465</v>
      </c>
      <c r="I107" s="41">
        <f t="shared" si="6"/>
        <v>44.322819999999993</v>
      </c>
      <c r="K107" s="42">
        <f t="shared" si="7"/>
        <v>-515.98234999999966</v>
      </c>
      <c r="M107" s="38">
        <v>0</v>
      </c>
      <c r="N107" s="38">
        <v>0</v>
      </c>
      <c r="O107" s="41">
        <f t="shared" si="8"/>
        <v>0</v>
      </c>
      <c r="Q107" s="42">
        <f t="shared" si="9"/>
        <v>-515.98234999999966</v>
      </c>
    </row>
    <row r="108" spans="1:17" x14ac:dyDescent="0.25">
      <c r="A108" s="2" t="s">
        <v>109</v>
      </c>
      <c r="C108" s="38">
        <v>4330.62835</v>
      </c>
      <c r="D108" s="38">
        <v>4655.4692800000003</v>
      </c>
      <c r="E108" s="39">
        <f t="shared" si="5"/>
        <v>324.8409300000003</v>
      </c>
      <c r="G108" s="38">
        <v>76.819550000000007</v>
      </c>
      <c r="H108" s="38">
        <v>163.82968</v>
      </c>
      <c r="I108" s="41">
        <f t="shared" si="6"/>
        <v>87.01012999999999</v>
      </c>
      <c r="K108" s="42">
        <f t="shared" si="7"/>
        <v>411.8510600000003</v>
      </c>
      <c r="M108" s="38">
        <v>0</v>
      </c>
      <c r="N108" s="38">
        <v>0</v>
      </c>
      <c r="O108" s="41">
        <f t="shared" si="8"/>
        <v>0</v>
      </c>
      <c r="Q108" s="42">
        <f t="shared" si="9"/>
        <v>411.8510600000003</v>
      </c>
    </row>
    <row r="109" spans="1:17" ht="18" customHeight="1" x14ac:dyDescent="0.25">
      <c r="A109" s="17" t="s">
        <v>224</v>
      </c>
      <c r="B109" s="43"/>
      <c r="C109" s="43">
        <v>2030848.4862699995</v>
      </c>
      <c r="D109" s="43">
        <v>1996325.4208299995</v>
      </c>
      <c r="E109" s="43">
        <v>-34523.065440000079</v>
      </c>
      <c r="F109" s="43"/>
      <c r="G109" s="43">
        <v>46549.596889999993</v>
      </c>
      <c r="H109" s="43">
        <v>113955.08203000001</v>
      </c>
      <c r="I109" s="43">
        <v>67405.485140000004</v>
      </c>
      <c r="J109" s="43"/>
      <c r="K109" s="43">
        <v>32882.419699999933</v>
      </c>
      <c r="L109" s="43"/>
      <c r="M109" s="43">
        <v>1692.5738699999999</v>
      </c>
      <c r="N109" s="43">
        <v>2162.6061800000002</v>
      </c>
      <c r="O109" s="43">
        <v>470.03231</v>
      </c>
      <c r="P109" s="43"/>
      <c r="Q109" s="43">
        <v>33352.452009999935</v>
      </c>
    </row>
    <row r="110" spans="1:17" s="23" customFormat="1" ht="18" customHeight="1" x14ac:dyDescent="0.15">
      <c r="A110" s="23" t="s">
        <v>225</v>
      </c>
      <c r="B110" s="44"/>
      <c r="C110" s="44"/>
      <c r="D110" s="44"/>
      <c r="E110" s="45"/>
      <c r="F110" s="44"/>
      <c r="G110" s="44"/>
      <c r="H110" s="44"/>
      <c r="I110" s="45"/>
      <c r="J110" s="44"/>
      <c r="K110" s="45"/>
      <c r="L110" s="44"/>
      <c r="M110" s="44"/>
      <c r="N110" s="44"/>
      <c r="O110" s="45"/>
      <c r="P110" s="44"/>
      <c r="Q110" s="45"/>
    </row>
    <row r="112" spans="1:17" x14ac:dyDescent="0.25"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</row>
  </sheetData>
  <sortState xmlns:xlrd2="http://schemas.microsoft.com/office/spreadsheetml/2017/richdata2" ref="B3:M113">
    <sortCondition ref="D3:D113"/>
  </sortState>
  <printOptions horizontalCentered="1"/>
  <pageMargins left="0.70866141732283472" right="0.70866141732283472" top="0.55118110236220474" bottom="0.35433070866141736" header="0.31496062992125984" footer="3.937007874015748E-2"/>
  <pageSetup paperSize="9" firstPageNumber="14" orientation="landscape" useFirstPageNumber="1" horizontalDpi="1200" verticalDpi="1200" r:id="rId1"/>
  <headerFooter>
    <oddFooter>&amp;C&amp;"Arial Narrow,Corsivo"&amp;7- pagina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07"/>
  <sheetViews>
    <sheetView zoomScale="150" zoomScaleNormal="150" workbookViewId="0">
      <pane ySplit="2" topLeftCell="A93" activePane="bottomLeft" state="frozenSplit"/>
      <selection pane="bottomLeft" activeCell="A109" sqref="A109"/>
    </sheetView>
  </sheetViews>
  <sheetFormatPr defaultRowHeight="13.5" x14ac:dyDescent="0.25"/>
  <cols>
    <col min="1" max="1" width="13.28515625" style="16" customWidth="1"/>
    <col min="2" max="4" width="7.42578125" style="51" customWidth="1"/>
    <col min="5" max="5" width="7.42578125" style="61" customWidth="1"/>
    <col min="6" max="10" width="7.42578125" style="51" customWidth="1"/>
    <col min="11" max="11" width="9.7109375" style="62" customWidth="1"/>
    <col min="12" max="12" width="5.140625" style="51" customWidth="1"/>
    <col min="13" max="247" width="9.140625" style="51"/>
    <col min="248" max="248" width="13.28515625" style="51" customWidth="1"/>
    <col min="249" max="257" width="7.5703125" style="51" customWidth="1"/>
    <col min="258" max="258" width="9.85546875" style="51" customWidth="1"/>
    <col min="259" max="259" width="13.140625" style="51" customWidth="1"/>
    <col min="260" max="262" width="9.140625" style="51"/>
    <col min="263" max="263" width="3" style="51" customWidth="1"/>
    <col min="264" max="503" width="9.140625" style="51"/>
    <col min="504" max="504" width="13.28515625" style="51" customWidth="1"/>
    <col min="505" max="513" width="7.5703125" style="51" customWidth="1"/>
    <col min="514" max="514" width="9.85546875" style="51" customWidth="1"/>
    <col min="515" max="515" width="13.140625" style="51" customWidth="1"/>
    <col min="516" max="518" width="9.140625" style="51"/>
    <col min="519" max="519" width="3" style="51" customWidth="1"/>
    <col min="520" max="759" width="9.140625" style="51"/>
    <col min="760" max="760" width="13.28515625" style="51" customWidth="1"/>
    <col min="761" max="769" width="7.5703125" style="51" customWidth="1"/>
    <col min="770" max="770" width="9.85546875" style="51" customWidth="1"/>
    <col min="771" max="771" width="13.140625" style="51" customWidth="1"/>
    <col min="772" max="774" width="9.140625" style="51"/>
    <col min="775" max="775" width="3" style="51" customWidth="1"/>
    <col min="776" max="1015" width="9.140625" style="51"/>
    <col min="1016" max="1016" width="13.28515625" style="51" customWidth="1"/>
    <col min="1017" max="1025" width="7.5703125" style="51" customWidth="1"/>
    <col min="1026" max="1026" width="9.85546875" style="51" customWidth="1"/>
    <col min="1027" max="1027" width="13.140625" style="51" customWidth="1"/>
    <col min="1028" max="1030" width="9.140625" style="51"/>
    <col min="1031" max="1031" width="3" style="51" customWidth="1"/>
    <col min="1032" max="1271" width="9.140625" style="51"/>
    <col min="1272" max="1272" width="13.28515625" style="51" customWidth="1"/>
    <col min="1273" max="1281" width="7.5703125" style="51" customWidth="1"/>
    <col min="1282" max="1282" width="9.85546875" style="51" customWidth="1"/>
    <col min="1283" max="1283" width="13.140625" style="51" customWidth="1"/>
    <col min="1284" max="1286" width="9.140625" style="51"/>
    <col min="1287" max="1287" width="3" style="51" customWidth="1"/>
    <col min="1288" max="1527" width="9.140625" style="51"/>
    <col min="1528" max="1528" width="13.28515625" style="51" customWidth="1"/>
    <col min="1529" max="1537" width="7.5703125" style="51" customWidth="1"/>
    <col min="1538" max="1538" width="9.85546875" style="51" customWidth="1"/>
    <col min="1539" max="1539" width="13.140625" style="51" customWidth="1"/>
    <col min="1540" max="1542" width="9.140625" style="51"/>
    <col min="1543" max="1543" width="3" style="51" customWidth="1"/>
    <col min="1544" max="1783" width="9.140625" style="51"/>
    <col min="1784" max="1784" width="13.28515625" style="51" customWidth="1"/>
    <col min="1785" max="1793" width="7.5703125" style="51" customWidth="1"/>
    <col min="1794" max="1794" width="9.85546875" style="51" customWidth="1"/>
    <col min="1795" max="1795" width="13.140625" style="51" customWidth="1"/>
    <col min="1796" max="1798" width="9.140625" style="51"/>
    <col min="1799" max="1799" width="3" style="51" customWidth="1"/>
    <col min="1800" max="2039" width="9.140625" style="51"/>
    <col min="2040" max="2040" width="13.28515625" style="51" customWidth="1"/>
    <col min="2041" max="2049" width="7.5703125" style="51" customWidth="1"/>
    <col min="2050" max="2050" width="9.85546875" style="51" customWidth="1"/>
    <col min="2051" max="2051" width="13.140625" style="51" customWidth="1"/>
    <col min="2052" max="2054" width="9.140625" style="51"/>
    <col min="2055" max="2055" width="3" style="51" customWidth="1"/>
    <col min="2056" max="2295" width="9.140625" style="51"/>
    <col min="2296" max="2296" width="13.28515625" style="51" customWidth="1"/>
    <col min="2297" max="2305" width="7.5703125" style="51" customWidth="1"/>
    <col min="2306" max="2306" width="9.85546875" style="51" customWidth="1"/>
    <col min="2307" max="2307" width="13.140625" style="51" customWidth="1"/>
    <col min="2308" max="2310" width="9.140625" style="51"/>
    <col min="2311" max="2311" width="3" style="51" customWidth="1"/>
    <col min="2312" max="2551" width="9.140625" style="51"/>
    <col min="2552" max="2552" width="13.28515625" style="51" customWidth="1"/>
    <col min="2553" max="2561" width="7.5703125" style="51" customWidth="1"/>
    <col min="2562" max="2562" width="9.85546875" style="51" customWidth="1"/>
    <col min="2563" max="2563" width="13.140625" style="51" customWidth="1"/>
    <col min="2564" max="2566" width="9.140625" style="51"/>
    <col min="2567" max="2567" width="3" style="51" customWidth="1"/>
    <col min="2568" max="2807" width="9.140625" style="51"/>
    <col min="2808" max="2808" width="13.28515625" style="51" customWidth="1"/>
    <col min="2809" max="2817" width="7.5703125" style="51" customWidth="1"/>
    <col min="2818" max="2818" width="9.85546875" style="51" customWidth="1"/>
    <col min="2819" max="2819" width="13.140625" style="51" customWidth="1"/>
    <col min="2820" max="2822" width="9.140625" style="51"/>
    <col min="2823" max="2823" width="3" style="51" customWidth="1"/>
    <col min="2824" max="3063" width="9.140625" style="51"/>
    <col min="3064" max="3064" width="13.28515625" style="51" customWidth="1"/>
    <col min="3065" max="3073" width="7.5703125" style="51" customWidth="1"/>
    <col min="3074" max="3074" width="9.85546875" style="51" customWidth="1"/>
    <col min="3075" max="3075" width="13.140625" style="51" customWidth="1"/>
    <col min="3076" max="3078" width="9.140625" style="51"/>
    <col min="3079" max="3079" width="3" style="51" customWidth="1"/>
    <col min="3080" max="3319" width="9.140625" style="51"/>
    <col min="3320" max="3320" width="13.28515625" style="51" customWidth="1"/>
    <col min="3321" max="3329" width="7.5703125" style="51" customWidth="1"/>
    <col min="3330" max="3330" width="9.85546875" style="51" customWidth="1"/>
    <col min="3331" max="3331" width="13.140625" style="51" customWidth="1"/>
    <col min="3332" max="3334" width="9.140625" style="51"/>
    <col min="3335" max="3335" width="3" style="51" customWidth="1"/>
    <col min="3336" max="3575" width="9.140625" style="51"/>
    <col min="3576" max="3576" width="13.28515625" style="51" customWidth="1"/>
    <col min="3577" max="3585" width="7.5703125" style="51" customWidth="1"/>
    <col min="3586" max="3586" width="9.85546875" style="51" customWidth="1"/>
    <col min="3587" max="3587" width="13.140625" style="51" customWidth="1"/>
    <col min="3588" max="3590" width="9.140625" style="51"/>
    <col min="3591" max="3591" width="3" style="51" customWidth="1"/>
    <col min="3592" max="3831" width="9.140625" style="51"/>
    <col min="3832" max="3832" width="13.28515625" style="51" customWidth="1"/>
    <col min="3833" max="3841" width="7.5703125" style="51" customWidth="1"/>
    <col min="3842" max="3842" width="9.85546875" style="51" customWidth="1"/>
    <col min="3843" max="3843" width="13.140625" style="51" customWidth="1"/>
    <col min="3844" max="3846" width="9.140625" style="51"/>
    <col min="3847" max="3847" width="3" style="51" customWidth="1"/>
    <col min="3848" max="4087" width="9.140625" style="51"/>
    <col min="4088" max="4088" width="13.28515625" style="51" customWidth="1"/>
    <col min="4089" max="4097" width="7.5703125" style="51" customWidth="1"/>
    <col min="4098" max="4098" width="9.85546875" style="51" customWidth="1"/>
    <col min="4099" max="4099" width="13.140625" style="51" customWidth="1"/>
    <col min="4100" max="4102" width="9.140625" style="51"/>
    <col min="4103" max="4103" width="3" style="51" customWidth="1"/>
    <col min="4104" max="4343" width="9.140625" style="51"/>
    <col min="4344" max="4344" width="13.28515625" style="51" customWidth="1"/>
    <col min="4345" max="4353" width="7.5703125" style="51" customWidth="1"/>
    <col min="4354" max="4354" width="9.85546875" style="51" customWidth="1"/>
    <col min="4355" max="4355" width="13.140625" style="51" customWidth="1"/>
    <col min="4356" max="4358" width="9.140625" style="51"/>
    <col min="4359" max="4359" width="3" style="51" customWidth="1"/>
    <col min="4360" max="4599" width="9.140625" style="51"/>
    <col min="4600" max="4600" width="13.28515625" style="51" customWidth="1"/>
    <col min="4601" max="4609" width="7.5703125" style="51" customWidth="1"/>
    <col min="4610" max="4610" width="9.85546875" style="51" customWidth="1"/>
    <col min="4611" max="4611" width="13.140625" style="51" customWidth="1"/>
    <col min="4612" max="4614" width="9.140625" style="51"/>
    <col min="4615" max="4615" width="3" style="51" customWidth="1"/>
    <col min="4616" max="4855" width="9.140625" style="51"/>
    <col min="4856" max="4856" width="13.28515625" style="51" customWidth="1"/>
    <col min="4857" max="4865" width="7.5703125" style="51" customWidth="1"/>
    <col min="4866" max="4866" width="9.85546875" style="51" customWidth="1"/>
    <col min="4867" max="4867" width="13.140625" style="51" customWidth="1"/>
    <col min="4868" max="4870" width="9.140625" style="51"/>
    <col min="4871" max="4871" width="3" style="51" customWidth="1"/>
    <col min="4872" max="5111" width="9.140625" style="51"/>
    <col min="5112" max="5112" width="13.28515625" style="51" customWidth="1"/>
    <col min="5113" max="5121" width="7.5703125" style="51" customWidth="1"/>
    <col min="5122" max="5122" width="9.85546875" style="51" customWidth="1"/>
    <col min="5123" max="5123" width="13.140625" style="51" customWidth="1"/>
    <col min="5124" max="5126" width="9.140625" style="51"/>
    <col min="5127" max="5127" width="3" style="51" customWidth="1"/>
    <col min="5128" max="5367" width="9.140625" style="51"/>
    <col min="5368" max="5368" width="13.28515625" style="51" customWidth="1"/>
    <col min="5369" max="5377" width="7.5703125" style="51" customWidth="1"/>
    <col min="5378" max="5378" width="9.85546875" style="51" customWidth="1"/>
    <col min="5379" max="5379" width="13.140625" style="51" customWidth="1"/>
    <col min="5380" max="5382" width="9.140625" style="51"/>
    <col min="5383" max="5383" width="3" style="51" customWidth="1"/>
    <col min="5384" max="5623" width="9.140625" style="51"/>
    <col min="5624" max="5624" width="13.28515625" style="51" customWidth="1"/>
    <col min="5625" max="5633" width="7.5703125" style="51" customWidth="1"/>
    <col min="5634" max="5634" width="9.85546875" style="51" customWidth="1"/>
    <col min="5635" max="5635" width="13.140625" style="51" customWidth="1"/>
    <col min="5636" max="5638" width="9.140625" style="51"/>
    <col min="5639" max="5639" width="3" style="51" customWidth="1"/>
    <col min="5640" max="5879" width="9.140625" style="51"/>
    <col min="5880" max="5880" width="13.28515625" style="51" customWidth="1"/>
    <col min="5881" max="5889" width="7.5703125" style="51" customWidth="1"/>
    <col min="5890" max="5890" width="9.85546875" style="51" customWidth="1"/>
    <col min="5891" max="5891" width="13.140625" style="51" customWidth="1"/>
    <col min="5892" max="5894" width="9.140625" style="51"/>
    <col min="5895" max="5895" width="3" style="51" customWidth="1"/>
    <col min="5896" max="6135" width="9.140625" style="51"/>
    <col min="6136" max="6136" width="13.28515625" style="51" customWidth="1"/>
    <col min="6137" max="6145" width="7.5703125" style="51" customWidth="1"/>
    <col min="6146" max="6146" width="9.85546875" style="51" customWidth="1"/>
    <col min="6147" max="6147" width="13.140625" style="51" customWidth="1"/>
    <col min="6148" max="6150" width="9.140625" style="51"/>
    <col min="6151" max="6151" width="3" style="51" customWidth="1"/>
    <col min="6152" max="6391" width="9.140625" style="51"/>
    <col min="6392" max="6392" width="13.28515625" style="51" customWidth="1"/>
    <col min="6393" max="6401" width="7.5703125" style="51" customWidth="1"/>
    <col min="6402" max="6402" width="9.85546875" style="51" customWidth="1"/>
    <col min="6403" max="6403" width="13.140625" style="51" customWidth="1"/>
    <col min="6404" max="6406" width="9.140625" style="51"/>
    <col min="6407" max="6407" width="3" style="51" customWidth="1"/>
    <col min="6408" max="6647" width="9.140625" style="51"/>
    <col min="6648" max="6648" width="13.28515625" style="51" customWidth="1"/>
    <col min="6649" max="6657" width="7.5703125" style="51" customWidth="1"/>
    <col min="6658" max="6658" width="9.85546875" style="51" customWidth="1"/>
    <col min="6659" max="6659" width="13.140625" style="51" customWidth="1"/>
    <col min="6660" max="6662" width="9.140625" style="51"/>
    <col min="6663" max="6663" width="3" style="51" customWidth="1"/>
    <col min="6664" max="6903" width="9.140625" style="51"/>
    <col min="6904" max="6904" width="13.28515625" style="51" customWidth="1"/>
    <col min="6905" max="6913" width="7.5703125" style="51" customWidth="1"/>
    <col min="6914" max="6914" width="9.85546875" style="51" customWidth="1"/>
    <col min="6915" max="6915" width="13.140625" style="51" customWidth="1"/>
    <col min="6916" max="6918" width="9.140625" style="51"/>
    <col min="6919" max="6919" width="3" style="51" customWidth="1"/>
    <col min="6920" max="7159" width="9.140625" style="51"/>
    <col min="7160" max="7160" width="13.28515625" style="51" customWidth="1"/>
    <col min="7161" max="7169" width="7.5703125" style="51" customWidth="1"/>
    <col min="7170" max="7170" width="9.85546875" style="51" customWidth="1"/>
    <col min="7171" max="7171" width="13.140625" style="51" customWidth="1"/>
    <col min="7172" max="7174" width="9.140625" style="51"/>
    <col min="7175" max="7175" width="3" style="51" customWidth="1"/>
    <col min="7176" max="7415" width="9.140625" style="51"/>
    <col min="7416" max="7416" width="13.28515625" style="51" customWidth="1"/>
    <col min="7417" max="7425" width="7.5703125" style="51" customWidth="1"/>
    <col min="7426" max="7426" width="9.85546875" style="51" customWidth="1"/>
    <col min="7427" max="7427" width="13.140625" style="51" customWidth="1"/>
    <col min="7428" max="7430" width="9.140625" style="51"/>
    <col min="7431" max="7431" width="3" style="51" customWidth="1"/>
    <col min="7432" max="7671" width="9.140625" style="51"/>
    <col min="7672" max="7672" width="13.28515625" style="51" customWidth="1"/>
    <col min="7673" max="7681" width="7.5703125" style="51" customWidth="1"/>
    <col min="7682" max="7682" width="9.85546875" style="51" customWidth="1"/>
    <col min="7683" max="7683" width="13.140625" style="51" customWidth="1"/>
    <col min="7684" max="7686" width="9.140625" style="51"/>
    <col min="7687" max="7687" width="3" style="51" customWidth="1"/>
    <col min="7688" max="7927" width="9.140625" style="51"/>
    <col min="7928" max="7928" width="13.28515625" style="51" customWidth="1"/>
    <col min="7929" max="7937" width="7.5703125" style="51" customWidth="1"/>
    <col min="7938" max="7938" width="9.85546875" style="51" customWidth="1"/>
    <col min="7939" max="7939" width="13.140625" style="51" customWidth="1"/>
    <col min="7940" max="7942" width="9.140625" style="51"/>
    <col min="7943" max="7943" width="3" style="51" customWidth="1"/>
    <col min="7944" max="8183" width="9.140625" style="51"/>
    <col min="8184" max="8184" width="13.28515625" style="51" customWidth="1"/>
    <col min="8185" max="8193" width="7.5703125" style="51" customWidth="1"/>
    <col min="8194" max="8194" width="9.85546875" style="51" customWidth="1"/>
    <col min="8195" max="8195" width="13.140625" style="51" customWidth="1"/>
    <col min="8196" max="8198" width="9.140625" style="51"/>
    <col min="8199" max="8199" width="3" style="51" customWidth="1"/>
    <col min="8200" max="8439" width="9.140625" style="51"/>
    <col min="8440" max="8440" width="13.28515625" style="51" customWidth="1"/>
    <col min="8441" max="8449" width="7.5703125" style="51" customWidth="1"/>
    <col min="8450" max="8450" width="9.85546875" style="51" customWidth="1"/>
    <col min="8451" max="8451" width="13.140625" style="51" customWidth="1"/>
    <col min="8452" max="8454" width="9.140625" style="51"/>
    <col min="8455" max="8455" width="3" style="51" customWidth="1"/>
    <col min="8456" max="8695" width="9.140625" style="51"/>
    <col min="8696" max="8696" width="13.28515625" style="51" customWidth="1"/>
    <col min="8697" max="8705" width="7.5703125" style="51" customWidth="1"/>
    <col min="8706" max="8706" width="9.85546875" style="51" customWidth="1"/>
    <col min="8707" max="8707" width="13.140625" style="51" customWidth="1"/>
    <col min="8708" max="8710" width="9.140625" style="51"/>
    <col min="8711" max="8711" width="3" style="51" customWidth="1"/>
    <col min="8712" max="8951" width="9.140625" style="51"/>
    <col min="8952" max="8952" width="13.28515625" style="51" customWidth="1"/>
    <col min="8953" max="8961" width="7.5703125" style="51" customWidth="1"/>
    <col min="8962" max="8962" width="9.85546875" style="51" customWidth="1"/>
    <col min="8963" max="8963" width="13.140625" style="51" customWidth="1"/>
    <col min="8964" max="8966" width="9.140625" style="51"/>
    <col min="8967" max="8967" width="3" style="51" customWidth="1"/>
    <col min="8968" max="9207" width="9.140625" style="51"/>
    <col min="9208" max="9208" width="13.28515625" style="51" customWidth="1"/>
    <col min="9209" max="9217" width="7.5703125" style="51" customWidth="1"/>
    <col min="9218" max="9218" width="9.85546875" style="51" customWidth="1"/>
    <col min="9219" max="9219" width="13.140625" style="51" customWidth="1"/>
    <col min="9220" max="9222" width="9.140625" style="51"/>
    <col min="9223" max="9223" width="3" style="51" customWidth="1"/>
    <col min="9224" max="9463" width="9.140625" style="51"/>
    <col min="9464" max="9464" width="13.28515625" style="51" customWidth="1"/>
    <col min="9465" max="9473" width="7.5703125" style="51" customWidth="1"/>
    <col min="9474" max="9474" width="9.85546875" style="51" customWidth="1"/>
    <col min="9475" max="9475" width="13.140625" style="51" customWidth="1"/>
    <col min="9476" max="9478" width="9.140625" style="51"/>
    <col min="9479" max="9479" width="3" style="51" customWidth="1"/>
    <col min="9480" max="9719" width="9.140625" style="51"/>
    <col min="9720" max="9720" width="13.28515625" style="51" customWidth="1"/>
    <col min="9721" max="9729" width="7.5703125" style="51" customWidth="1"/>
    <col min="9730" max="9730" width="9.85546875" style="51" customWidth="1"/>
    <col min="9731" max="9731" width="13.140625" style="51" customWidth="1"/>
    <col min="9732" max="9734" width="9.140625" style="51"/>
    <col min="9735" max="9735" width="3" style="51" customWidth="1"/>
    <col min="9736" max="9975" width="9.140625" style="51"/>
    <col min="9976" max="9976" width="13.28515625" style="51" customWidth="1"/>
    <col min="9977" max="9985" width="7.5703125" style="51" customWidth="1"/>
    <col min="9986" max="9986" width="9.85546875" style="51" customWidth="1"/>
    <col min="9987" max="9987" width="13.140625" style="51" customWidth="1"/>
    <col min="9988" max="9990" width="9.140625" style="51"/>
    <col min="9991" max="9991" width="3" style="51" customWidth="1"/>
    <col min="9992" max="10231" width="9.140625" style="51"/>
    <col min="10232" max="10232" width="13.28515625" style="51" customWidth="1"/>
    <col min="10233" max="10241" width="7.5703125" style="51" customWidth="1"/>
    <col min="10242" max="10242" width="9.85546875" style="51" customWidth="1"/>
    <col min="10243" max="10243" width="13.140625" style="51" customWidth="1"/>
    <col min="10244" max="10246" width="9.140625" style="51"/>
    <col min="10247" max="10247" width="3" style="51" customWidth="1"/>
    <col min="10248" max="10487" width="9.140625" style="51"/>
    <col min="10488" max="10488" width="13.28515625" style="51" customWidth="1"/>
    <col min="10489" max="10497" width="7.5703125" style="51" customWidth="1"/>
    <col min="10498" max="10498" width="9.85546875" style="51" customWidth="1"/>
    <col min="10499" max="10499" width="13.140625" style="51" customWidth="1"/>
    <col min="10500" max="10502" width="9.140625" style="51"/>
    <col min="10503" max="10503" width="3" style="51" customWidth="1"/>
    <col min="10504" max="10743" width="9.140625" style="51"/>
    <col min="10744" max="10744" width="13.28515625" style="51" customWidth="1"/>
    <col min="10745" max="10753" width="7.5703125" style="51" customWidth="1"/>
    <col min="10754" max="10754" width="9.85546875" style="51" customWidth="1"/>
    <col min="10755" max="10755" width="13.140625" style="51" customWidth="1"/>
    <col min="10756" max="10758" width="9.140625" style="51"/>
    <col min="10759" max="10759" width="3" style="51" customWidth="1"/>
    <col min="10760" max="10999" width="9.140625" style="51"/>
    <col min="11000" max="11000" width="13.28515625" style="51" customWidth="1"/>
    <col min="11001" max="11009" width="7.5703125" style="51" customWidth="1"/>
    <col min="11010" max="11010" width="9.85546875" style="51" customWidth="1"/>
    <col min="11011" max="11011" width="13.140625" style="51" customWidth="1"/>
    <col min="11012" max="11014" width="9.140625" style="51"/>
    <col min="11015" max="11015" width="3" style="51" customWidth="1"/>
    <col min="11016" max="11255" width="9.140625" style="51"/>
    <col min="11256" max="11256" width="13.28515625" style="51" customWidth="1"/>
    <col min="11257" max="11265" width="7.5703125" style="51" customWidth="1"/>
    <col min="11266" max="11266" width="9.85546875" style="51" customWidth="1"/>
    <col min="11267" max="11267" width="13.140625" style="51" customWidth="1"/>
    <col min="11268" max="11270" width="9.140625" style="51"/>
    <col min="11271" max="11271" width="3" style="51" customWidth="1"/>
    <col min="11272" max="11511" width="9.140625" style="51"/>
    <col min="11512" max="11512" width="13.28515625" style="51" customWidth="1"/>
    <col min="11513" max="11521" width="7.5703125" style="51" customWidth="1"/>
    <col min="11522" max="11522" width="9.85546875" style="51" customWidth="1"/>
    <col min="11523" max="11523" width="13.140625" style="51" customWidth="1"/>
    <col min="11524" max="11526" width="9.140625" style="51"/>
    <col min="11527" max="11527" width="3" style="51" customWidth="1"/>
    <col min="11528" max="11767" width="9.140625" style="51"/>
    <col min="11768" max="11768" width="13.28515625" style="51" customWidth="1"/>
    <col min="11769" max="11777" width="7.5703125" style="51" customWidth="1"/>
    <col min="11778" max="11778" width="9.85546875" style="51" customWidth="1"/>
    <col min="11779" max="11779" width="13.140625" style="51" customWidth="1"/>
    <col min="11780" max="11782" width="9.140625" style="51"/>
    <col min="11783" max="11783" width="3" style="51" customWidth="1"/>
    <col min="11784" max="12023" width="9.140625" style="51"/>
    <col min="12024" max="12024" width="13.28515625" style="51" customWidth="1"/>
    <col min="12025" max="12033" width="7.5703125" style="51" customWidth="1"/>
    <col min="12034" max="12034" width="9.85546875" style="51" customWidth="1"/>
    <col min="12035" max="12035" width="13.140625" style="51" customWidth="1"/>
    <col min="12036" max="12038" width="9.140625" style="51"/>
    <col min="12039" max="12039" width="3" style="51" customWidth="1"/>
    <col min="12040" max="12279" width="9.140625" style="51"/>
    <col min="12280" max="12280" width="13.28515625" style="51" customWidth="1"/>
    <col min="12281" max="12289" width="7.5703125" style="51" customWidth="1"/>
    <col min="12290" max="12290" width="9.85546875" style="51" customWidth="1"/>
    <col min="12291" max="12291" width="13.140625" style="51" customWidth="1"/>
    <col min="12292" max="12294" width="9.140625" style="51"/>
    <col min="12295" max="12295" width="3" style="51" customWidth="1"/>
    <col min="12296" max="12535" width="9.140625" style="51"/>
    <col min="12536" max="12536" width="13.28515625" style="51" customWidth="1"/>
    <col min="12537" max="12545" width="7.5703125" style="51" customWidth="1"/>
    <col min="12546" max="12546" width="9.85546875" style="51" customWidth="1"/>
    <col min="12547" max="12547" width="13.140625" style="51" customWidth="1"/>
    <col min="12548" max="12550" width="9.140625" style="51"/>
    <col min="12551" max="12551" width="3" style="51" customWidth="1"/>
    <col min="12552" max="12791" width="9.140625" style="51"/>
    <col min="12792" max="12792" width="13.28515625" style="51" customWidth="1"/>
    <col min="12793" max="12801" width="7.5703125" style="51" customWidth="1"/>
    <col min="12802" max="12802" width="9.85546875" style="51" customWidth="1"/>
    <col min="12803" max="12803" width="13.140625" style="51" customWidth="1"/>
    <col min="12804" max="12806" width="9.140625" style="51"/>
    <col min="12807" max="12807" width="3" style="51" customWidth="1"/>
    <col min="12808" max="13047" width="9.140625" style="51"/>
    <col min="13048" max="13048" width="13.28515625" style="51" customWidth="1"/>
    <col min="13049" max="13057" width="7.5703125" style="51" customWidth="1"/>
    <col min="13058" max="13058" width="9.85546875" style="51" customWidth="1"/>
    <col min="13059" max="13059" width="13.140625" style="51" customWidth="1"/>
    <col min="13060" max="13062" width="9.140625" style="51"/>
    <col min="13063" max="13063" width="3" style="51" customWidth="1"/>
    <col min="13064" max="13303" width="9.140625" style="51"/>
    <col min="13304" max="13304" width="13.28515625" style="51" customWidth="1"/>
    <col min="13305" max="13313" width="7.5703125" style="51" customWidth="1"/>
    <col min="13314" max="13314" width="9.85546875" style="51" customWidth="1"/>
    <col min="13315" max="13315" width="13.140625" style="51" customWidth="1"/>
    <col min="13316" max="13318" width="9.140625" style="51"/>
    <col min="13319" max="13319" width="3" style="51" customWidth="1"/>
    <col min="13320" max="13559" width="9.140625" style="51"/>
    <col min="13560" max="13560" width="13.28515625" style="51" customWidth="1"/>
    <col min="13561" max="13569" width="7.5703125" style="51" customWidth="1"/>
    <col min="13570" max="13570" width="9.85546875" style="51" customWidth="1"/>
    <col min="13571" max="13571" width="13.140625" style="51" customWidth="1"/>
    <col min="13572" max="13574" width="9.140625" style="51"/>
    <col min="13575" max="13575" width="3" style="51" customWidth="1"/>
    <col min="13576" max="13815" width="9.140625" style="51"/>
    <col min="13816" max="13816" width="13.28515625" style="51" customWidth="1"/>
    <col min="13817" max="13825" width="7.5703125" style="51" customWidth="1"/>
    <col min="13826" max="13826" width="9.85546875" style="51" customWidth="1"/>
    <col min="13827" max="13827" width="13.140625" style="51" customWidth="1"/>
    <col min="13828" max="13830" width="9.140625" style="51"/>
    <col min="13831" max="13831" width="3" style="51" customWidth="1"/>
    <col min="13832" max="14071" width="9.140625" style="51"/>
    <col min="14072" max="14072" width="13.28515625" style="51" customWidth="1"/>
    <col min="14073" max="14081" width="7.5703125" style="51" customWidth="1"/>
    <col min="14082" max="14082" width="9.85546875" style="51" customWidth="1"/>
    <col min="14083" max="14083" width="13.140625" style="51" customWidth="1"/>
    <col min="14084" max="14086" width="9.140625" style="51"/>
    <col min="14087" max="14087" width="3" style="51" customWidth="1"/>
    <col min="14088" max="14327" width="9.140625" style="51"/>
    <col min="14328" max="14328" width="13.28515625" style="51" customWidth="1"/>
    <col min="14329" max="14337" width="7.5703125" style="51" customWidth="1"/>
    <col min="14338" max="14338" width="9.85546875" style="51" customWidth="1"/>
    <col min="14339" max="14339" width="13.140625" style="51" customWidth="1"/>
    <col min="14340" max="14342" width="9.140625" style="51"/>
    <col min="14343" max="14343" width="3" style="51" customWidth="1"/>
    <col min="14344" max="14583" width="9.140625" style="51"/>
    <col min="14584" max="14584" width="13.28515625" style="51" customWidth="1"/>
    <col min="14585" max="14593" width="7.5703125" style="51" customWidth="1"/>
    <col min="14594" max="14594" width="9.85546875" style="51" customWidth="1"/>
    <col min="14595" max="14595" width="13.140625" style="51" customWidth="1"/>
    <col min="14596" max="14598" width="9.140625" style="51"/>
    <col min="14599" max="14599" width="3" style="51" customWidth="1"/>
    <col min="14600" max="14839" width="9.140625" style="51"/>
    <col min="14840" max="14840" width="13.28515625" style="51" customWidth="1"/>
    <col min="14841" max="14849" width="7.5703125" style="51" customWidth="1"/>
    <col min="14850" max="14850" width="9.85546875" style="51" customWidth="1"/>
    <col min="14851" max="14851" width="13.140625" style="51" customWidth="1"/>
    <col min="14852" max="14854" width="9.140625" style="51"/>
    <col min="14855" max="14855" width="3" style="51" customWidth="1"/>
    <col min="14856" max="15095" width="9.140625" style="51"/>
    <col min="15096" max="15096" width="13.28515625" style="51" customWidth="1"/>
    <col min="15097" max="15105" width="7.5703125" style="51" customWidth="1"/>
    <col min="15106" max="15106" width="9.85546875" style="51" customWidth="1"/>
    <col min="15107" max="15107" width="13.140625" style="51" customWidth="1"/>
    <col min="15108" max="15110" width="9.140625" style="51"/>
    <col min="15111" max="15111" width="3" style="51" customWidth="1"/>
    <col min="15112" max="15351" width="9.140625" style="51"/>
    <col min="15352" max="15352" width="13.28515625" style="51" customWidth="1"/>
    <col min="15353" max="15361" width="7.5703125" style="51" customWidth="1"/>
    <col min="15362" max="15362" width="9.85546875" style="51" customWidth="1"/>
    <col min="15363" max="15363" width="13.140625" style="51" customWidth="1"/>
    <col min="15364" max="15366" width="9.140625" style="51"/>
    <col min="15367" max="15367" width="3" style="51" customWidth="1"/>
    <col min="15368" max="15607" width="9.140625" style="51"/>
    <col min="15608" max="15608" width="13.28515625" style="51" customWidth="1"/>
    <col min="15609" max="15617" width="7.5703125" style="51" customWidth="1"/>
    <col min="15618" max="15618" width="9.85546875" style="51" customWidth="1"/>
    <col min="15619" max="15619" width="13.140625" style="51" customWidth="1"/>
    <col min="15620" max="15622" width="9.140625" style="51"/>
    <col min="15623" max="15623" width="3" style="51" customWidth="1"/>
    <col min="15624" max="15863" width="9.140625" style="51"/>
    <col min="15864" max="15864" width="13.28515625" style="51" customWidth="1"/>
    <col min="15865" max="15873" width="7.5703125" style="51" customWidth="1"/>
    <col min="15874" max="15874" width="9.85546875" style="51" customWidth="1"/>
    <col min="15875" max="15875" width="13.140625" style="51" customWidth="1"/>
    <col min="15876" max="15878" width="9.140625" style="51"/>
    <col min="15879" max="15879" width="3" style="51" customWidth="1"/>
    <col min="15880" max="16119" width="9.140625" style="51"/>
    <col min="16120" max="16120" width="13.28515625" style="51" customWidth="1"/>
    <col min="16121" max="16129" width="7.5703125" style="51" customWidth="1"/>
    <col min="16130" max="16130" width="9.85546875" style="51" customWidth="1"/>
    <col min="16131" max="16131" width="13.140625" style="51" customWidth="1"/>
    <col min="16132" max="16134" width="9.140625" style="51"/>
    <col min="16135" max="16135" width="3" style="51" customWidth="1"/>
    <col min="16136" max="16384" width="9.140625" style="51"/>
  </cols>
  <sheetData>
    <row r="1" spans="1:11" ht="21" customHeight="1" x14ac:dyDescent="0.2">
      <c r="A1" s="29" t="s">
        <v>627</v>
      </c>
      <c r="B1" s="48"/>
      <c r="C1" s="48"/>
      <c r="D1" s="48"/>
      <c r="E1" s="49"/>
      <c r="F1" s="48"/>
      <c r="G1" s="48"/>
      <c r="H1" s="48"/>
      <c r="I1" s="48"/>
      <c r="J1" s="48"/>
      <c r="K1" s="50"/>
    </row>
    <row r="2" spans="1:11" s="55" customFormat="1" ht="51" customHeight="1" x14ac:dyDescent="0.25">
      <c r="A2" s="52"/>
      <c r="B2" s="53" t="s">
        <v>228</v>
      </c>
      <c r="C2" s="53" t="s">
        <v>229</v>
      </c>
      <c r="D2" s="53" t="s">
        <v>227</v>
      </c>
      <c r="E2" s="53" t="s">
        <v>230</v>
      </c>
      <c r="F2" s="53" t="s">
        <v>231</v>
      </c>
      <c r="G2" s="53" t="s">
        <v>232</v>
      </c>
      <c r="H2" s="53" t="s">
        <v>233</v>
      </c>
      <c r="I2" s="53" t="s">
        <v>234</v>
      </c>
      <c r="J2" s="53" t="s">
        <v>235</v>
      </c>
      <c r="K2" s="54" t="s">
        <v>226</v>
      </c>
    </row>
    <row r="3" spans="1:11" s="16" customFormat="1" x14ac:dyDescent="0.25">
      <c r="A3" s="2" t="s">
        <v>31</v>
      </c>
      <c r="B3" s="40">
        <v>2654.7260000000001</v>
      </c>
      <c r="C3" s="40">
        <v>2196.2006299999998</v>
      </c>
      <c r="D3" s="40">
        <v>801.82484999999997</v>
      </c>
      <c r="E3" s="40">
        <v>401.95659000000001</v>
      </c>
      <c r="F3" s="40">
        <v>208.15100000000001</v>
      </c>
      <c r="G3" s="40">
        <v>3598.98756</v>
      </c>
      <c r="H3" s="40">
        <v>0</v>
      </c>
      <c r="I3" s="40">
        <v>0</v>
      </c>
      <c r="J3" s="40">
        <v>583.38630000000001</v>
      </c>
      <c r="K3" s="41">
        <f>SUM(B3:J3)</f>
        <v>10445.23293</v>
      </c>
    </row>
    <row r="4" spans="1:11" s="16" customFormat="1" x14ac:dyDescent="0.25">
      <c r="A4" s="2" t="s">
        <v>32</v>
      </c>
      <c r="B4" s="40">
        <v>8416.5648199999996</v>
      </c>
      <c r="C4" s="40">
        <v>3947.5605499999997</v>
      </c>
      <c r="D4" s="40">
        <v>726.7</v>
      </c>
      <c r="E4" s="40">
        <v>576.60681999999997</v>
      </c>
      <c r="F4" s="40">
        <v>234.43100000000001</v>
      </c>
      <c r="G4" s="40">
        <v>8161.33691</v>
      </c>
      <c r="H4" s="40">
        <v>0</v>
      </c>
      <c r="I4" s="40">
        <v>0</v>
      </c>
      <c r="J4" s="40">
        <v>502.7</v>
      </c>
      <c r="K4" s="41">
        <f t="shared" ref="K4:K67" si="0">SUM(B4:J4)</f>
        <v>22565.900100000003</v>
      </c>
    </row>
    <row r="5" spans="1:11" s="16" customFormat="1" x14ac:dyDescent="0.25">
      <c r="A5" s="2" t="s">
        <v>4</v>
      </c>
      <c r="B5" s="40">
        <v>2539.0461500000001</v>
      </c>
      <c r="C5" s="40">
        <v>3471.2123300000003</v>
      </c>
      <c r="D5" s="40">
        <v>1092.6210000000001</v>
      </c>
      <c r="E5" s="40">
        <v>194.87187</v>
      </c>
      <c r="F5" s="40">
        <v>171.56898000000001</v>
      </c>
      <c r="G5" s="40">
        <v>2492.7410599999998</v>
      </c>
      <c r="H5" s="40">
        <v>0</v>
      </c>
      <c r="I5" s="40">
        <v>0</v>
      </c>
      <c r="J5" s="40">
        <v>129.20099999999999</v>
      </c>
      <c r="K5" s="41">
        <f t="shared" si="0"/>
        <v>10091.26239</v>
      </c>
    </row>
    <row r="6" spans="1:11" s="16" customFormat="1" x14ac:dyDescent="0.25">
      <c r="A6" s="2" t="s">
        <v>33</v>
      </c>
      <c r="B6" s="40">
        <v>1381.1086299999999</v>
      </c>
      <c r="C6" s="40">
        <v>1477.55144</v>
      </c>
      <c r="D6" s="40">
        <v>299.59559999999999</v>
      </c>
      <c r="E6" s="40">
        <v>201.33304000000001</v>
      </c>
      <c r="F6" s="40">
        <v>100.56699999999999</v>
      </c>
      <c r="G6" s="40">
        <v>3149.5615899999998</v>
      </c>
      <c r="H6" s="40">
        <v>0</v>
      </c>
      <c r="I6" s="40">
        <v>0</v>
      </c>
      <c r="J6" s="40">
        <v>390.42061999999999</v>
      </c>
      <c r="K6" s="41">
        <f t="shared" si="0"/>
        <v>7000.1379200000001</v>
      </c>
    </row>
    <row r="7" spans="1:11" s="16" customFormat="1" x14ac:dyDescent="0.25">
      <c r="A7" s="2" t="s">
        <v>34</v>
      </c>
      <c r="B7" s="40">
        <v>59.537510000000005</v>
      </c>
      <c r="C7" s="40">
        <v>332.48455000000001</v>
      </c>
      <c r="D7" s="40">
        <v>125.325</v>
      </c>
      <c r="E7" s="40">
        <v>44.010289999999998</v>
      </c>
      <c r="F7" s="40">
        <v>23.321000000000002</v>
      </c>
      <c r="G7" s="40">
        <v>1095.6343899999999</v>
      </c>
      <c r="H7" s="40">
        <v>0</v>
      </c>
      <c r="I7" s="40">
        <v>0</v>
      </c>
      <c r="J7" s="40">
        <v>79.153999999999996</v>
      </c>
      <c r="K7" s="41">
        <f t="shared" si="0"/>
        <v>1759.4667399999998</v>
      </c>
    </row>
    <row r="8" spans="1:11" s="16" customFormat="1" x14ac:dyDescent="0.25">
      <c r="A8" s="2" t="s">
        <v>35</v>
      </c>
      <c r="B8" s="40">
        <v>8275.6705999999995</v>
      </c>
      <c r="C8" s="40">
        <v>3721.4047599999999</v>
      </c>
      <c r="D8" s="40">
        <v>860.55825000000004</v>
      </c>
      <c r="E8" s="40">
        <v>266.39956000000001</v>
      </c>
      <c r="F8" s="40">
        <v>233.14400000000001</v>
      </c>
      <c r="G8" s="40">
        <v>7731.6390000000001</v>
      </c>
      <c r="H8" s="40">
        <v>0</v>
      </c>
      <c r="I8" s="40">
        <v>0</v>
      </c>
      <c r="J8" s="40">
        <v>929.50009999999997</v>
      </c>
      <c r="K8" s="41">
        <f t="shared" si="0"/>
        <v>22018.316269999999</v>
      </c>
    </row>
    <row r="9" spans="1:11" s="16" customFormat="1" x14ac:dyDescent="0.25">
      <c r="A9" s="2" t="s">
        <v>36</v>
      </c>
      <c r="B9" s="40">
        <v>1350.1706000000001</v>
      </c>
      <c r="C9" s="40">
        <v>1033.9537399999999</v>
      </c>
      <c r="D9" s="40">
        <v>300.06521000000004</v>
      </c>
      <c r="E9" s="40">
        <v>150.04679999999999</v>
      </c>
      <c r="F9" s="40">
        <v>59.804000000000002</v>
      </c>
      <c r="G9" s="40">
        <v>1502.8405700000001</v>
      </c>
      <c r="H9" s="40">
        <v>0</v>
      </c>
      <c r="I9" s="40">
        <v>0</v>
      </c>
      <c r="J9" s="40">
        <v>110.2342</v>
      </c>
      <c r="K9" s="41">
        <f t="shared" si="0"/>
        <v>4507.1151200000004</v>
      </c>
    </row>
    <row r="10" spans="1:11" s="16" customFormat="1" x14ac:dyDescent="0.25">
      <c r="A10" s="2" t="s">
        <v>5</v>
      </c>
      <c r="B10" s="40">
        <v>10931.82058</v>
      </c>
      <c r="C10" s="40">
        <v>8042.8407400000006</v>
      </c>
      <c r="D10" s="40">
        <v>2582.2272499999999</v>
      </c>
      <c r="E10" s="40">
        <v>363.03121000000004</v>
      </c>
      <c r="F10" s="40">
        <v>308.18979999999999</v>
      </c>
      <c r="G10" s="40">
        <v>16460.388220000001</v>
      </c>
      <c r="H10" s="40">
        <v>0</v>
      </c>
      <c r="I10" s="40">
        <v>232.88135999999997</v>
      </c>
      <c r="J10" s="40">
        <v>237.47435000000002</v>
      </c>
      <c r="K10" s="41">
        <f t="shared" si="0"/>
        <v>39158.853509999994</v>
      </c>
    </row>
    <row r="11" spans="1:11" s="16" customFormat="1" x14ac:dyDescent="0.25">
      <c r="A11" s="2" t="s">
        <v>37</v>
      </c>
      <c r="B11" s="40">
        <v>281.09195</v>
      </c>
      <c r="C11" s="40">
        <v>276.44749000000002</v>
      </c>
      <c r="D11" s="40">
        <v>81.743300000000005</v>
      </c>
      <c r="E11" s="40">
        <v>43.020040000000002</v>
      </c>
      <c r="F11" s="40">
        <v>31.046400000000002</v>
      </c>
      <c r="G11" s="40">
        <v>727.30975999999998</v>
      </c>
      <c r="H11" s="40">
        <v>0</v>
      </c>
      <c r="I11" s="40">
        <v>0</v>
      </c>
      <c r="J11" s="40">
        <v>80.00869999999999</v>
      </c>
      <c r="K11" s="41">
        <f t="shared" si="0"/>
        <v>1520.6676399999999</v>
      </c>
    </row>
    <row r="12" spans="1:11" s="16" customFormat="1" x14ac:dyDescent="0.25">
      <c r="A12" s="2" t="s">
        <v>38</v>
      </c>
      <c r="B12" s="40">
        <v>1758.933</v>
      </c>
      <c r="C12" s="40">
        <v>1021.9640400000001</v>
      </c>
      <c r="D12" s="40">
        <v>407.59403000000003</v>
      </c>
      <c r="E12" s="40">
        <v>140.03561999999999</v>
      </c>
      <c r="F12" s="40">
        <v>110.678</v>
      </c>
      <c r="G12" s="40">
        <v>3678.7770299999997</v>
      </c>
      <c r="H12" s="40">
        <v>0</v>
      </c>
      <c r="I12" s="40">
        <v>0</v>
      </c>
      <c r="J12" s="40">
        <v>284.70704999999998</v>
      </c>
      <c r="K12" s="41">
        <f t="shared" si="0"/>
        <v>7402.6887699999997</v>
      </c>
    </row>
    <row r="13" spans="1:11" s="16" customFormat="1" x14ac:dyDescent="0.25">
      <c r="A13" s="2" t="s">
        <v>6</v>
      </c>
      <c r="B13" s="40">
        <v>6064.7109500000006</v>
      </c>
      <c r="C13" s="40">
        <v>2990.2258900000002</v>
      </c>
      <c r="D13" s="40">
        <v>903.90294999999992</v>
      </c>
      <c r="E13" s="40">
        <v>135.00498000000002</v>
      </c>
      <c r="F13" s="40">
        <v>207.35935000000001</v>
      </c>
      <c r="G13" s="40">
        <v>8988.1161699999993</v>
      </c>
      <c r="H13" s="40">
        <v>0</v>
      </c>
      <c r="I13" s="40">
        <v>0</v>
      </c>
      <c r="J13" s="40">
        <v>205.40345000000002</v>
      </c>
      <c r="K13" s="41">
        <f t="shared" si="0"/>
        <v>19494.723740000001</v>
      </c>
    </row>
    <row r="14" spans="1:11" s="16" customFormat="1" x14ac:dyDescent="0.25">
      <c r="A14" s="2" t="s">
        <v>39</v>
      </c>
      <c r="B14" s="40">
        <v>1003.12855</v>
      </c>
      <c r="C14" s="40">
        <v>1538.1095600000001</v>
      </c>
      <c r="D14" s="40">
        <v>666.01</v>
      </c>
      <c r="E14" s="40">
        <v>170.93664999999999</v>
      </c>
      <c r="F14" s="40">
        <v>107.98925</v>
      </c>
      <c r="G14" s="40">
        <v>4032.75738</v>
      </c>
      <c r="H14" s="40">
        <v>0</v>
      </c>
      <c r="I14" s="40">
        <v>0</v>
      </c>
      <c r="J14" s="40">
        <v>619.06319999999994</v>
      </c>
      <c r="K14" s="41">
        <f t="shared" si="0"/>
        <v>8137.9945900000002</v>
      </c>
    </row>
    <row r="15" spans="1:11" s="16" customFormat="1" x14ac:dyDescent="0.25">
      <c r="A15" s="2" t="s">
        <v>40</v>
      </c>
      <c r="B15" s="40">
        <v>410.9273</v>
      </c>
      <c r="C15" s="40">
        <v>631.29643999999996</v>
      </c>
      <c r="D15" s="40">
        <v>223.94785999999999</v>
      </c>
      <c r="E15" s="40">
        <v>28.496029999999998</v>
      </c>
      <c r="F15" s="40">
        <v>40.700330000000001</v>
      </c>
      <c r="G15" s="40">
        <v>1425.6457800000001</v>
      </c>
      <c r="H15" s="40">
        <v>0</v>
      </c>
      <c r="I15" s="40">
        <v>0</v>
      </c>
      <c r="J15" s="40">
        <v>100.74526</v>
      </c>
      <c r="K15" s="41">
        <f t="shared" si="0"/>
        <v>2861.759</v>
      </c>
    </row>
    <row r="16" spans="1:11" s="16" customFormat="1" x14ac:dyDescent="0.25">
      <c r="A16" s="2" t="s">
        <v>41</v>
      </c>
      <c r="B16" s="40">
        <v>305.07934</v>
      </c>
      <c r="C16" s="40">
        <v>443.83947999999998</v>
      </c>
      <c r="D16" s="40">
        <v>133.93210000000002</v>
      </c>
      <c r="E16" s="40">
        <v>28.938890000000001</v>
      </c>
      <c r="F16" s="40">
        <v>35.42042</v>
      </c>
      <c r="G16" s="40">
        <v>483.15244000000001</v>
      </c>
      <c r="H16" s="40">
        <v>0</v>
      </c>
      <c r="I16" s="40">
        <v>0</v>
      </c>
      <c r="J16" s="40">
        <v>0</v>
      </c>
      <c r="K16" s="41">
        <f t="shared" si="0"/>
        <v>1430.36267</v>
      </c>
    </row>
    <row r="17" spans="1:11" s="16" customFormat="1" x14ac:dyDescent="0.25">
      <c r="A17" s="2" t="s">
        <v>27</v>
      </c>
      <c r="B17" s="40">
        <v>109635.78706</v>
      </c>
      <c r="C17" s="40">
        <v>38489.507399999995</v>
      </c>
      <c r="D17" s="40">
        <v>11024.120359999999</v>
      </c>
      <c r="E17" s="40">
        <v>4898.6839500000006</v>
      </c>
      <c r="F17" s="40">
        <v>2308.085</v>
      </c>
      <c r="G17" s="40">
        <v>61359.328820000002</v>
      </c>
      <c r="H17" s="40">
        <v>0</v>
      </c>
      <c r="I17" s="40">
        <v>247.44201999999999</v>
      </c>
      <c r="J17" s="40">
        <v>12184.367679999999</v>
      </c>
      <c r="K17" s="41">
        <f t="shared" si="0"/>
        <v>240147.32228999998</v>
      </c>
    </row>
    <row r="18" spans="1:11" s="16" customFormat="1" x14ac:dyDescent="0.25">
      <c r="A18" s="2" t="s">
        <v>7</v>
      </c>
      <c r="B18" s="40">
        <v>11926.6643</v>
      </c>
      <c r="C18" s="40">
        <v>4975.6684400000004</v>
      </c>
      <c r="D18" s="40">
        <v>1619.9401499999999</v>
      </c>
      <c r="E18" s="40">
        <v>307.76042000000001</v>
      </c>
      <c r="F18" s="40">
        <v>368.61903000000001</v>
      </c>
      <c r="G18" s="40">
        <v>9307.2229200000002</v>
      </c>
      <c r="H18" s="40">
        <v>0</v>
      </c>
      <c r="I18" s="40">
        <v>0</v>
      </c>
      <c r="J18" s="40">
        <v>1127.6560900000002</v>
      </c>
      <c r="K18" s="41">
        <f t="shared" si="0"/>
        <v>29633.531350000001</v>
      </c>
    </row>
    <row r="19" spans="1:11" s="16" customFormat="1" x14ac:dyDescent="0.25">
      <c r="A19" s="2" t="s">
        <v>42</v>
      </c>
      <c r="B19" s="40">
        <v>4612.1990999999998</v>
      </c>
      <c r="C19" s="40">
        <v>3386.43966</v>
      </c>
      <c r="D19" s="40">
        <v>831.88699999999994</v>
      </c>
      <c r="E19" s="40">
        <v>416.21584000000001</v>
      </c>
      <c r="F19" s="40">
        <v>195.11</v>
      </c>
      <c r="G19" s="40">
        <v>9748.6435399999991</v>
      </c>
      <c r="H19" s="40">
        <v>0</v>
      </c>
      <c r="I19" s="40">
        <v>0</v>
      </c>
      <c r="J19" s="40">
        <v>738.34100000000001</v>
      </c>
      <c r="K19" s="41">
        <f t="shared" si="0"/>
        <v>19928.836139999999</v>
      </c>
    </row>
    <row r="20" spans="1:11" s="16" customFormat="1" x14ac:dyDescent="0.25">
      <c r="A20" s="2" t="s">
        <v>43</v>
      </c>
      <c r="B20" s="40">
        <v>1044.4263599999999</v>
      </c>
      <c r="C20" s="40">
        <v>1568.0207</v>
      </c>
      <c r="D20" s="40">
        <v>499.69979999999998</v>
      </c>
      <c r="E20" s="40">
        <v>122.8176</v>
      </c>
      <c r="F20" s="40">
        <v>37.016349999999996</v>
      </c>
      <c r="G20" s="40">
        <v>2859.7079700000004</v>
      </c>
      <c r="H20" s="40">
        <v>0</v>
      </c>
      <c r="I20" s="40">
        <v>0</v>
      </c>
      <c r="J20" s="40">
        <v>326.59345000000002</v>
      </c>
      <c r="K20" s="41">
        <f t="shared" si="0"/>
        <v>6458.2822300000007</v>
      </c>
    </row>
    <row r="21" spans="1:11" s="16" customFormat="1" x14ac:dyDescent="0.25">
      <c r="A21" s="2" t="s">
        <v>44</v>
      </c>
      <c r="B21" s="40">
        <v>2709.5439000000001</v>
      </c>
      <c r="C21" s="40">
        <v>2585.5054599999999</v>
      </c>
      <c r="D21" s="40">
        <v>1049.5670500000001</v>
      </c>
      <c r="E21" s="40">
        <v>241.77755999999999</v>
      </c>
      <c r="F21" s="40">
        <v>209.09213</v>
      </c>
      <c r="G21" s="40">
        <v>3001.4666299999999</v>
      </c>
      <c r="H21" s="40">
        <v>0</v>
      </c>
      <c r="I21" s="40">
        <v>0</v>
      </c>
      <c r="J21" s="40">
        <v>650.73622999999998</v>
      </c>
      <c r="K21" s="41">
        <f t="shared" si="0"/>
        <v>10447.688960000001</v>
      </c>
    </row>
    <row r="22" spans="1:11" s="16" customFormat="1" x14ac:dyDescent="0.25">
      <c r="A22" s="2" t="s">
        <v>8</v>
      </c>
      <c r="B22" s="40">
        <v>1481.9789499999999</v>
      </c>
      <c r="C22" s="40">
        <v>1626.51332</v>
      </c>
      <c r="D22" s="40">
        <v>278.28500000000003</v>
      </c>
      <c r="E22" s="40">
        <v>126.82308</v>
      </c>
      <c r="F22" s="40">
        <v>253.916</v>
      </c>
      <c r="G22" s="40">
        <v>705.1530600000001</v>
      </c>
      <c r="H22" s="40">
        <v>0</v>
      </c>
      <c r="I22" s="40">
        <v>0</v>
      </c>
      <c r="J22" s="40">
        <v>6.6433</v>
      </c>
      <c r="K22" s="41">
        <f t="shared" si="0"/>
        <v>4479.3127100000002</v>
      </c>
    </row>
    <row r="23" spans="1:11" s="16" customFormat="1" x14ac:dyDescent="0.25">
      <c r="A23" s="2" t="s">
        <v>45</v>
      </c>
      <c r="B23" s="40">
        <v>182.27545000000001</v>
      </c>
      <c r="C23" s="40">
        <v>364.00635</v>
      </c>
      <c r="D23" s="40">
        <v>100.8678</v>
      </c>
      <c r="E23" s="40">
        <v>62.021819999999998</v>
      </c>
      <c r="F23" s="40">
        <v>16.817589999999999</v>
      </c>
      <c r="G23" s="40">
        <v>153.43611999999999</v>
      </c>
      <c r="H23" s="40">
        <v>0</v>
      </c>
      <c r="I23" s="40">
        <v>0</v>
      </c>
      <c r="J23" s="40">
        <v>0</v>
      </c>
      <c r="K23" s="41">
        <f t="shared" si="0"/>
        <v>879.42512999999997</v>
      </c>
    </row>
    <row r="24" spans="1:11" s="16" customFormat="1" x14ac:dyDescent="0.25">
      <c r="A24" s="2" t="s">
        <v>46</v>
      </c>
      <c r="B24" s="40">
        <v>3037.9445000000001</v>
      </c>
      <c r="C24" s="40">
        <v>1844.0898999999999</v>
      </c>
      <c r="D24" s="40">
        <v>799.31709000000001</v>
      </c>
      <c r="E24" s="40">
        <v>289.02864</v>
      </c>
      <c r="F24" s="40">
        <v>151.68199999999999</v>
      </c>
      <c r="G24" s="40">
        <v>3132.80168</v>
      </c>
      <c r="H24" s="40">
        <v>0</v>
      </c>
      <c r="I24" s="40">
        <v>42.497599999999998</v>
      </c>
      <c r="J24" s="40">
        <v>907.34589000000005</v>
      </c>
      <c r="K24" s="41">
        <f t="shared" si="0"/>
        <v>10204.707300000002</v>
      </c>
    </row>
    <row r="25" spans="1:11" s="16" customFormat="1" x14ac:dyDescent="0.25">
      <c r="A25" s="2" t="s">
        <v>47</v>
      </c>
      <c r="B25" s="40">
        <v>834.74234999999999</v>
      </c>
      <c r="C25" s="40">
        <v>632.56618000000003</v>
      </c>
      <c r="D25" s="40">
        <v>225.52</v>
      </c>
      <c r="E25" s="40">
        <v>74.181579999999997</v>
      </c>
      <c r="F25" s="40">
        <v>68.116249999999994</v>
      </c>
      <c r="G25" s="40">
        <v>1241.6879199999998</v>
      </c>
      <c r="H25" s="40">
        <v>0</v>
      </c>
      <c r="I25" s="40">
        <v>0</v>
      </c>
      <c r="J25" s="40">
        <v>75.11014999999999</v>
      </c>
      <c r="K25" s="41">
        <f t="shared" si="0"/>
        <v>3151.9244299999996</v>
      </c>
    </row>
    <row r="26" spans="1:11" s="16" customFormat="1" x14ac:dyDescent="0.25">
      <c r="A26" s="2" t="s">
        <v>48</v>
      </c>
      <c r="B26" s="40">
        <v>3959.5072799999998</v>
      </c>
      <c r="C26" s="40">
        <v>3589.4379800000002</v>
      </c>
      <c r="D26" s="40">
        <v>1254.7380000000001</v>
      </c>
      <c r="E26" s="40">
        <v>261.42104999999998</v>
      </c>
      <c r="F26" s="40">
        <v>194.32599999999999</v>
      </c>
      <c r="G26" s="40">
        <v>4076.4630499999998</v>
      </c>
      <c r="H26" s="40">
        <v>0</v>
      </c>
      <c r="I26" s="40">
        <v>0</v>
      </c>
      <c r="J26" s="40">
        <v>758.97199999999998</v>
      </c>
      <c r="K26" s="41">
        <f t="shared" si="0"/>
        <v>14094.86536</v>
      </c>
    </row>
    <row r="27" spans="1:11" s="16" customFormat="1" x14ac:dyDescent="0.25">
      <c r="A27" s="2" t="s">
        <v>49</v>
      </c>
      <c r="B27" s="40">
        <v>565.13040000000001</v>
      </c>
      <c r="C27" s="40">
        <v>625.21322999999995</v>
      </c>
      <c r="D27" s="40">
        <v>101.5</v>
      </c>
      <c r="E27" s="40">
        <v>61.198050000000002</v>
      </c>
      <c r="F27" s="40">
        <v>57.450749999999999</v>
      </c>
      <c r="G27" s="40">
        <v>1080.4467400000001</v>
      </c>
      <c r="H27" s="40">
        <v>0</v>
      </c>
      <c r="I27" s="40">
        <v>0</v>
      </c>
      <c r="J27" s="40">
        <v>201.69204999999999</v>
      </c>
      <c r="K27" s="41">
        <f t="shared" si="0"/>
        <v>2692.6312199999998</v>
      </c>
    </row>
    <row r="28" spans="1:11" s="16" customFormat="1" x14ac:dyDescent="0.25">
      <c r="A28" s="2" t="s">
        <v>50</v>
      </c>
      <c r="B28" s="40">
        <v>571.41399999999999</v>
      </c>
      <c r="C28" s="40">
        <v>735.36645999999996</v>
      </c>
      <c r="D28" s="40">
        <v>252.54964000000001</v>
      </c>
      <c r="E28" s="40">
        <v>135.11764000000002</v>
      </c>
      <c r="F28" s="40">
        <v>57.427</v>
      </c>
      <c r="G28" s="40">
        <v>1915.5828899999999</v>
      </c>
      <c r="H28" s="40">
        <v>0</v>
      </c>
      <c r="I28" s="40">
        <v>35.124099999999999</v>
      </c>
      <c r="J28" s="40">
        <v>181.21600000000001</v>
      </c>
      <c r="K28" s="41">
        <f t="shared" si="0"/>
        <v>3883.7977299999998</v>
      </c>
    </row>
    <row r="29" spans="1:11" s="16" customFormat="1" x14ac:dyDescent="0.25">
      <c r="A29" s="2" t="s">
        <v>51</v>
      </c>
      <c r="B29" s="40">
        <v>1488.8683500000002</v>
      </c>
      <c r="C29" s="40">
        <v>2347.6569900000004</v>
      </c>
      <c r="D29" s="40">
        <v>446.73700000000002</v>
      </c>
      <c r="E29" s="40">
        <v>45.710839999999997</v>
      </c>
      <c r="F29" s="40">
        <v>90.430999999999997</v>
      </c>
      <c r="G29" s="40">
        <v>7227.3473199999999</v>
      </c>
      <c r="H29" s="40">
        <v>0</v>
      </c>
      <c r="I29" s="40">
        <v>0</v>
      </c>
      <c r="J29" s="40">
        <v>284.84340000000003</v>
      </c>
      <c r="K29" s="41">
        <f t="shared" si="0"/>
        <v>11931.594899999998</v>
      </c>
    </row>
    <row r="30" spans="1:11" s="16" customFormat="1" x14ac:dyDescent="0.25">
      <c r="A30" s="2" t="s">
        <v>52</v>
      </c>
      <c r="B30" s="40">
        <v>4417.3005000000003</v>
      </c>
      <c r="C30" s="40">
        <v>2185.6233500000003</v>
      </c>
      <c r="D30" s="40">
        <v>955.9106700000001</v>
      </c>
      <c r="E30" s="40">
        <v>109.78706</v>
      </c>
      <c r="F30" s="40">
        <v>202.05477999999999</v>
      </c>
      <c r="G30" s="40">
        <v>4700.7763299999997</v>
      </c>
      <c r="H30" s="40">
        <v>0</v>
      </c>
      <c r="I30" s="40">
        <v>0</v>
      </c>
      <c r="J30" s="40">
        <v>1051.0733799999998</v>
      </c>
      <c r="K30" s="41">
        <f t="shared" si="0"/>
        <v>13622.526070000002</v>
      </c>
    </row>
    <row r="31" spans="1:11" s="16" customFormat="1" x14ac:dyDescent="0.25">
      <c r="A31" s="2" t="s">
        <v>9</v>
      </c>
      <c r="B31" s="40">
        <v>113.61592</v>
      </c>
      <c r="C31" s="40">
        <v>198.78629999999998</v>
      </c>
      <c r="D31" s="40">
        <v>58.227359999999997</v>
      </c>
      <c r="E31" s="40">
        <v>8.2485099999999996</v>
      </c>
      <c r="F31" s="40">
        <v>33.589500000000001</v>
      </c>
      <c r="G31" s="40">
        <v>142.63945999999999</v>
      </c>
      <c r="H31" s="40">
        <v>0</v>
      </c>
      <c r="I31" s="40">
        <v>0</v>
      </c>
      <c r="J31" s="40">
        <v>0</v>
      </c>
      <c r="K31" s="41">
        <f t="shared" si="0"/>
        <v>555.10704999999996</v>
      </c>
    </row>
    <row r="32" spans="1:11" s="16" customFormat="1" x14ac:dyDescent="0.25">
      <c r="A32" s="2" t="s">
        <v>10</v>
      </c>
      <c r="B32" s="40">
        <v>3034.4910499999996</v>
      </c>
      <c r="C32" s="40">
        <v>1570.5457799999999</v>
      </c>
      <c r="D32" s="40">
        <v>365.30099999999999</v>
      </c>
      <c r="E32" s="40">
        <v>287.19817999999998</v>
      </c>
      <c r="F32" s="40">
        <v>93.128</v>
      </c>
      <c r="G32" s="40">
        <v>4609.2257499999996</v>
      </c>
      <c r="H32" s="40">
        <v>0</v>
      </c>
      <c r="I32" s="40">
        <v>0</v>
      </c>
      <c r="J32" s="40">
        <v>128.68</v>
      </c>
      <c r="K32" s="41">
        <f t="shared" si="0"/>
        <v>10088.569759999998</v>
      </c>
    </row>
    <row r="33" spans="1:11" s="16" customFormat="1" x14ac:dyDescent="0.25">
      <c r="A33" s="2" t="s">
        <v>53</v>
      </c>
      <c r="B33" s="40">
        <v>12838.62545</v>
      </c>
      <c r="C33" s="40">
        <v>6610.9469800000006</v>
      </c>
      <c r="D33" s="40">
        <v>2373.8682000000003</v>
      </c>
      <c r="E33" s="40">
        <v>914.71219999999994</v>
      </c>
      <c r="F33" s="40">
        <v>465.50326000000001</v>
      </c>
      <c r="G33" s="40">
        <v>9161.1317799999997</v>
      </c>
      <c r="H33" s="40">
        <v>0</v>
      </c>
      <c r="I33" s="40">
        <v>0</v>
      </c>
      <c r="J33" s="40">
        <v>2066.1745000000001</v>
      </c>
      <c r="K33" s="41">
        <f t="shared" si="0"/>
        <v>34430.962370000001</v>
      </c>
    </row>
    <row r="34" spans="1:11" s="16" customFormat="1" x14ac:dyDescent="0.25">
      <c r="A34" s="2" t="s">
        <v>54</v>
      </c>
      <c r="B34" s="40">
        <v>6916.0624600000001</v>
      </c>
      <c r="C34" s="40">
        <v>4077.3572100000001</v>
      </c>
      <c r="D34" s="40">
        <v>889.13934999999992</v>
      </c>
      <c r="E34" s="40">
        <v>611.2006899999999</v>
      </c>
      <c r="F34" s="40">
        <v>208.953</v>
      </c>
      <c r="G34" s="40">
        <v>6451.4107300000005</v>
      </c>
      <c r="H34" s="40">
        <v>0</v>
      </c>
      <c r="I34" s="40">
        <v>0</v>
      </c>
      <c r="J34" s="40">
        <v>856.05380000000002</v>
      </c>
      <c r="K34" s="41">
        <f t="shared" si="0"/>
        <v>20010.177240000001</v>
      </c>
    </row>
    <row r="35" spans="1:11" s="16" customFormat="1" x14ac:dyDescent="0.25">
      <c r="A35" s="2" t="s">
        <v>55</v>
      </c>
      <c r="B35" s="40">
        <v>4053.7671600000003</v>
      </c>
      <c r="C35" s="40">
        <v>2237.62077</v>
      </c>
      <c r="D35" s="40">
        <v>1037.1782499999999</v>
      </c>
      <c r="E35" s="40">
        <v>104.75463999999999</v>
      </c>
      <c r="F35" s="40">
        <v>162.27169000000001</v>
      </c>
      <c r="G35" s="40">
        <v>7040.5791300000001</v>
      </c>
      <c r="H35" s="40">
        <v>0</v>
      </c>
      <c r="I35" s="40">
        <v>0</v>
      </c>
      <c r="J35" s="40">
        <v>284.0942</v>
      </c>
      <c r="K35" s="41">
        <f t="shared" si="0"/>
        <v>14920.26584</v>
      </c>
    </row>
    <row r="36" spans="1:11" s="16" customFormat="1" x14ac:dyDescent="0.25">
      <c r="A36" s="2" t="s">
        <v>56</v>
      </c>
      <c r="B36" s="40">
        <v>1699.2962</v>
      </c>
      <c r="C36" s="40">
        <v>1513.4544699999999</v>
      </c>
      <c r="D36" s="40">
        <v>547.57600000000002</v>
      </c>
      <c r="E36" s="40">
        <v>173.21064000000001</v>
      </c>
      <c r="F36" s="40">
        <v>210.22024999999999</v>
      </c>
      <c r="G36" s="40">
        <v>2006.5555099999999</v>
      </c>
      <c r="H36" s="40">
        <v>0</v>
      </c>
      <c r="I36" s="40">
        <v>0</v>
      </c>
      <c r="J36" s="40">
        <v>949.92399999999998</v>
      </c>
      <c r="K36" s="41">
        <f t="shared" si="0"/>
        <v>7100.2370700000001</v>
      </c>
    </row>
    <row r="37" spans="1:11" s="16" customFormat="1" x14ac:dyDescent="0.25">
      <c r="A37" s="2" t="s">
        <v>57</v>
      </c>
      <c r="B37" s="40">
        <v>82.017780000000002</v>
      </c>
      <c r="C37" s="40">
        <v>112.86388000000001</v>
      </c>
      <c r="D37" s="40">
        <v>60.357999999999997</v>
      </c>
      <c r="E37" s="40">
        <v>70.102710000000002</v>
      </c>
      <c r="F37" s="40">
        <v>42.23677</v>
      </c>
      <c r="G37" s="40">
        <v>127.42679</v>
      </c>
      <c r="H37" s="40">
        <v>0</v>
      </c>
      <c r="I37" s="40">
        <v>0</v>
      </c>
      <c r="J37" s="40">
        <v>0</v>
      </c>
      <c r="K37" s="41">
        <f t="shared" si="0"/>
        <v>495.00592999999998</v>
      </c>
    </row>
    <row r="38" spans="1:11" s="16" customFormat="1" x14ac:dyDescent="0.25">
      <c r="A38" s="2" t="s">
        <v>58</v>
      </c>
      <c r="B38" s="40">
        <v>2391.4645499999997</v>
      </c>
      <c r="C38" s="40">
        <v>1125.6665</v>
      </c>
      <c r="D38" s="40">
        <v>544.50734999999997</v>
      </c>
      <c r="E38" s="40">
        <v>314.31646999999998</v>
      </c>
      <c r="F38" s="40">
        <v>118.32299999999999</v>
      </c>
      <c r="G38" s="40">
        <v>2009.2360700000002</v>
      </c>
      <c r="H38" s="40">
        <v>0</v>
      </c>
      <c r="I38" s="40">
        <v>0</v>
      </c>
      <c r="J38" s="40">
        <v>485.34934000000004</v>
      </c>
      <c r="K38" s="41">
        <f t="shared" si="0"/>
        <v>6988.8632799999996</v>
      </c>
    </row>
    <row r="39" spans="1:11" s="16" customFormat="1" x14ac:dyDescent="0.25">
      <c r="A39" s="2" t="s">
        <v>11</v>
      </c>
      <c r="B39" s="40">
        <v>39462.928390000001</v>
      </c>
      <c r="C39" s="40">
        <v>13517.591829999999</v>
      </c>
      <c r="D39" s="40">
        <v>1991.7463</v>
      </c>
      <c r="E39" s="40">
        <v>1517.4406000000001</v>
      </c>
      <c r="F39" s="40">
        <v>252.57762</v>
      </c>
      <c r="G39" s="40">
        <v>17425.232690000001</v>
      </c>
      <c r="H39" s="40">
        <v>0</v>
      </c>
      <c r="I39" s="40">
        <v>0</v>
      </c>
      <c r="J39" s="40">
        <v>1504.9151299999999</v>
      </c>
      <c r="K39" s="41">
        <f t="shared" si="0"/>
        <v>75672.432559999987</v>
      </c>
    </row>
    <row r="40" spans="1:11" s="16" customFormat="1" x14ac:dyDescent="0.25">
      <c r="A40" s="3" t="s">
        <v>59</v>
      </c>
      <c r="B40" s="40">
        <v>3887.9639700000002</v>
      </c>
      <c r="C40" s="40">
        <v>2024.6635700000002</v>
      </c>
      <c r="D40" s="40">
        <v>967.26827000000003</v>
      </c>
      <c r="E40" s="40">
        <v>234.77307999999999</v>
      </c>
      <c r="F40" s="40">
        <v>150.46825000000001</v>
      </c>
      <c r="G40" s="40">
        <v>4525.7305800000004</v>
      </c>
      <c r="H40" s="40">
        <v>0</v>
      </c>
      <c r="I40" s="40">
        <v>0</v>
      </c>
      <c r="J40" s="40">
        <v>320.40080999999998</v>
      </c>
      <c r="K40" s="41">
        <f t="shared" si="0"/>
        <v>12111.268529999999</v>
      </c>
    </row>
    <row r="41" spans="1:11" s="16" customFormat="1" x14ac:dyDescent="0.25">
      <c r="A41" s="2" t="s">
        <v>60</v>
      </c>
      <c r="B41" s="40">
        <v>8328.1538499999988</v>
      </c>
      <c r="C41" s="40">
        <v>7214.26224</v>
      </c>
      <c r="D41" s="40">
        <v>1692.4047</v>
      </c>
      <c r="E41" s="40">
        <v>138.67063000000002</v>
      </c>
      <c r="F41" s="40">
        <v>557.10013000000004</v>
      </c>
      <c r="G41" s="40">
        <v>25374.714319999999</v>
      </c>
      <c r="H41" s="40">
        <v>10</v>
      </c>
      <c r="I41" s="40">
        <v>0</v>
      </c>
      <c r="J41" s="40">
        <v>782.07541000000003</v>
      </c>
      <c r="K41" s="41">
        <f t="shared" si="0"/>
        <v>44097.381279999994</v>
      </c>
    </row>
    <row r="42" spans="1:11" s="16" customFormat="1" x14ac:dyDescent="0.25">
      <c r="A42" s="2" t="s">
        <v>61</v>
      </c>
      <c r="B42" s="40">
        <v>3180.4294</v>
      </c>
      <c r="C42" s="40">
        <v>2421.1225600000002</v>
      </c>
      <c r="D42" s="40">
        <v>486.92940000000004</v>
      </c>
      <c r="E42" s="40">
        <v>211.68965</v>
      </c>
      <c r="F42" s="40">
        <v>172.88335999999998</v>
      </c>
      <c r="G42" s="40">
        <v>5106.8313200000002</v>
      </c>
      <c r="H42" s="40">
        <v>0</v>
      </c>
      <c r="I42" s="40">
        <v>0</v>
      </c>
      <c r="J42" s="40">
        <v>262.15209999999996</v>
      </c>
      <c r="K42" s="41">
        <f t="shared" si="0"/>
        <v>11842.03779</v>
      </c>
    </row>
    <row r="43" spans="1:11" s="16" customFormat="1" x14ac:dyDescent="0.25">
      <c r="A43" s="1" t="s">
        <v>62</v>
      </c>
      <c r="B43" s="40">
        <v>4395.67695</v>
      </c>
      <c r="C43" s="40">
        <v>2122.83842</v>
      </c>
      <c r="D43" s="40">
        <v>517.803</v>
      </c>
      <c r="E43" s="40">
        <v>164.97166000000001</v>
      </c>
      <c r="F43" s="40">
        <v>252.67778000000001</v>
      </c>
      <c r="G43" s="40">
        <v>4514.0667000000003</v>
      </c>
      <c r="H43" s="40">
        <v>0</v>
      </c>
      <c r="I43" s="40">
        <v>0</v>
      </c>
      <c r="J43" s="40">
        <v>1059.4581499999999</v>
      </c>
      <c r="K43" s="41">
        <f t="shared" si="0"/>
        <v>13027.492660000002</v>
      </c>
    </row>
    <row r="44" spans="1:11" s="16" customFormat="1" x14ac:dyDescent="0.25">
      <c r="A44" s="2" t="s">
        <v>63</v>
      </c>
      <c r="B44" s="40">
        <v>2276.6163999999999</v>
      </c>
      <c r="C44" s="40">
        <v>1226.3592599999999</v>
      </c>
      <c r="D44" s="40">
        <v>216.5</v>
      </c>
      <c r="E44" s="40">
        <v>107.19042</v>
      </c>
      <c r="F44" s="40">
        <v>168.56845999999999</v>
      </c>
      <c r="G44" s="40">
        <v>3136.8817799999997</v>
      </c>
      <c r="H44" s="40">
        <v>0</v>
      </c>
      <c r="I44" s="40">
        <v>0</v>
      </c>
      <c r="J44" s="40">
        <v>204.73579999999998</v>
      </c>
      <c r="K44" s="41">
        <f t="shared" si="0"/>
        <v>7336.8521199999996</v>
      </c>
    </row>
    <row r="45" spans="1:11" s="16" customFormat="1" x14ac:dyDescent="0.25">
      <c r="A45" s="2" t="s">
        <v>64</v>
      </c>
      <c r="B45" s="40">
        <v>292.02508</v>
      </c>
      <c r="C45" s="40">
        <v>378.06504999999999</v>
      </c>
      <c r="D45" s="40">
        <v>157.8657</v>
      </c>
      <c r="E45" s="40">
        <v>61.716440000000006</v>
      </c>
      <c r="F45" s="40">
        <v>36.828249999999997</v>
      </c>
      <c r="G45" s="40">
        <v>1465.97514</v>
      </c>
      <c r="H45" s="40">
        <v>0</v>
      </c>
      <c r="I45" s="40">
        <v>0</v>
      </c>
      <c r="J45" s="40">
        <v>56.694699999999997</v>
      </c>
      <c r="K45" s="41">
        <f t="shared" si="0"/>
        <v>2449.1703600000001</v>
      </c>
    </row>
    <row r="46" spans="1:11" s="16" customFormat="1" x14ac:dyDescent="0.25">
      <c r="A46" s="2" t="s">
        <v>65</v>
      </c>
      <c r="B46" s="40">
        <v>192.97649999999999</v>
      </c>
      <c r="C46" s="40">
        <v>320.72795000000002</v>
      </c>
      <c r="D46" s="40">
        <v>46.546999999999997</v>
      </c>
      <c r="E46" s="40">
        <v>12.62804</v>
      </c>
      <c r="F46" s="40">
        <v>50.379550000000002</v>
      </c>
      <c r="G46" s="40">
        <v>424.00752</v>
      </c>
      <c r="H46" s="40">
        <v>0</v>
      </c>
      <c r="I46" s="40">
        <v>0</v>
      </c>
      <c r="J46" s="40">
        <v>24.154</v>
      </c>
      <c r="K46" s="41">
        <f t="shared" si="0"/>
        <v>1071.42056</v>
      </c>
    </row>
    <row r="47" spans="1:11" s="16" customFormat="1" x14ac:dyDescent="0.25">
      <c r="A47" s="2" t="s">
        <v>66</v>
      </c>
      <c r="B47" s="40">
        <v>4475.6210899999996</v>
      </c>
      <c r="C47" s="40">
        <v>3421.6624100000004</v>
      </c>
      <c r="D47" s="40">
        <v>1133.3949</v>
      </c>
      <c r="E47" s="40">
        <v>445.53167999999999</v>
      </c>
      <c r="F47" s="40">
        <v>383.53651000000002</v>
      </c>
      <c r="G47" s="40">
        <v>5902.5581500000008</v>
      </c>
      <c r="H47" s="40">
        <v>0</v>
      </c>
      <c r="I47" s="40">
        <v>0</v>
      </c>
      <c r="J47" s="40">
        <v>732.75257999999997</v>
      </c>
      <c r="K47" s="41">
        <f t="shared" si="0"/>
        <v>16495.05732</v>
      </c>
    </row>
    <row r="48" spans="1:11" s="16" customFormat="1" x14ac:dyDescent="0.25">
      <c r="A48" s="2" t="s">
        <v>67</v>
      </c>
      <c r="B48" s="40">
        <v>9045.8752700000005</v>
      </c>
      <c r="C48" s="40">
        <v>5220.2382200000002</v>
      </c>
      <c r="D48" s="40">
        <v>3254.6820499999999</v>
      </c>
      <c r="E48" s="40">
        <v>1345.12059</v>
      </c>
      <c r="F48" s="40">
        <v>648.48085000000003</v>
      </c>
      <c r="G48" s="40">
        <v>8743.5032499999998</v>
      </c>
      <c r="H48" s="40">
        <v>0</v>
      </c>
      <c r="I48" s="40">
        <v>0</v>
      </c>
      <c r="J48" s="40">
        <v>2627.1548499999999</v>
      </c>
      <c r="K48" s="41">
        <f t="shared" si="0"/>
        <v>30885.055079999998</v>
      </c>
    </row>
    <row r="49" spans="1:11" s="16" customFormat="1" x14ac:dyDescent="0.25">
      <c r="A49" s="2" t="s">
        <v>68</v>
      </c>
      <c r="B49" s="40">
        <v>1243.8978</v>
      </c>
      <c r="C49" s="40">
        <v>912.90475000000004</v>
      </c>
      <c r="D49" s="40">
        <v>470.61984999999999</v>
      </c>
      <c r="E49" s="40">
        <v>172.31542999999999</v>
      </c>
      <c r="F49" s="40">
        <v>85.215000000000003</v>
      </c>
      <c r="G49" s="40">
        <v>1768.88761</v>
      </c>
      <c r="H49" s="40">
        <v>0</v>
      </c>
      <c r="I49" s="40">
        <v>0</v>
      </c>
      <c r="J49" s="40">
        <v>246.97315</v>
      </c>
      <c r="K49" s="41">
        <f t="shared" si="0"/>
        <v>4900.8135899999997</v>
      </c>
    </row>
    <row r="50" spans="1:11" s="16" customFormat="1" x14ac:dyDescent="0.25">
      <c r="A50" s="2" t="s">
        <v>69</v>
      </c>
      <c r="B50" s="40">
        <v>7722.2974000000004</v>
      </c>
      <c r="C50" s="40">
        <v>2896.8747699999999</v>
      </c>
      <c r="D50" s="40">
        <v>1712.8356699999999</v>
      </c>
      <c r="E50" s="40">
        <v>350.37216999999998</v>
      </c>
      <c r="F50" s="40">
        <v>304.70110999999997</v>
      </c>
      <c r="G50" s="40">
        <v>7808.5968600000006</v>
      </c>
      <c r="H50" s="40">
        <v>0</v>
      </c>
      <c r="I50" s="40">
        <v>0</v>
      </c>
      <c r="J50" s="40">
        <v>1012.46587</v>
      </c>
      <c r="K50" s="41">
        <f t="shared" si="0"/>
        <v>21808.14385</v>
      </c>
    </row>
    <row r="51" spans="1:11" s="16" customFormat="1" x14ac:dyDescent="0.25">
      <c r="A51" s="2" t="s">
        <v>12</v>
      </c>
      <c r="B51" s="40">
        <v>439.83404999999999</v>
      </c>
      <c r="C51" s="40">
        <v>507.84990000000005</v>
      </c>
      <c r="D51" s="40">
        <v>142.06129999999999</v>
      </c>
      <c r="E51" s="40">
        <v>91.82632000000001</v>
      </c>
      <c r="F51" s="40">
        <v>48.360949999999995</v>
      </c>
      <c r="G51" s="40">
        <v>1768.91605</v>
      </c>
      <c r="H51" s="40">
        <v>0</v>
      </c>
      <c r="I51" s="40">
        <v>0</v>
      </c>
      <c r="J51" s="40">
        <v>12.6</v>
      </c>
      <c r="K51" s="41">
        <f t="shared" si="0"/>
        <v>3011.44857</v>
      </c>
    </row>
    <row r="52" spans="1:11" s="16" customFormat="1" x14ac:dyDescent="0.25">
      <c r="A52" s="2" t="s">
        <v>70</v>
      </c>
      <c r="B52" s="40">
        <v>918.56740000000002</v>
      </c>
      <c r="C52" s="40">
        <v>951.81103000000007</v>
      </c>
      <c r="D52" s="40">
        <v>361.2038</v>
      </c>
      <c r="E52" s="40">
        <v>72.987350000000006</v>
      </c>
      <c r="F52" s="40">
        <v>86.786410000000004</v>
      </c>
      <c r="G52" s="40">
        <v>4007.1864700000001</v>
      </c>
      <c r="H52" s="40">
        <v>0</v>
      </c>
      <c r="I52" s="40">
        <v>0</v>
      </c>
      <c r="J52" s="40">
        <v>245.33370000000002</v>
      </c>
      <c r="K52" s="41">
        <f t="shared" si="0"/>
        <v>6643.8761600000007</v>
      </c>
    </row>
    <row r="53" spans="1:11" s="16" customFormat="1" x14ac:dyDescent="0.25">
      <c r="A53" s="2" t="s">
        <v>71</v>
      </c>
      <c r="B53" s="40">
        <v>312.96899999999999</v>
      </c>
      <c r="C53" s="40">
        <v>619.41114000000005</v>
      </c>
      <c r="D53" s="40">
        <v>81.908850000000001</v>
      </c>
      <c r="E53" s="40">
        <v>66.973060000000004</v>
      </c>
      <c r="F53" s="40">
        <v>37.211500000000001</v>
      </c>
      <c r="G53" s="40">
        <v>739.01258999999993</v>
      </c>
      <c r="H53" s="40">
        <v>0</v>
      </c>
      <c r="I53" s="40">
        <v>0</v>
      </c>
      <c r="J53" s="40">
        <v>78.549720000000008</v>
      </c>
      <c r="K53" s="41">
        <f t="shared" si="0"/>
        <v>1936.03586</v>
      </c>
    </row>
    <row r="54" spans="1:11" s="16" customFormat="1" x14ac:dyDescent="0.25">
      <c r="A54" s="2" t="s">
        <v>72</v>
      </c>
      <c r="B54" s="40">
        <v>4509.2936</v>
      </c>
      <c r="C54" s="40">
        <v>1787.4231000000002</v>
      </c>
      <c r="D54" s="40">
        <v>519.03899999999999</v>
      </c>
      <c r="E54" s="40">
        <v>267.73489000000001</v>
      </c>
      <c r="F54" s="40">
        <v>210.80053000000001</v>
      </c>
      <c r="G54" s="40">
        <v>3245.9096600000003</v>
      </c>
      <c r="H54" s="40">
        <v>0</v>
      </c>
      <c r="I54" s="40">
        <v>0</v>
      </c>
      <c r="J54" s="40">
        <v>487.12299999999999</v>
      </c>
      <c r="K54" s="41">
        <f t="shared" si="0"/>
        <v>11027.323779999999</v>
      </c>
    </row>
    <row r="55" spans="1:11" s="16" customFormat="1" x14ac:dyDescent="0.25">
      <c r="A55" s="2" t="s">
        <v>13</v>
      </c>
      <c r="B55" s="40">
        <v>2090.6396500000001</v>
      </c>
      <c r="C55" s="40">
        <v>834.03564000000006</v>
      </c>
      <c r="D55" s="40">
        <v>488.59584999999998</v>
      </c>
      <c r="E55" s="40">
        <v>169.77245000000002</v>
      </c>
      <c r="F55" s="40">
        <v>116.29150999999999</v>
      </c>
      <c r="G55" s="40">
        <v>2077.1275599999999</v>
      </c>
      <c r="H55" s="40">
        <v>0</v>
      </c>
      <c r="I55" s="40">
        <v>0</v>
      </c>
      <c r="J55" s="40">
        <v>50.418750000000003</v>
      </c>
      <c r="K55" s="41">
        <f t="shared" si="0"/>
        <v>5826.88141</v>
      </c>
    </row>
    <row r="56" spans="1:11" s="16" customFormat="1" x14ac:dyDescent="0.25">
      <c r="A56" s="2" t="s">
        <v>26</v>
      </c>
      <c r="B56" s="40">
        <v>1188.9916000000001</v>
      </c>
      <c r="C56" s="40">
        <v>1158.0037</v>
      </c>
      <c r="D56" s="40">
        <v>146.36876999999998</v>
      </c>
      <c r="E56" s="40">
        <v>64.29576999999999</v>
      </c>
      <c r="F56" s="40">
        <v>143.25720000000001</v>
      </c>
      <c r="G56" s="40">
        <v>1050.1285399999999</v>
      </c>
      <c r="H56" s="40">
        <v>0</v>
      </c>
      <c r="I56" s="40">
        <v>0</v>
      </c>
      <c r="J56" s="40">
        <v>67.7</v>
      </c>
      <c r="K56" s="41">
        <f t="shared" si="0"/>
        <v>3818.7455799999998</v>
      </c>
    </row>
    <row r="57" spans="1:11" s="16" customFormat="1" ht="12.75" customHeight="1" x14ac:dyDescent="0.25">
      <c r="A57" s="2" t="s">
        <v>73</v>
      </c>
      <c r="B57" s="40">
        <v>57.847099999999998</v>
      </c>
      <c r="C57" s="40">
        <v>75.575500000000005</v>
      </c>
      <c r="D57" s="40">
        <v>14.198</v>
      </c>
      <c r="E57" s="40">
        <v>12.368129999999999</v>
      </c>
      <c r="F57" s="40">
        <v>19.059699999999999</v>
      </c>
      <c r="G57" s="40">
        <v>93.669339999999991</v>
      </c>
      <c r="H57" s="40">
        <v>0</v>
      </c>
      <c r="I57" s="40">
        <v>0</v>
      </c>
      <c r="J57" s="40">
        <v>0</v>
      </c>
      <c r="K57" s="41">
        <f t="shared" si="0"/>
        <v>272.71776999999997</v>
      </c>
    </row>
    <row r="58" spans="1:11" s="16" customFormat="1" x14ac:dyDescent="0.25">
      <c r="A58" s="2" t="s">
        <v>14</v>
      </c>
      <c r="B58" s="40">
        <v>34481.506139999998</v>
      </c>
      <c r="C58" s="40">
        <v>11938.05881</v>
      </c>
      <c r="D58" s="40">
        <v>5241.6252400000003</v>
      </c>
      <c r="E58" s="40">
        <v>1837.7402500000001</v>
      </c>
      <c r="F58" s="40">
        <v>1121.9361299999998</v>
      </c>
      <c r="G58" s="40">
        <v>25830.678620000002</v>
      </c>
      <c r="H58" s="40">
        <v>0</v>
      </c>
      <c r="I58" s="40">
        <v>0</v>
      </c>
      <c r="J58" s="40">
        <v>3875.1885200000002</v>
      </c>
      <c r="K58" s="41">
        <f t="shared" si="0"/>
        <v>84326.73371</v>
      </c>
    </row>
    <row r="59" spans="1:11" s="16" customFormat="1" x14ac:dyDescent="0.25">
      <c r="A59" s="2" t="s">
        <v>28</v>
      </c>
      <c r="B59" s="40">
        <v>9938.6902899999986</v>
      </c>
      <c r="C59" s="40">
        <v>4955.5767500000002</v>
      </c>
      <c r="D59" s="40">
        <v>1210.8213500000002</v>
      </c>
      <c r="E59" s="40">
        <v>619.57899999999995</v>
      </c>
      <c r="F59" s="40">
        <v>435.74521999999996</v>
      </c>
      <c r="G59" s="40">
        <v>9483.8388000000014</v>
      </c>
      <c r="H59" s="40">
        <v>0</v>
      </c>
      <c r="I59" s="40">
        <v>282.81720000000001</v>
      </c>
      <c r="J59" s="40">
        <v>729.06205</v>
      </c>
      <c r="K59" s="41">
        <f t="shared" si="0"/>
        <v>27656.130660000003</v>
      </c>
    </row>
    <row r="60" spans="1:11" s="16" customFormat="1" x14ac:dyDescent="0.25">
      <c r="A60" s="2" t="s">
        <v>29</v>
      </c>
      <c r="B60" s="40">
        <v>156749.07128</v>
      </c>
      <c r="C60" s="40">
        <v>88189.541150000005</v>
      </c>
      <c r="D60" s="40">
        <v>18437.450250000002</v>
      </c>
      <c r="E60" s="40">
        <v>14863.67787</v>
      </c>
      <c r="F60" s="40">
        <v>2627.3864600000002</v>
      </c>
      <c r="G60" s="40">
        <v>200924.23146000001</v>
      </c>
      <c r="H60" s="40">
        <v>0</v>
      </c>
      <c r="I60" s="40">
        <v>0</v>
      </c>
      <c r="J60" s="40">
        <v>3340.2379300000002</v>
      </c>
      <c r="K60" s="41">
        <f t="shared" si="0"/>
        <v>485131.5964000001</v>
      </c>
    </row>
    <row r="61" spans="1:11" s="16" customFormat="1" x14ac:dyDescent="0.25">
      <c r="A61" s="2" t="s">
        <v>74</v>
      </c>
      <c r="B61" s="40">
        <v>2135.76323</v>
      </c>
      <c r="C61" s="40">
        <v>1311.0221100000001</v>
      </c>
      <c r="D61" s="40">
        <v>530.803</v>
      </c>
      <c r="E61" s="40">
        <v>191.51467000000002</v>
      </c>
      <c r="F61" s="40">
        <v>119.32248</v>
      </c>
      <c r="G61" s="40">
        <v>2378.40807</v>
      </c>
      <c r="H61" s="40">
        <v>0</v>
      </c>
      <c r="I61" s="40">
        <v>0</v>
      </c>
      <c r="J61" s="40">
        <v>347.15379999999999</v>
      </c>
      <c r="K61" s="41">
        <f t="shared" si="0"/>
        <v>7013.987360000001</v>
      </c>
    </row>
    <row r="62" spans="1:11" s="16" customFormat="1" x14ac:dyDescent="0.25">
      <c r="A62" s="2" t="s">
        <v>75</v>
      </c>
      <c r="B62" s="40">
        <v>3078.0263999999997</v>
      </c>
      <c r="C62" s="40">
        <v>1907.0510800000002</v>
      </c>
      <c r="D62" s="40">
        <v>688.44826</v>
      </c>
      <c r="E62" s="40">
        <v>304.27073999999999</v>
      </c>
      <c r="F62" s="40">
        <v>585.84679000000006</v>
      </c>
      <c r="G62" s="40">
        <v>6632.24622</v>
      </c>
      <c r="H62" s="40">
        <v>0</v>
      </c>
      <c r="I62" s="40">
        <v>0</v>
      </c>
      <c r="J62" s="40">
        <v>696.49770000000001</v>
      </c>
      <c r="K62" s="41">
        <f t="shared" si="0"/>
        <v>13892.387190000001</v>
      </c>
    </row>
    <row r="63" spans="1:11" s="16" customFormat="1" x14ac:dyDescent="0.25">
      <c r="A63" s="2" t="s">
        <v>76</v>
      </c>
      <c r="B63" s="40">
        <v>2044.22794</v>
      </c>
      <c r="C63" s="40">
        <v>1100.44282</v>
      </c>
      <c r="D63" s="40">
        <v>338.8</v>
      </c>
      <c r="E63" s="40">
        <v>38.239350000000002</v>
      </c>
      <c r="F63" s="40">
        <v>98.124870000000001</v>
      </c>
      <c r="G63" s="40">
        <v>3530.0902400000004</v>
      </c>
      <c r="H63" s="40">
        <v>0</v>
      </c>
      <c r="I63" s="40">
        <v>0</v>
      </c>
      <c r="J63" s="40">
        <v>143.32905</v>
      </c>
      <c r="K63" s="41">
        <f t="shared" si="0"/>
        <v>7293.2542700000013</v>
      </c>
    </row>
    <row r="64" spans="1:11" s="16" customFormat="1" x14ac:dyDescent="0.25">
      <c r="A64" s="2" t="s">
        <v>77</v>
      </c>
      <c r="B64" s="40">
        <v>4120.1185999999998</v>
      </c>
      <c r="C64" s="40">
        <v>3218.4152100000001</v>
      </c>
      <c r="D64" s="40">
        <v>390.15</v>
      </c>
      <c r="E64" s="40">
        <v>5.1961000000000004</v>
      </c>
      <c r="F64" s="40">
        <v>115.13500000000001</v>
      </c>
      <c r="G64" s="40">
        <v>7534.2834499999999</v>
      </c>
      <c r="H64" s="40">
        <v>0</v>
      </c>
      <c r="I64" s="40">
        <v>0</v>
      </c>
      <c r="J64" s="40">
        <v>484.63425000000001</v>
      </c>
      <c r="K64" s="41">
        <f t="shared" si="0"/>
        <v>15867.93261</v>
      </c>
    </row>
    <row r="65" spans="1:11" s="16" customFormat="1" ht="12.75" customHeight="1" x14ac:dyDescent="0.25">
      <c r="A65" s="2" t="s">
        <v>15</v>
      </c>
      <c r="B65" s="40">
        <v>12597.582400000001</v>
      </c>
      <c r="C65" s="40">
        <v>5207.0447800000002</v>
      </c>
      <c r="D65" s="40">
        <v>1450.9980700000001</v>
      </c>
      <c r="E65" s="40">
        <v>695.10650999999996</v>
      </c>
      <c r="F65" s="40">
        <v>236.07332</v>
      </c>
      <c r="G65" s="40">
        <v>13241.77995</v>
      </c>
      <c r="H65" s="40">
        <v>0</v>
      </c>
      <c r="I65" s="40">
        <v>0</v>
      </c>
      <c r="J65" s="40">
        <v>82.96714999999999</v>
      </c>
      <c r="K65" s="41">
        <f t="shared" si="0"/>
        <v>33511.552179999999</v>
      </c>
    </row>
    <row r="66" spans="1:11" s="16" customFormat="1" x14ac:dyDescent="0.25">
      <c r="A66" s="2" t="s">
        <v>78</v>
      </c>
      <c r="B66" s="40">
        <v>2826.7357499999998</v>
      </c>
      <c r="C66" s="40">
        <v>2010.56531</v>
      </c>
      <c r="D66" s="40">
        <v>535.88418000000001</v>
      </c>
      <c r="E66" s="40">
        <v>150.32167999999999</v>
      </c>
      <c r="F66" s="40">
        <v>63.929000000000002</v>
      </c>
      <c r="G66" s="40">
        <v>3667.10806</v>
      </c>
      <c r="H66" s="40">
        <v>0</v>
      </c>
      <c r="I66" s="40">
        <v>0</v>
      </c>
      <c r="J66" s="40">
        <v>728.27501000000007</v>
      </c>
      <c r="K66" s="41">
        <f t="shared" si="0"/>
        <v>9982.8189899999998</v>
      </c>
    </row>
    <row r="67" spans="1:11" s="16" customFormat="1" ht="12.75" customHeight="1" x14ac:dyDescent="0.25">
      <c r="A67" s="2" t="s">
        <v>16</v>
      </c>
      <c r="B67" s="40">
        <v>35109.032079999997</v>
      </c>
      <c r="C67" s="40">
        <v>14883.831630000001</v>
      </c>
      <c r="D67" s="40">
        <v>6522.8869299999997</v>
      </c>
      <c r="E67" s="40">
        <v>3417.3292799999999</v>
      </c>
      <c r="F67" s="40">
        <v>1213.40506</v>
      </c>
      <c r="G67" s="40">
        <v>31983.214780000002</v>
      </c>
      <c r="H67" s="40">
        <v>0</v>
      </c>
      <c r="I67" s="40">
        <v>0</v>
      </c>
      <c r="J67" s="40">
        <v>4705.8644999999997</v>
      </c>
      <c r="K67" s="41">
        <f t="shared" si="0"/>
        <v>97835.564259999985</v>
      </c>
    </row>
    <row r="68" spans="1:11" s="16" customFormat="1" x14ac:dyDescent="0.25">
      <c r="A68" s="2" t="s">
        <v>79</v>
      </c>
      <c r="B68" s="40">
        <v>631.31475999999998</v>
      </c>
      <c r="C68" s="40">
        <v>325.94587000000001</v>
      </c>
      <c r="D68" s="40">
        <v>158.91723999999999</v>
      </c>
      <c r="E68" s="40">
        <v>30.55199</v>
      </c>
      <c r="F68" s="40">
        <v>45.054559999999995</v>
      </c>
      <c r="G68" s="40">
        <v>347.71163999999999</v>
      </c>
      <c r="H68" s="40">
        <v>0</v>
      </c>
      <c r="I68" s="40">
        <v>0</v>
      </c>
      <c r="J68" s="40">
        <v>268.11796999999996</v>
      </c>
      <c r="K68" s="41">
        <f t="shared" ref="K68:K108" si="1">SUM(B68:J68)</f>
        <v>1807.61403</v>
      </c>
    </row>
    <row r="69" spans="1:11" s="16" customFormat="1" x14ac:dyDescent="0.25">
      <c r="A69" s="2" t="s">
        <v>80</v>
      </c>
      <c r="B69" s="40">
        <v>1309.1025500000001</v>
      </c>
      <c r="C69" s="40">
        <v>1454.69625</v>
      </c>
      <c r="D69" s="40">
        <v>1013.52275</v>
      </c>
      <c r="E69" s="40">
        <v>190.06364000000002</v>
      </c>
      <c r="F69" s="40">
        <v>127.42195</v>
      </c>
      <c r="G69" s="40">
        <v>5078.2005999999992</v>
      </c>
      <c r="H69" s="40">
        <v>0</v>
      </c>
      <c r="I69" s="40">
        <v>0</v>
      </c>
      <c r="J69" s="40">
        <v>414.91050000000001</v>
      </c>
      <c r="K69" s="41">
        <f t="shared" si="1"/>
        <v>9587.9182399999991</v>
      </c>
    </row>
    <row r="70" spans="1:11" s="16" customFormat="1" x14ac:dyDescent="0.25">
      <c r="A70" s="2" t="s">
        <v>81</v>
      </c>
      <c r="B70" s="40">
        <v>234.36236</v>
      </c>
      <c r="C70" s="40">
        <v>242.75313</v>
      </c>
      <c r="D70" s="40">
        <v>66.668660000000003</v>
      </c>
      <c r="E70" s="40">
        <v>17.071240000000003</v>
      </c>
      <c r="F70" s="40">
        <v>43.770050000000005</v>
      </c>
      <c r="G70" s="40">
        <v>828.90320999999994</v>
      </c>
      <c r="H70" s="40">
        <v>0</v>
      </c>
      <c r="I70" s="40">
        <v>0</v>
      </c>
      <c r="J70" s="40">
        <v>77.660669999999996</v>
      </c>
      <c r="K70" s="41">
        <f t="shared" si="1"/>
        <v>1511.18932</v>
      </c>
    </row>
    <row r="71" spans="1:11" s="16" customFormat="1" x14ac:dyDescent="0.25">
      <c r="A71" s="2" t="s">
        <v>17</v>
      </c>
      <c r="B71" s="40">
        <v>17008.573700000001</v>
      </c>
      <c r="C71" s="40">
        <v>7145.9315500000002</v>
      </c>
      <c r="D71" s="40">
        <v>872.37199999999996</v>
      </c>
      <c r="E71" s="40">
        <v>784.74046999999996</v>
      </c>
      <c r="F71" s="40">
        <v>364.35858000000002</v>
      </c>
      <c r="G71" s="40">
        <v>13101.859109999999</v>
      </c>
      <c r="H71" s="40">
        <v>0</v>
      </c>
      <c r="I71" s="40">
        <v>0</v>
      </c>
      <c r="J71" s="40">
        <v>296</v>
      </c>
      <c r="K71" s="41">
        <f t="shared" si="1"/>
        <v>39573.83541</v>
      </c>
    </row>
    <row r="72" spans="1:11" s="16" customFormat="1" x14ac:dyDescent="0.25">
      <c r="A72" s="2" t="s">
        <v>82</v>
      </c>
      <c r="B72" s="40">
        <v>2967.4888300000002</v>
      </c>
      <c r="C72" s="40">
        <v>4127.6935899999999</v>
      </c>
      <c r="D72" s="40">
        <v>877.02125000000001</v>
      </c>
      <c r="E72" s="40">
        <v>156.12943999999999</v>
      </c>
      <c r="F72" s="40">
        <v>330.16815000000003</v>
      </c>
      <c r="G72" s="40">
        <v>10561.05802</v>
      </c>
      <c r="H72" s="40">
        <v>0</v>
      </c>
      <c r="I72" s="40">
        <v>0</v>
      </c>
      <c r="J72" s="40">
        <v>672.32594999999992</v>
      </c>
      <c r="K72" s="41">
        <f t="shared" si="1"/>
        <v>19691.88523</v>
      </c>
    </row>
    <row r="73" spans="1:11" s="16" customFormat="1" x14ac:dyDescent="0.25">
      <c r="A73" s="1" t="s">
        <v>18</v>
      </c>
      <c r="B73" s="40">
        <v>5841.7634500000004</v>
      </c>
      <c r="C73" s="40">
        <v>2570.3923999999997</v>
      </c>
      <c r="D73" s="40">
        <v>615.95950000000005</v>
      </c>
      <c r="E73" s="40">
        <v>95.440669999999997</v>
      </c>
      <c r="F73" s="40">
        <v>187.39599999999999</v>
      </c>
      <c r="G73" s="40">
        <v>7323.2194500000005</v>
      </c>
      <c r="H73" s="40">
        <v>0</v>
      </c>
      <c r="I73" s="40">
        <v>0</v>
      </c>
      <c r="J73" s="40">
        <v>2130.94785</v>
      </c>
      <c r="K73" s="41">
        <f t="shared" si="1"/>
        <v>18765.119320000002</v>
      </c>
    </row>
    <row r="74" spans="1:11" s="16" customFormat="1" x14ac:dyDescent="0.25">
      <c r="A74" s="2" t="s">
        <v>83</v>
      </c>
      <c r="B74" s="40">
        <v>1956.0711999999999</v>
      </c>
      <c r="C74" s="40">
        <v>2405.6201599999999</v>
      </c>
      <c r="D74" s="40">
        <v>761.226</v>
      </c>
      <c r="E74" s="40">
        <v>271.74990000000003</v>
      </c>
      <c r="F74" s="40">
        <v>178.01295999999999</v>
      </c>
      <c r="G74" s="40">
        <v>3517.8556100000001</v>
      </c>
      <c r="H74" s="40">
        <v>0</v>
      </c>
      <c r="I74" s="40">
        <v>0</v>
      </c>
      <c r="J74" s="40">
        <v>1051.9472499999999</v>
      </c>
      <c r="K74" s="41">
        <f t="shared" si="1"/>
        <v>10142.483079999998</v>
      </c>
    </row>
    <row r="75" spans="1:11" s="16" customFormat="1" x14ac:dyDescent="0.25">
      <c r="A75" s="2" t="s">
        <v>19</v>
      </c>
      <c r="B75" s="40">
        <v>4318.8664000000008</v>
      </c>
      <c r="C75" s="40">
        <v>2287.8674300000002</v>
      </c>
      <c r="D75" s="40">
        <v>411.94846000000001</v>
      </c>
      <c r="E75" s="40">
        <v>641.30786000000001</v>
      </c>
      <c r="F75" s="40">
        <v>127.15983</v>
      </c>
      <c r="G75" s="40">
        <v>5781.37806</v>
      </c>
      <c r="H75" s="40">
        <v>0</v>
      </c>
      <c r="I75" s="40">
        <v>0</v>
      </c>
      <c r="J75" s="40">
        <v>150.46110000000002</v>
      </c>
      <c r="K75" s="41">
        <f t="shared" si="1"/>
        <v>13718.989140000001</v>
      </c>
    </row>
    <row r="76" spans="1:11" s="16" customFormat="1" x14ac:dyDescent="0.25">
      <c r="A76" s="2" t="s">
        <v>84</v>
      </c>
      <c r="B76" s="40">
        <v>1333.7713999999999</v>
      </c>
      <c r="C76" s="40">
        <v>1123.5269800000001</v>
      </c>
      <c r="D76" s="40">
        <v>412.92500000000001</v>
      </c>
      <c r="E76" s="40">
        <v>87.498109999999997</v>
      </c>
      <c r="F76" s="40">
        <v>60.994999999999997</v>
      </c>
      <c r="G76" s="40">
        <v>2304.5213799999997</v>
      </c>
      <c r="H76" s="40">
        <v>0</v>
      </c>
      <c r="I76" s="40">
        <v>0</v>
      </c>
      <c r="J76" s="40">
        <v>73.753339999999994</v>
      </c>
      <c r="K76" s="41">
        <f t="shared" si="1"/>
        <v>5396.9912100000001</v>
      </c>
    </row>
    <row r="77" spans="1:11" s="16" customFormat="1" x14ac:dyDescent="0.25">
      <c r="A77" s="2" t="s">
        <v>85</v>
      </c>
      <c r="B77" s="40">
        <v>250.31909999999999</v>
      </c>
      <c r="C77" s="40">
        <v>350.22471999999999</v>
      </c>
      <c r="D77" s="40">
        <v>102.1613</v>
      </c>
      <c r="E77" s="40">
        <v>43.365160000000003</v>
      </c>
      <c r="F77" s="40">
        <v>19.672999999999998</v>
      </c>
      <c r="G77" s="40">
        <v>747.71884</v>
      </c>
      <c r="H77" s="40">
        <v>0</v>
      </c>
      <c r="I77" s="40">
        <v>0</v>
      </c>
      <c r="J77" s="40">
        <v>56.127499999999998</v>
      </c>
      <c r="K77" s="41">
        <f t="shared" si="1"/>
        <v>1569.58962</v>
      </c>
    </row>
    <row r="78" spans="1:11" s="16" customFormat="1" x14ac:dyDescent="0.25">
      <c r="A78" s="2" t="s">
        <v>86</v>
      </c>
      <c r="B78" s="40">
        <v>2098.4693500000003</v>
      </c>
      <c r="C78" s="40">
        <v>841.46292000000005</v>
      </c>
      <c r="D78" s="40">
        <v>220.57599999999999</v>
      </c>
      <c r="E78" s="40">
        <v>22.867139999999999</v>
      </c>
      <c r="F78" s="40">
        <v>56.118879999999997</v>
      </c>
      <c r="G78" s="40">
        <v>1525.27772</v>
      </c>
      <c r="H78" s="40">
        <v>0</v>
      </c>
      <c r="I78" s="40">
        <v>0</v>
      </c>
      <c r="J78" s="40">
        <v>192.63292999999999</v>
      </c>
      <c r="K78" s="41">
        <f t="shared" si="1"/>
        <v>4957.4049400000004</v>
      </c>
    </row>
    <row r="79" spans="1:11" s="16" customFormat="1" x14ac:dyDescent="0.25">
      <c r="A79" s="2" t="s">
        <v>20</v>
      </c>
      <c r="B79" s="40">
        <v>3078.5245</v>
      </c>
      <c r="C79" s="40">
        <v>1877.4663799999998</v>
      </c>
      <c r="D79" s="40">
        <v>455.76509000000004</v>
      </c>
      <c r="E79" s="40">
        <v>46.820080000000004</v>
      </c>
      <c r="F79" s="40">
        <v>161.72200000000001</v>
      </c>
      <c r="G79" s="40">
        <v>5938.3024299999997</v>
      </c>
      <c r="H79" s="40">
        <v>0</v>
      </c>
      <c r="I79" s="40">
        <v>0</v>
      </c>
      <c r="J79" s="40">
        <v>276.18495000000001</v>
      </c>
      <c r="K79" s="41">
        <f t="shared" si="1"/>
        <v>11834.78543</v>
      </c>
    </row>
    <row r="80" spans="1:11" s="16" customFormat="1" x14ac:dyDescent="0.25">
      <c r="A80" s="2" t="s">
        <v>87</v>
      </c>
      <c r="B80" s="40">
        <v>1380.6496000000002</v>
      </c>
      <c r="C80" s="40">
        <v>1316.6399799999999</v>
      </c>
      <c r="D80" s="40">
        <v>183.81419</v>
      </c>
      <c r="E80" s="40">
        <v>80.060630000000003</v>
      </c>
      <c r="F80" s="40">
        <v>126.85901</v>
      </c>
      <c r="G80" s="40">
        <v>1520.28478</v>
      </c>
      <c r="H80" s="40">
        <v>0</v>
      </c>
      <c r="I80" s="40">
        <v>0</v>
      </c>
      <c r="J80" s="40">
        <v>299.20840000000004</v>
      </c>
      <c r="K80" s="41">
        <f t="shared" si="1"/>
        <v>4907.5165900000002</v>
      </c>
    </row>
    <row r="81" spans="1:11" s="16" customFormat="1" x14ac:dyDescent="0.25">
      <c r="A81" s="2" t="s">
        <v>30</v>
      </c>
      <c r="B81" s="40">
        <v>1383.2756499999998</v>
      </c>
      <c r="C81" s="40">
        <v>939.10487999999998</v>
      </c>
      <c r="D81" s="40">
        <v>327.8261</v>
      </c>
      <c r="E81" s="40">
        <v>69.485550000000003</v>
      </c>
      <c r="F81" s="40">
        <v>80.778350000000003</v>
      </c>
      <c r="G81" s="40">
        <v>3360.0865299999996</v>
      </c>
      <c r="H81" s="40">
        <v>0</v>
      </c>
      <c r="I81" s="40">
        <v>0.4</v>
      </c>
      <c r="J81" s="40">
        <v>114.703</v>
      </c>
      <c r="K81" s="41">
        <f t="shared" si="1"/>
        <v>6275.6600599999992</v>
      </c>
    </row>
    <row r="82" spans="1:11" s="16" customFormat="1" x14ac:dyDescent="0.25">
      <c r="A82" s="2" t="s">
        <v>88</v>
      </c>
      <c r="B82" s="40">
        <v>988.22834999999998</v>
      </c>
      <c r="C82" s="40">
        <v>1235.49198</v>
      </c>
      <c r="D82" s="40">
        <v>391.66399999999999</v>
      </c>
      <c r="E82" s="40">
        <v>75.462879999999998</v>
      </c>
      <c r="F82" s="40">
        <v>107.26745</v>
      </c>
      <c r="G82" s="40">
        <v>2239.4737700000001</v>
      </c>
      <c r="H82" s="40">
        <v>0</v>
      </c>
      <c r="I82" s="40">
        <v>0</v>
      </c>
      <c r="J82" s="40">
        <v>566.12794999999994</v>
      </c>
      <c r="K82" s="41">
        <f t="shared" si="1"/>
        <v>5603.7163799999998</v>
      </c>
    </row>
    <row r="83" spans="1:11" s="16" customFormat="1" x14ac:dyDescent="0.25">
      <c r="A83" s="2" t="s">
        <v>89</v>
      </c>
      <c r="B83" s="40">
        <v>12553.54162</v>
      </c>
      <c r="C83" s="40">
        <v>4756.8891900000008</v>
      </c>
      <c r="D83" s="40">
        <v>2251.9167000000002</v>
      </c>
      <c r="E83" s="40">
        <v>173.37479000000002</v>
      </c>
      <c r="F83" s="40">
        <v>466.73988000000003</v>
      </c>
      <c r="G83" s="40">
        <v>26770.866969999999</v>
      </c>
      <c r="H83" s="40">
        <v>0</v>
      </c>
      <c r="I83" s="40">
        <v>171.82794000000001</v>
      </c>
      <c r="J83" s="40">
        <v>601.59486000000004</v>
      </c>
      <c r="K83" s="41">
        <f t="shared" si="1"/>
        <v>47746.751950000005</v>
      </c>
    </row>
    <row r="84" spans="1:11" s="16" customFormat="1" x14ac:dyDescent="0.25">
      <c r="A84" s="2" t="s">
        <v>90</v>
      </c>
      <c r="B84" s="40">
        <v>822.72248999999999</v>
      </c>
      <c r="C84" s="40">
        <v>399.10854999999998</v>
      </c>
      <c r="D84" s="40">
        <v>178.8</v>
      </c>
      <c r="E84" s="40">
        <v>10.75853</v>
      </c>
      <c r="F84" s="40">
        <v>50.113599999999998</v>
      </c>
      <c r="G84" s="40">
        <v>459.45128999999997</v>
      </c>
      <c r="H84" s="40">
        <v>0</v>
      </c>
      <c r="I84" s="40">
        <v>0</v>
      </c>
      <c r="J84" s="40">
        <v>160.20189999999999</v>
      </c>
      <c r="K84" s="41">
        <f t="shared" si="1"/>
        <v>2081.1563599999999</v>
      </c>
    </row>
    <row r="85" spans="1:11" s="16" customFormat="1" x14ac:dyDescent="0.25">
      <c r="A85" s="2" t="s">
        <v>91</v>
      </c>
      <c r="B85" s="40">
        <v>1118.7784999999999</v>
      </c>
      <c r="C85" s="40">
        <v>677.70348999999999</v>
      </c>
      <c r="D85" s="40">
        <v>92.304640000000006</v>
      </c>
      <c r="E85" s="40">
        <v>31.137360000000001</v>
      </c>
      <c r="F85" s="40">
        <v>77.284399999999991</v>
      </c>
      <c r="G85" s="40">
        <v>1073.5653600000001</v>
      </c>
      <c r="H85" s="40">
        <v>0</v>
      </c>
      <c r="I85" s="40">
        <v>0</v>
      </c>
      <c r="J85" s="40">
        <v>128.41999000000001</v>
      </c>
      <c r="K85" s="41">
        <f t="shared" si="1"/>
        <v>3199.1937399999997</v>
      </c>
    </row>
    <row r="86" spans="1:11" s="16" customFormat="1" x14ac:dyDescent="0.25">
      <c r="A86" s="2" t="s">
        <v>92</v>
      </c>
      <c r="B86" s="40">
        <v>3180.1852599999997</v>
      </c>
      <c r="C86" s="40">
        <v>1942.1183999999998</v>
      </c>
      <c r="D86" s="40">
        <v>294.37166999999999</v>
      </c>
      <c r="E86" s="40">
        <v>370.91296999999997</v>
      </c>
      <c r="F86" s="40">
        <v>142.80043000000001</v>
      </c>
      <c r="G86" s="40">
        <v>2906.8404799999998</v>
      </c>
      <c r="H86" s="40">
        <v>0</v>
      </c>
      <c r="I86" s="40">
        <v>0</v>
      </c>
      <c r="J86" s="40">
        <v>119.94757000000001</v>
      </c>
      <c r="K86" s="41">
        <f t="shared" si="1"/>
        <v>8957.1767800000016</v>
      </c>
    </row>
    <row r="87" spans="1:11" s="16" customFormat="1" x14ac:dyDescent="0.25">
      <c r="A87" s="2" t="s">
        <v>93</v>
      </c>
      <c r="B87" s="40">
        <v>2209.65825</v>
      </c>
      <c r="C87" s="40">
        <v>1446.0959399999999</v>
      </c>
      <c r="D87" s="40">
        <v>376.37</v>
      </c>
      <c r="E87" s="40">
        <v>126.48324000000001</v>
      </c>
      <c r="F87" s="40">
        <v>102.482</v>
      </c>
      <c r="G87" s="40">
        <v>6709.0092300000006</v>
      </c>
      <c r="H87" s="40">
        <v>0</v>
      </c>
      <c r="I87" s="40">
        <v>0</v>
      </c>
      <c r="J87" s="40">
        <v>274.52600000000001</v>
      </c>
      <c r="K87" s="41">
        <f t="shared" si="1"/>
        <v>11244.624659999999</v>
      </c>
    </row>
    <row r="88" spans="1:11" s="16" customFormat="1" ht="12.75" customHeight="1" x14ac:dyDescent="0.25">
      <c r="A88" s="2" t="s">
        <v>94</v>
      </c>
      <c r="B88" s="40">
        <v>690.58353</v>
      </c>
      <c r="C88" s="40">
        <v>406.61973999999998</v>
      </c>
      <c r="D88" s="40">
        <v>340.52699999999999</v>
      </c>
      <c r="E88" s="40">
        <v>101.44331</v>
      </c>
      <c r="F88" s="40">
        <v>41.185850000000002</v>
      </c>
      <c r="G88" s="40">
        <v>688.16557999999998</v>
      </c>
      <c r="H88" s="40">
        <v>0</v>
      </c>
      <c r="I88" s="40">
        <v>0</v>
      </c>
      <c r="J88" s="40">
        <v>196.29877999999999</v>
      </c>
      <c r="K88" s="41">
        <f t="shared" si="1"/>
        <v>2464.8237900000004</v>
      </c>
    </row>
    <row r="89" spans="1:11" s="16" customFormat="1" x14ac:dyDescent="0.25">
      <c r="A89" s="2" t="s">
        <v>95</v>
      </c>
      <c r="B89" s="40">
        <v>1819.9653000000001</v>
      </c>
      <c r="C89" s="40">
        <v>1196.94814</v>
      </c>
      <c r="D89" s="40">
        <v>720.72465</v>
      </c>
      <c r="E89" s="40">
        <v>61.146830000000001</v>
      </c>
      <c r="F89" s="40">
        <v>70.275259999999989</v>
      </c>
      <c r="G89" s="40">
        <v>2512.14455</v>
      </c>
      <c r="H89" s="40">
        <v>0</v>
      </c>
      <c r="I89" s="40">
        <v>0</v>
      </c>
      <c r="J89" s="40">
        <v>382.95916999999997</v>
      </c>
      <c r="K89" s="41">
        <f t="shared" si="1"/>
        <v>6764.1639000000005</v>
      </c>
    </row>
    <row r="90" spans="1:11" s="16" customFormat="1" x14ac:dyDescent="0.25">
      <c r="A90" s="2" t="s">
        <v>96</v>
      </c>
      <c r="B90" s="40">
        <v>1992.9249</v>
      </c>
      <c r="C90" s="40">
        <v>1969.28656</v>
      </c>
      <c r="D90" s="40">
        <v>371.27771999999999</v>
      </c>
      <c r="E90" s="40">
        <v>482.84532000000002</v>
      </c>
      <c r="F90" s="40">
        <v>112.31922999999999</v>
      </c>
      <c r="G90" s="40">
        <v>1744.1068</v>
      </c>
      <c r="H90" s="40">
        <v>50</v>
      </c>
      <c r="I90" s="40">
        <v>0</v>
      </c>
      <c r="J90" s="40">
        <v>668.05617000000007</v>
      </c>
      <c r="K90" s="41">
        <f t="shared" si="1"/>
        <v>7390.8166999999994</v>
      </c>
    </row>
    <row r="91" spans="1:11" s="16" customFormat="1" x14ac:dyDescent="0.25">
      <c r="A91" s="2" t="s">
        <v>97</v>
      </c>
      <c r="B91" s="40">
        <v>3705.7452599999997</v>
      </c>
      <c r="C91" s="40">
        <v>2022.9056799999998</v>
      </c>
      <c r="D91" s="40">
        <v>971.89856000000009</v>
      </c>
      <c r="E91" s="40">
        <v>153.86559</v>
      </c>
      <c r="F91" s="40">
        <v>192.56186</v>
      </c>
      <c r="G91" s="40">
        <v>4261.9130300000006</v>
      </c>
      <c r="H91" s="40">
        <v>0</v>
      </c>
      <c r="I91" s="40">
        <v>0</v>
      </c>
      <c r="J91" s="40">
        <v>224.59173999999999</v>
      </c>
      <c r="K91" s="41">
        <f t="shared" si="1"/>
        <v>11533.48172</v>
      </c>
    </row>
    <row r="92" spans="1:11" s="16" customFormat="1" ht="12.75" customHeight="1" x14ac:dyDescent="0.25">
      <c r="A92" s="2" t="s">
        <v>98</v>
      </c>
      <c r="B92" s="40">
        <v>7002.7237000000005</v>
      </c>
      <c r="C92" s="40">
        <v>2833.9142299999999</v>
      </c>
      <c r="D92" s="40">
        <v>1209.7194399999998</v>
      </c>
      <c r="E92" s="40">
        <v>373.04354999999998</v>
      </c>
      <c r="F92" s="40">
        <v>296.90087</v>
      </c>
      <c r="G92" s="40">
        <v>6453.01883</v>
      </c>
      <c r="H92" s="40">
        <v>0</v>
      </c>
      <c r="I92" s="40">
        <v>0</v>
      </c>
      <c r="J92" s="40">
        <v>1105.4069500000001</v>
      </c>
      <c r="K92" s="41">
        <f t="shared" si="1"/>
        <v>19274.727570000003</v>
      </c>
    </row>
    <row r="93" spans="1:11" s="16" customFormat="1" x14ac:dyDescent="0.25">
      <c r="A93" s="2" t="s">
        <v>99</v>
      </c>
      <c r="B93" s="40">
        <v>1566.7710500000001</v>
      </c>
      <c r="C93" s="40">
        <v>1398.6201299999998</v>
      </c>
      <c r="D93" s="40">
        <v>287.92884999999995</v>
      </c>
      <c r="E93" s="40">
        <v>36.509010000000004</v>
      </c>
      <c r="F93" s="40">
        <v>96.188999999999993</v>
      </c>
      <c r="G93" s="40">
        <v>2808.2711300000001</v>
      </c>
      <c r="H93" s="40">
        <v>0</v>
      </c>
      <c r="I93" s="40">
        <v>679.58365000000003</v>
      </c>
      <c r="J93" s="40">
        <v>20.61675</v>
      </c>
      <c r="K93" s="41">
        <f t="shared" si="1"/>
        <v>6894.4895700000006</v>
      </c>
    </row>
    <row r="94" spans="1:11" s="16" customFormat="1" x14ac:dyDescent="0.25">
      <c r="A94" s="2" t="s">
        <v>590</v>
      </c>
      <c r="B94" s="40">
        <v>3969.9344799999999</v>
      </c>
      <c r="C94" s="40">
        <v>1418.8433500000001</v>
      </c>
      <c r="D94" s="40">
        <v>448.86359999999996</v>
      </c>
      <c r="E94" s="40">
        <v>48.70082</v>
      </c>
      <c r="F94" s="40">
        <v>458.91280999999998</v>
      </c>
      <c r="G94" s="40">
        <v>5606.7829599999995</v>
      </c>
      <c r="H94" s="40">
        <v>0</v>
      </c>
      <c r="I94" s="40">
        <v>0</v>
      </c>
      <c r="J94" s="40">
        <v>599.33910000000003</v>
      </c>
      <c r="K94" s="41">
        <f t="shared" si="1"/>
        <v>12551.377119999999</v>
      </c>
    </row>
    <row r="95" spans="1:11" s="16" customFormat="1" ht="12.75" customHeight="1" x14ac:dyDescent="0.25">
      <c r="A95" s="4" t="s">
        <v>22</v>
      </c>
      <c r="B95" s="40">
        <v>2979.9459100000004</v>
      </c>
      <c r="C95" s="40">
        <v>1693.33368</v>
      </c>
      <c r="D95" s="40">
        <v>783.3</v>
      </c>
      <c r="E95" s="40">
        <v>111.54617999999999</v>
      </c>
      <c r="F95" s="40">
        <v>126.93925999999999</v>
      </c>
      <c r="G95" s="40">
        <v>5296.9839599999996</v>
      </c>
      <c r="H95" s="40">
        <v>0</v>
      </c>
      <c r="I95" s="40">
        <v>0</v>
      </c>
      <c r="J95" s="40">
        <v>133.24551</v>
      </c>
      <c r="K95" s="41">
        <f t="shared" si="1"/>
        <v>11125.2945</v>
      </c>
    </row>
    <row r="96" spans="1:11" s="16" customFormat="1" x14ac:dyDescent="0.25">
      <c r="A96" s="2" t="s">
        <v>100</v>
      </c>
      <c r="B96" s="40">
        <v>3088.9057000000003</v>
      </c>
      <c r="C96" s="40">
        <v>1637.5591299999999</v>
      </c>
      <c r="D96" s="40">
        <v>725.28784999999993</v>
      </c>
      <c r="E96" s="40">
        <v>344.10915999999997</v>
      </c>
      <c r="F96" s="40">
        <v>229.06800000000001</v>
      </c>
      <c r="G96" s="40">
        <v>3454.0026000000003</v>
      </c>
      <c r="H96" s="40">
        <v>0</v>
      </c>
      <c r="I96" s="40">
        <v>0</v>
      </c>
      <c r="J96" s="40">
        <v>357.12468000000001</v>
      </c>
      <c r="K96" s="41">
        <f t="shared" si="1"/>
        <v>9836.0571200000013</v>
      </c>
    </row>
    <row r="97" spans="1:11" s="16" customFormat="1" ht="12.75" customHeight="1" x14ac:dyDescent="0.25">
      <c r="A97" s="2" t="s">
        <v>101</v>
      </c>
      <c r="B97" s="40">
        <v>2962.2775000000001</v>
      </c>
      <c r="C97" s="40">
        <v>1987.3878200000001</v>
      </c>
      <c r="D97" s="40">
        <v>506.04345000000001</v>
      </c>
      <c r="E97" s="40">
        <v>124.13789999999999</v>
      </c>
      <c r="F97" s="40">
        <v>72.915999999999997</v>
      </c>
      <c r="G97" s="40">
        <v>5447.1778700000004</v>
      </c>
      <c r="H97" s="40">
        <v>0</v>
      </c>
      <c r="I97" s="40">
        <v>0</v>
      </c>
      <c r="J97" s="40">
        <v>299.52945</v>
      </c>
      <c r="K97" s="41">
        <f t="shared" si="1"/>
        <v>11399.46999</v>
      </c>
    </row>
    <row r="98" spans="1:11" s="16" customFormat="1" x14ac:dyDescent="0.25">
      <c r="A98" s="2" t="s">
        <v>23</v>
      </c>
      <c r="B98" s="40">
        <v>8256.4537500000006</v>
      </c>
      <c r="C98" s="40">
        <v>3316.51674</v>
      </c>
      <c r="D98" s="40">
        <v>1498.48846</v>
      </c>
      <c r="E98" s="40">
        <v>41.169839999999994</v>
      </c>
      <c r="F98" s="40">
        <v>453.39499999999998</v>
      </c>
      <c r="G98" s="40">
        <v>15550.679039999999</v>
      </c>
      <c r="H98" s="40">
        <v>0</v>
      </c>
      <c r="I98" s="40">
        <v>0</v>
      </c>
      <c r="J98" s="40">
        <v>143.71988000000002</v>
      </c>
      <c r="K98" s="41">
        <f t="shared" si="1"/>
        <v>29260.422710000003</v>
      </c>
    </row>
    <row r="99" spans="1:11" s="16" customFormat="1" x14ac:dyDescent="0.25">
      <c r="A99" s="2" t="s">
        <v>102</v>
      </c>
      <c r="B99" s="40">
        <v>4574.7402999999995</v>
      </c>
      <c r="C99" s="40">
        <v>2796.82935</v>
      </c>
      <c r="D99" s="40">
        <v>1185.7855500000001</v>
      </c>
      <c r="E99" s="40">
        <v>196.54404</v>
      </c>
      <c r="F99" s="40">
        <v>230.32410999999999</v>
      </c>
      <c r="G99" s="40">
        <v>5832.9719800000003</v>
      </c>
      <c r="H99" s="40">
        <v>0</v>
      </c>
      <c r="I99" s="40">
        <v>0</v>
      </c>
      <c r="J99" s="40">
        <v>421.73065000000003</v>
      </c>
      <c r="K99" s="41">
        <f t="shared" si="1"/>
        <v>15238.92598</v>
      </c>
    </row>
    <row r="100" spans="1:11" s="16" customFormat="1" x14ac:dyDescent="0.25">
      <c r="A100" s="2" t="s">
        <v>24</v>
      </c>
      <c r="B100" s="40">
        <v>3697.8641299999999</v>
      </c>
      <c r="C100" s="40">
        <v>1628.8697400000001</v>
      </c>
      <c r="D100" s="40">
        <v>303.00749999999999</v>
      </c>
      <c r="E100" s="40">
        <v>201.78806</v>
      </c>
      <c r="F100" s="40">
        <v>163.40735999999998</v>
      </c>
      <c r="G100" s="40">
        <v>4392.8639599999997</v>
      </c>
      <c r="H100" s="40">
        <v>0</v>
      </c>
      <c r="I100" s="40">
        <v>0</v>
      </c>
      <c r="J100" s="40">
        <v>92.15</v>
      </c>
      <c r="K100" s="41">
        <f t="shared" si="1"/>
        <v>10479.950749999998</v>
      </c>
    </row>
    <row r="101" spans="1:11" s="16" customFormat="1" x14ac:dyDescent="0.25">
      <c r="A101" s="3" t="s">
        <v>103</v>
      </c>
      <c r="B101" s="40">
        <v>4371.8922999999995</v>
      </c>
      <c r="C101" s="40">
        <v>2684.4572799999996</v>
      </c>
      <c r="D101" s="40">
        <v>708.601</v>
      </c>
      <c r="E101" s="40">
        <v>96.543259999999989</v>
      </c>
      <c r="F101" s="40">
        <v>186.97982000000002</v>
      </c>
      <c r="G101" s="40">
        <v>4538.9757599999994</v>
      </c>
      <c r="H101" s="40">
        <v>0</v>
      </c>
      <c r="I101" s="40">
        <v>0</v>
      </c>
      <c r="J101" s="40">
        <v>135.5985</v>
      </c>
      <c r="K101" s="41">
        <f t="shared" si="1"/>
        <v>12723.047919999999</v>
      </c>
    </row>
    <row r="102" spans="1:11" s="16" customFormat="1" x14ac:dyDescent="0.25">
      <c r="A102" s="2" t="s">
        <v>104</v>
      </c>
      <c r="B102" s="40">
        <v>4362.9730999999992</v>
      </c>
      <c r="C102" s="40">
        <v>3141.3936200000003</v>
      </c>
      <c r="D102" s="40">
        <v>966.18090000000007</v>
      </c>
      <c r="E102" s="40">
        <v>216.53639000000001</v>
      </c>
      <c r="F102" s="40">
        <v>220.49453</v>
      </c>
      <c r="G102" s="40">
        <v>5734.1786700000002</v>
      </c>
      <c r="H102" s="40">
        <v>0</v>
      </c>
      <c r="I102" s="40">
        <v>0</v>
      </c>
      <c r="J102" s="40">
        <v>889.221</v>
      </c>
      <c r="K102" s="41">
        <f t="shared" si="1"/>
        <v>15530.978209999999</v>
      </c>
    </row>
    <row r="103" spans="1:11" s="16" customFormat="1" x14ac:dyDescent="0.25">
      <c r="A103" s="2" t="s">
        <v>25</v>
      </c>
      <c r="B103" s="40">
        <v>4966.8145500000001</v>
      </c>
      <c r="C103" s="40">
        <v>2215.1123299999999</v>
      </c>
      <c r="D103" s="40">
        <v>497.25009999999997</v>
      </c>
      <c r="E103" s="40">
        <v>97.946130000000011</v>
      </c>
      <c r="F103" s="40">
        <v>152.477</v>
      </c>
      <c r="G103" s="40">
        <v>6632.5883899999999</v>
      </c>
      <c r="H103" s="40">
        <v>0</v>
      </c>
      <c r="I103" s="40">
        <v>0</v>
      </c>
      <c r="J103" s="40">
        <v>71.427000000000007</v>
      </c>
      <c r="K103" s="41">
        <f t="shared" si="1"/>
        <v>14633.6155</v>
      </c>
    </row>
    <row r="104" spans="1:11" s="16" customFormat="1" x14ac:dyDescent="0.25">
      <c r="A104" s="2" t="s">
        <v>105</v>
      </c>
      <c r="B104" s="40">
        <v>4433.4497499999998</v>
      </c>
      <c r="C104" s="40">
        <v>2790.5594700000001</v>
      </c>
      <c r="D104" s="40">
        <v>2122.6688899999999</v>
      </c>
      <c r="E104" s="40">
        <v>171.03541000000001</v>
      </c>
      <c r="F104" s="40">
        <v>249.83963</v>
      </c>
      <c r="G104" s="40">
        <v>6306.5997500000003</v>
      </c>
      <c r="H104" s="40">
        <v>0</v>
      </c>
      <c r="I104" s="40">
        <v>0</v>
      </c>
      <c r="J104" s="40">
        <v>434.44529999999997</v>
      </c>
      <c r="K104" s="41">
        <f t="shared" si="1"/>
        <v>16508.5982</v>
      </c>
    </row>
    <row r="105" spans="1:11" s="16" customFormat="1" x14ac:dyDescent="0.25">
      <c r="A105" s="2" t="s">
        <v>106</v>
      </c>
      <c r="B105" s="40">
        <v>899.07204000000002</v>
      </c>
      <c r="C105" s="40">
        <v>651.97063000000003</v>
      </c>
      <c r="D105" s="40">
        <v>237.22284999999999</v>
      </c>
      <c r="E105" s="40">
        <v>83.681839999999994</v>
      </c>
      <c r="F105" s="40">
        <v>40.996000000000002</v>
      </c>
      <c r="G105" s="40">
        <v>1355.28124</v>
      </c>
      <c r="H105" s="40">
        <v>0</v>
      </c>
      <c r="I105" s="40">
        <v>0</v>
      </c>
      <c r="J105" s="40">
        <v>137.83175</v>
      </c>
      <c r="K105" s="41">
        <f t="shared" si="1"/>
        <v>3406.0563499999998</v>
      </c>
    </row>
    <row r="106" spans="1:11" s="16" customFormat="1" x14ac:dyDescent="0.25">
      <c r="A106" s="2" t="s">
        <v>107</v>
      </c>
      <c r="B106" s="40">
        <v>2095.0050900000001</v>
      </c>
      <c r="C106" s="40">
        <v>1807.6989599999999</v>
      </c>
      <c r="D106" s="40">
        <v>178.49797000000001</v>
      </c>
      <c r="E106" s="40">
        <v>103.32985000000001</v>
      </c>
      <c r="F106" s="40">
        <v>249.73176000000001</v>
      </c>
      <c r="G106" s="40">
        <v>1515.7671399999999</v>
      </c>
      <c r="H106" s="40">
        <v>0</v>
      </c>
      <c r="I106" s="40">
        <v>0</v>
      </c>
      <c r="J106" s="40">
        <v>333.43036000000001</v>
      </c>
      <c r="K106" s="41">
        <f t="shared" si="1"/>
        <v>6283.4611299999997</v>
      </c>
    </row>
    <row r="107" spans="1:11" s="16" customFormat="1" x14ac:dyDescent="0.25">
      <c r="A107" s="2" t="s">
        <v>108</v>
      </c>
      <c r="B107" s="40">
        <v>2532.0760499999997</v>
      </c>
      <c r="C107" s="40">
        <v>1229.3346899999999</v>
      </c>
      <c r="D107" s="40">
        <v>357.82481000000001</v>
      </c>
      <c r="E107" s="40">
        <v>89.241830000000007</v>
      </c>
      <c r="F107" s="40">
        <v>128.01933</v>
      </c>
      <c r="G107" s="40">
        <v>4185.37878</v>
      </c>
      <c r="H107" s="40">
        <v>0</v>
      </c>
      <c r="I107" s="40">
        <v>0</v>
      </c>
      <c r="J107" s="40">
        <v>96.502250000000004</v>
      </c>
      <c r="K107" s="41">
        <f t="shared" si="1"/>
        <v>8618.3777399999981</v>
      </c>
    </row>
    <row r="108" spans="1:11" s="16" customFormat="1" x14ac:dyDescent="0.25">
      <c r="A108" s="2" t="s">
        <v>109</v>
      </c>
      <c r="B108" s="40">
        <v>589.44596999999999</v>
      </c>
      <c r="C108" s="40">
        <v>796.13043000000005</v>
      </c>
      <c r="D108" s="40">
        <v>429.62736999999998</v>
      </c>
      <c r="E108" s="40">
        <v>76.819550000000007</v>
      </c>
      <c r="F108" s="40">
        <v>49.723489999999998</v>
      </c>
      <c r="G108" s="40">
        <v>2465.70109</v>
      </c>
      <c r="H108" s="40">
        <v>0</v>
      </c>
      <c r="I108" s="40">
        <v>0</v>
      </c>
      <c r="J108" s="40">
        <v>338.71449999999999</v>
      </c>
      <c r="K108" s="41">
        <f t="shared" si="1"/>
        <v>4746.1624000000002</v>
      </c>
    </row>
    <row r="109" spans="1:11" s="23" customFormat="1" ht="18" customHeight="1" x14ac:dyDescent="0.25">
      <c r="A109" s="17" t="s">
        <v>224</v>
      </c>
      <c r="B109" s="43">
        <v>715358.22933999973</v>
      </c>
      <c r="C109" s="43">
        <v>372951.94512999983</v>
      </c>
      <c r="D109" s="43">
        <v>109189.53923000002</v>
      </c>
      <c r="E109" s="43">
        <v>46549.596889999993</v>
      </c>
      <c r="F109" s="43">
        <v>24437.661130000008</v>
      </c>
      <c r="G109" s="43">
        <v>808851.11144000012</v>
      </c>
      <c r="H109" s="43">
        <v>60</v>
      </c>
      <c r="I109" s="43">
        <v>1692.5738699999999</v>
      </c>
      <c r="J109" s="43">
        <v>67433.471539999999</v>
      </c>
      <c r="K109" s="43">
        <v>2146524.1285700002</v>
      </c>
    </row>
    <row r="110" spans="1:11" s="23" customFormat="1" ht="18" customHeight="1" x14ac:dyDescent="0.15">
      <c r="A110" s="23" t="s">
        <v>225</v>
      </c>
      <c r="B110" s="44"/>
      <c r="C110" s="44"/>
      <c r="D110" s="45"/>
      <c r="E110" s="44"/>
      <c r="F110" s="45"/>
      <c r="G110" s="44"/>
      <c r="H110" s="44"/>
      <c r="I110" s="44"/>
      <c r="J110" s="45"/>
      <c r="K110" s="44"/>
    </row>
    <row r="111" spans="1:11" x14ac:dyDescent="0.25">
      <c r="B111" s="16"/>
      <c r="C111" s="16"/>
      <c r="D111" s="16"/>
      <c r="E111" s="59"/>
      <c r="F111" s="16"/>
      <c r="G111" s="16"/>
      <c r="H111" s="16"/>
      <c r="I111" s="16"/>
      <c r="J111" s="16"/>
      <c r="K111" s="60"/>
    </row>
    <row r="112" spans="1:11" x14ac:dyDescent="0.25">
      <c r="B112" s="16"/>
      <c r="C112" s="16"/>
      <c r="D112" s="16"/>
      <c r="E112" s="59"/>
      <c r="F112" s="16"/>
      <c r="G112" s="16"/>
      <c r="H112" s="16"/>
      <c r="I112" s="16"/>
      <c r="J112" s="16"/>
      <c r="K112" s="60"/>
    </row>
    <row r="113" spans="2:11" x14ac:dyDescent="0.25">
      <c r="B113" s="16"/>
      <c r="C113" s="16"/>
      <c r="D113" s="16"/>
      <c r="E113" s="59"/>
      <c r="F113" s="16"/>
      <c r="G113" s="16"/>
      <c r="H113" s="16"/>
      <c r="I113" s="16"/>
      <c r="J113" s="16"/>
      <c r="K113" s="60"/>
    </row>
    <row r="114" spans="2:11" x14ac:dyDescent="0.25">
      <c r="B114" s="16"/>
      <c r="C114" s="16"/>
      <c r="D114" s="16"/>
      <c r="E114" s="59"/>
      <c r="F114" s="16"/>
      <c r="G114" s="16"/>
      <c r="H114" s="16"/>
      <c r="I114" s="16"/>
      <c r="J114" s="16"/>
      <c r="K114" s="60"/>
    </row>
    <row r="115" spans="2:11" x14ac:dyDescent="0.25">
      <c r="B115" s="16"/>
      <c r="C115" s="16"/>
      <c r="D115" s="16"/>
      <c r="E115" s="59"/>
      <c r="F115" s="16"/>
      <c r="G115" s="16"/>
      <c r="H115" s="16"/>
      <c r="I115" s="16"/>
      <c r="J115" s="16"/>
      <c r="K115" s="60"/>
    </row>
    <row r="116" spans="2:11" x14ac:dyDescent="0.25">
      <c r="B116" s="16"/>
      <c r="C116" s="16"/>
      <c r="D116" s="16"/>
      <c r="E116" s="59"/>
      <c r="F116" s="16"/>
      <c r="G116" s="16"/>
      <c r="H116" s="16"/>
      <c r="I116" s="16"/>
      <c r="J116" s="16"/>
      <c r="K116" s="60"/>
    </row>
    <row r="117" spans="2:11" x14ac:dyDescent="0.25">
      <c r="B117" s="16"/>
      <c r="C117" s="16"/>
      <c r="D117" s="16"/>
      <c r="E117" s="59"/>
      <c r="F117" s="16"/>
      <c r="G117" s="16"/>
      <c r="H117" s="16"/>
      <c r="I117" s="16"/>
      <c r="J117" s="16"/>
      <c r="K117" s="60"/>
    </row>
    <row r="118" spans="2:11" x14ac:dyDescent="0.25">
      <c r="B118" s="16"/>
      <c r="C118" s="16"/>
      <c r="D118" s="16"/>
      <c r="E118" s="59"/>
      <c r="F118" s="16"/>
      <c r="G118" s="16"/>
      <c r="H118" s="16"/>
      <c r="I118" s="16"/>
      <c r="J118" s="16"/>
      <c r="K118" s="60"/>
    </row>
    <row r="119" spans="2:11" x14ac:dyDescent="0.25">
      <c r="B119" s="16"/>
      <c r="C119" s="16"/>
      <c r="D119" s="16"/>
      <c r="E119" s="59"/>
      <c r="F119" s="16"/>
      <c r="G119" s="16"/>
      <c r="H119" s="16"/>
      <c r="I119" s="16"/>
      <c r="J119" s="16"/>
      <c r="K119" s="60"/>
    </row>
    <row r="120" spans="2:11" x14ac:dyDescent="0.25">
      <c r="B120" s="16"/>
      <c r="C120" s="16"/>
      <c r="D120" s="16"/>
      <c r="E120" s="59"/>
      <c r="F120" s="16"/>
      <c r="G120" s="16"/>
      <c r="H120" s="16"/>
      <c r="I120" s="16"/>
      <c r="J120" s="16"/>
      <c r="K120" s="60"/>
    </row>
    <row r="121" spans="2:11" x14ac:dyDescent="0.25">
      <c r="B121" s="16"/>
      <c r="C121" s="16"/>
      <c r="D121" s="16"/>
      <c r="E121" s="59"/>
      <c r="F121" s="16"/>
      <c r="G121" s="16"/>
      <c r="H121" s="16"/>
      <c r="I121" s="16"/>
      <c r="J121" s="16"/>
      <c r="K121" s="60"/>
    </row>
    <row r="122" spans="2:11" x14ac:dyDescent="0.25">
      <c r="B122" s="16"/>
      <c r="C122" s="16"/>
      <c r="D122" s="16"/>
      <c r="E122" s="59"/>
      <c r="F122" s="16"/>
      <c r="G122" s="16"/>
      <c r="H122" s="16"/>
      <c r="I122" s="16"/>
      <c r="J122" s="16"/>
      <c r="K122" s="60"/>
    </row>
    <row r="123" spans="2:11" x14ac:dyDescent="0.25">
      <c r="B123" s="16"/>
      <c r="C123" s="16"/>
      <c r="D123" s="16"/>
      <c r="E123" s="59"/>
      <c r="F123" s="16"/>
      <c r="G123" s="16"/>
      <c r="H123" s="16"/>
      <c r="I123" s="16"/>
      <c r="J123" s="16"/>
      <c r="K123" s="60"/>
    </row>
    <row r="124" spans="2:11" x14ac:dyDescent="0.25">
      <c r="B124" s="16"/>
      <c r="C124" s="16"/>
      <c r="D124" s="16"/>
      <c r="E124" s="59"/>
      <c r="F124" s="16"/>
      <c r="G124" s="16"/>
      <c r="H124" s="16"/>
      <c r="I124" s="16"/>
      <c r="J124" s="16"/>
      <c r="K124" s="60"/>
    </row>
    <row r="125" spans="2:11" x14ac:dyDescent="0.25">
      <c r="B125" s="16"/>
      <c r="C125" s="16"/>
      <c r="D125" s="16"/>
      <c r="E125" s="59"/>
      <c r="F125" s="16"/>
      <c r="G125" s="16"/>
      <c r="H125" s="16"/>
      <c r="I125" s="16"/>
      <c r="J125" s="16"/>
      <c r="K125" s="60"/>
    </row>
    <row r="126" spans="2:11" x14ac:dyDescent="0.25">
      <c r="B126" s="16"/>
      <c r="C126" s="16"/>
      <c r="D126" s="16"/>
      <c r="E126" s="59"/>
      <c r="F126" s="16"/>
      <c r="G126" s="16"/>
      <c r="H126" s="16"/>
      <c r="I126" s="16"/>
      <c r="J126" s="16"/>
      <c r="K126" s="60"/>
    </row>
    <row r="127" spans="2:11" x14ac:dyDescent="0.25">
      <c r="B127" s="16"/>
      <c r="C127" s="16"/>
      <c r="D127" s="16"/>
      <c r="E127" s="59"/>
      <c r="F127" s="16"/>
      <c r="G127" s="16"/>
      <c r="H127" s="16"/>
      <c r="I127" s="16"/>
      <c r="J127" s="16"/>
      <c r="K127" s="60"/>
    </row>
    <row r="128" spans="2:11" x14ac:dyDescent="0.25">
      <c r="B128" s="16"/>
      <c r="C128" s="16"/>
      <c r="D128" s="16"/>
      <c r="E128" s="59"/>
      <c r="F128" s="16"/>
      <c r="G128" s="16"/>
      <c r="H128" s="16"/>
      <c r="I128" s="16"/>
      <c r="J128" s="16"/>
      <c r="K128" s="60"/>
    </row>
    <row r="129" spans="2:11" x14ac:dyDescent="0.25">
      <c r="B129" s="16"/>
      <c r="C129" s="16"/>
      <c r="D129" s="16"/>
      <c r="E129" s="59"/>
      <c r="F129" s="16"/>
      <c r="G129" s="16"/>
      <c r="H129" s="16"/>
      <c r="I129" s="16"/>
      <c r="J129" s="16"/>
      <c r="K129" s="60"/>
    </row>
    <row r="130" spans="2:11" x14ac:dyDescent="0.25">
      <c r="B130" s="16"/>
      <c r="C130" s="16"/>
      <c r="D130" s="16"/>
      <c r="E130" s="59"/>
      <c r="F130" s="16"/>
      <c r="G130" s="16"/>
      <c r="H130" s="16"/>
      <c r="I130" s="16"/>
      <c r="J130" s="16"/>
      <c r="K130" s="60"/>
    </row>
    <row r="131" spans="2:11" x14ac:dyDescent="0.25">
      <c r="B131" s="16"/>
      <c r="C131" s="16"/>
      <c r="D131" s="16"/>
      <c r="E131" s="59"/>
      <c r="F131" s="16"/>
      <c r="G131" s="16"/>
      <c r="H131" s="16"/>
      <c r="I131" s="16"/>
      <c r="J131" s="16"/>
      <c r="K131" s="60"/>
    </row>
    <row r="132" spans="2:11" x14ac:dyDescent="0.25">
      <c r="B132" s="16"/>
      <c r="C132" s="16"/>
      <c r="D132" s="16"/>
      <c r="E132" s="59"/>
      <c r="F132" s="16"/>
      <c r="G132" s="16"/>
      <c r="H132" s="16"/>
      <c r="I132" s="16"/>
      <c r="J132" s="16"/>
      <c r="K132" s="60"/>
    </row>
    <row r="133" spans="2:11" x14ac:dyDescent="0.25">
      <c r="B133" s="16"/>
      <c r="C133" s="16"/>
      <c r="D133" s="16"/>
      <c r="E133" s="59"/>
      <c r="F133" s="16"/>
      <c r="G133" s="16"/>
      <c r="H133" s="16"/>
      <c r="I133" s="16"/>
      <c r="J133" s="16"/>
      <c r="K133" s="60"/>
    </row>
    <row r="134" spans="2:11" x14ac:dyDescent="0.25">
      <c r="B134" s="16"/>
      <c r="C134" s="16"/>
      <c r="D134" s="16"/>
      <c r="E134" s="59"/>
      <c r="F134" s="16"/>
      <c r="G134" s="16"/>
      <c r="H134" s="16"/>
      <c r="I134" s="16"/>
      <c r="J134" s="16"/>
      <c r="K134" s="60"/>
    </row>
    <row r="135" spans="2:11" x14ac:dyDescent="0.25">
      <c r="B135" s="16"/>
      <c r="C135" s="16"/>
      <c r="D135" s="16"/>
      <c r="E135" s="59"/>
      <c r="F135" s="16"/>
      <c r="G135" s="16"/>
      <c r="H135" s="16"/>
      <c r="I135" s="16"/>
      <c r="J135" s="16"/>
      <c r="K135" s="60"/>
    </row>
    <row r="136" spans="2:11" x14ac:dyDescent="0.25">
      <c r="B136" s="16"/>
      <c r="C136" s="16"/>
      <c r="D136" s="16"/>
      <c r="E136" s="59"/>
      <c r="F136" s="16"/>
      <c r="G136" s="16"/>
      <c r="H136" s="16"/>
      <c r="I136" s="16"/>
      <c r="J136" s="16"/>
      <c r="K136" s="60"/>
    </row>
    <row r="137" spans="2:11" x14ac:dyDescent="0.25">
      <c r="B137" s="16"/>
      <c r="C137" s="16"/>
      <c r="D137" s="16"/>
      <c r="E137" s="59"/>
      <c r="F137" s="16"/>
      <c r="G137" s="16"/>
      <c r="H137" s="16"/>
      <c r="I137" s="16"/>
      <c r="J137" s="16"/>
      <c r="K137" s="60"/>
    </row>
    <row r="138" spans="2:11" x14ac:dyDescent="0.25">
      <c r="B138" s="16"/>
      <c r="C138" s="16"/>
      <c r="D138" s="16"/>
      <c r="E138" s="59"/>
      <c r="F138" s="16"/>
      <c r="G138" s="16"/>
      <c r="H138" s="16"/>
      <c r="I138" s="16"/>
      <c r="J138" s="16"/>
      <c r="K138" s="60"/>
    </row>
    <row r="139" spans="2:11" x14ac:dyDescent="0.25">
      <c r="B139" s="16"/>
      <c r="C139" s="16"/>
      <c r="D139" s="16"/>
      <c r="E139" s="59"/>
      <c r="F139" s="16"/>
      <c r="G139" s="16"/>
      <c r="H139" s="16"/>
      <c r="I139" s="16"/>
      <c r="J139" s="16"/>
      <c r="K139" s="60"/>
    </row>
    <row r="140" spans="2:11" x14ac:dyDescent="0.25">
      <c r="B140" s="16"/>
      <c r="C140" s="16"/>
      <c r="D140" s="16"/>
      <c r="E140" s="59"/>
      <c r="F140" s="16"/>
      <c r="G140" s="16"/>
      <c r="H140" s="16"/>
      <c r="I140" s="16"/>
      <c r="J140" s="16"/>
      <c r="K140" s="60"/>
    </row>
    <row r="141" spans="2:11" x14ac:dyDescent="0.25">
      <c r="B141" s="16"/>
      <c r="C141" s="16"/>
      <c r="D141" s="16"/>
      <c r="E141" s="59"/>
      <c r="F141" s="16"/>
      <c r="G141" s="16"/>
      <c r="H141" s="16"/>
      <c r="I141" s="16"/>
      <c r="J141" s="16"/>
      <c r="K141" s="60"/>
    </row>
    <row r="142" spans="2:11" x14ac:dyDescent="0.25">
      <c r="B142" s="16"/>
      <c r="C142" s="16"/>
      <c r="D142" s="16"/>
      <c r="E142" s="59"/>
      <c r="F142" s="16"/>
      <c r="G142" s="16"/>
      <c r="H142" s="16"/>
      <c r="I142" s="16"/>
      <c r="J142" s="16"/>
      <c r="K142" s="60"/>
    </row>
    <row r="143" spans="2:11" x14ac:dyDescent="0.25">
      <c r="B143" s="16"/>
      <c r="C143" s="16"/>
      <c r="D143" s="16"/>
      <c r="E143" s="59"/>
      <c r="F143" s="16"/>
      <c r="G143" s="16"/>
      <c r="H143" s="16"/>
      <c r="I143" s="16"/>
      <c r="J143" s="16"/>
      <c r="K143" s="60"/>
    </row>
    <row r="144" spans="2:11" x14ac:dyDescent="0.25">
      <c r="B144" s="16"/>
      <c r="C144" s="16"/>
      <c r="D144" s="16"/>
      <c r="E144" s="59"/>
      <c r="F144" s="16"/>
      <c r="G144" s="16"/>
      <c r="H144" s="16"/>
      <c r="I144" s="16"/>
      <c r="J144" s="16"/>
      <c r="K144" s="60"/>
    </row>
    <row r="145" spans="2:11" x14ac:dyDescent="0.25">
      <c r="B145" s="16"/>
      <c r="C145" s="16"/>
      <c r="D145" s="16"/>
      <c r="E145" s="59"/>
      <c r="F145" s="16"/>
      <c r="G145" s="16"/>
      <c r="H145" s="16"/>
      <c r="I145" s="16"/>
      <c r="J145" s="16"/>
      <c r="K145" s="60"/>
    </row>
    <row r="146" spans="2:11" x14ac:dyDescent="0.25">
      <c r="B146" s="16"/>
      <c r="C146" s="16"/>
      <c r="D146" s="16"/>
      <c r="E146" s="59"/>
      <c r="F146" s="16"/>
      <c r="G146" s="16"/>
      <c r="H146" s="16"/>
      <c r="I146" s="16"/>
      <c r="J146" s="16"/>
      <c r="K146" s="60"/>
    </row>
    <row r="147" spans="2:11" x14ac:dyDescent="0.25">
      <c r="B147" s="16"/>
      <c r="C147" s="16"/>
      <c r="D147" s="16"/>
      <c r="E147" s="59"/>
      <c r="F147" s="16"/>
      <c r="G147" s="16"/>
      <c r="H147" s="16"/>
      <c r="I147" s="16"/>
      <c r="J147" s="16"/>
      <c r="K147" s="60"/>
    </row>
    <row r="148" spans="2:11" x14ac:dyDescent="0.25">
      <c r="B148" s="16"/>
      <c r="C148" s="16"/>
      <c r="D148" s="16"/>
      <c r="E148" s="59"/>
      <c r="F148" s="16"/>
      <c r="G148" s="16"/>
      <c r="H148" s="16"/>
      <c r="I148" s="16"/>
      <c r="J148" s="16"/>
      <c r="K148" s="60"/>
    </row>
    <row r="149" spans="2:11" x14ac:dyDescent="0.25">
      <c r="B149" s="16"/>
      <c r="C149" s="16"/>
      <c r="D149" s="16"/>
      <c r="E149" s="59"/>
      <c r="F149" s="16"/>
      <c r="G149" s="16"/>
      <c r="H149" s="16"/>
      <c r="I149" s="16"/>
      <c r="J149" s="16"/>
      <c r="K149" s="60"/>
    </row>
    <row r="150" spans="2:11" x14ac:dyDescent="0.25">
      <c r="B150" s="16"/>
      <c r="C150" s="16"/>
      <c r="D150" s="16"/>
      <c r="E150" s="59"/>
      <c r="F150" s="16"/>
      <c r="G150" s="16"/>
      <c r="H150" s="16"/>
      <c r="I150" s="16"/>
      <c r="J150" s="16"/>
      <c r="K150" s="60"/>
    </row>
    <row r="151" spans="2:11" x14ac:dyDescent="0.25">
      <c r="B151" s="16"/>
      <c r="C151" s="16"/>
      <c r="D151" s="16"/>
      <c r="E151" s="59"/>
      <c r="F151" s="16"/>
      <c r="G151" s="16"/>
      <c r="H151" s="16"/>
      <c r="I151" s="16"/>
      <c r="J151" s="16"/>
      <c r="K151" s="60"/>
    </row>
    <row r="152" spans="2:11" x14ac:dyDescent="0.25">
      <c r="B152" s="16"/>
      <c r="C152" s="16"/>
      <c r="D152" s="16"/>
      <c r="E152" s="59"/>
      <c r="F152" s="16"/>
      <c r="G152" s="16"/>
      <c r="H152" s="16"/>
      <c r="I152" s="16"/>
      <c r="J152" s="16"/>
      <c r="K152" s="60"/>
    </row>
    <row r="153" spans="2:11" x14ac:dyDescent="0.25">
      <c r="B153" s="16"/>
      <c r="C153" s="16"/>
      <c r="D153" s="16"/>
      <c r="E153" s="59"/>
      <c r="F153" s="16"/>
      <c r="G153" s="16"/>
      <c r="H153" s="16"/>
      <c r="I153" s="16"/>
      <c r="J153" s="16"/>
      <c r="K153" s="60"/>
    </row>
    <row r="154" spans="2:11" x14ac:dyDescent="0.25">
      <c r="B154" s="16"/>
      <c r="C154" s="16"/>
      <c r="D154" s="16"/>
      <c r="E154" s="59"/>
      <c r="F154" s="16"/>
      <c r="G154" s="16"/>
      <c r="H154" s="16"/>
      <c r="I154" s="16"/>
      <c r="J154" s="16"/>
      <c r="K154" s="60"/>
    </row>
    <row r="155" spans="2:11" x14ac:dyDescent="0.25">
      <c r="B155" s="16"/>
      <c r="C155" s="16"/>
      <c r="D155" s="16"/>
      <c r="E155" s="59"/>
      <c r="F155" s="16"/>
      <c r="G155" s="16"/>
      <c r="H155" s="16"/>
      <c r="I155" s="16"/>
      <c r="J155" s="16"/>
      <c r="K155" s="60"/>
    </row>
    <row r="156" spans="2:11" x14ac:dyDescent="0.25">
      <c r="B156" s="16"/>
      <c r="C156" s="16"/>
      <c r="D156" s="16"/>
      <c r="E156" s="59"/>
      <c r="F156" s="16"/>
      <c r="G156" s="16"/>
      <c r="H156" s="16"/>
      <c r="I156" s="16"/>
      <c r="J156" s="16"/>
      <c r="K156" s="60"/>
    </row>
    <row r="157" spans="2:11" x14ac:dyDescent="0.25">
      <c r="B157" s="16"/>
      <c r="C157" s="16"/>
      <c r="D157" s="16"/>
      <c r="E157" s="59"/>
      <c r="F157" s="16"/>
      <c r="G157" s="16"/>
      <c r="H157" s="16"/>
      <c r="I157" s="16"/>
      <c r="J157" s="16"/>
      <c r="K157" s="60"/>
    </row>
    <row r="158" spans="2:11" x14ac:dyDescent="0.25">
      <c r="B158" s="16"/>
      <c r="C158" s="16"/>
      <c r="D158" s="16"/>
      <c r="E158" s="59"/>
      <c r="F158" s="16"/>
      <c r="G158" s="16"/>
      <c r="H158" s="16"/>
      <c r="I158" s="16"/>
      <c r="J158" s="16"/>
      <c r="K158" s="60"/>
    </row>
    <row r="159" spans="2:11" x14ac:dyDescent="0.25">
      <c r="B159" s="16"/>
      <c r="C159" s="16"/>
      <c r="D159" s="16"/>
      <c r="E159" s="59"/>
      <c r="F159" s="16"/>
      <c r="G159" s="16"/>
      <c r="H159" s="16"/>
      <c r="I159" s="16"/>
      <c r="J159" s="16"/>
      <c r="K159" s="60"/>
    </row>
    <row r="160" spans="2:11" x14ac:dyDescent="0.25">
      <c r="B160" s="16"/>
      <c r="C160" s="16"/>
      <c r="D160" s="16"/>
      <c r="E160" s="59"/>
      <c r="F160" s="16"/>
      <c r="G160" s="16"/>
      <c r="H160" s="16"/>
      <c r="I160" s="16"/>
      <c r="J160" s="16"/>
      <c r="K160" s="60"/>
    </row>
    <row r="161" spans="2:11" x14ac:dyDescent="0.25">
      <c r="B161" s="16"/>
      <c r="C161" s="16"/>
      <c r="D161" s="16"/>
      <c r="E161" s="59"/>
      <c r="F161" s="16"/>
      <c r="G161" s="16"/>
      <c r="H161" s="16"/>
      <c r="I161" s="16"/>
      <c r="J161" s="16"/>
      <c r="K161" s="60"/>
    </row>
    <row r="162" spans="2:11" x14ac:dyDescent="0.25">
      <c r="B162" s="16"/>
      <c r="C162" s="16"/>
      <c r="D162" s="16"/>
      <c r="E162" s="59"/>
      <c r="F162" s="16"/>
      <c r="G162" s="16"/>
      <c r="H162" s="16"/>
      <c r="I162" s="16"/>
      <c r="J162" s="16"/>
      <c r="K162" s="60"/>
    </row>
    <row r="163" spans="2:11" x14ac:dyDescent="0.25">
      <c r="B163" s="16"/>
      <c r="C163" s="16"/>
      <c r="D163" s="16"/>
      <c r="E163" s="59"/>
      <c r="F163" s="16"/>
      <c r="G163" s="16"/>
      <c r="H163" s="16"/>
      <c r="I163" s="16"/>
      <c r="J163" s="16"/>
      <c r="K163" s="60"/>
    </row>
    <row r="164" spans="2:11" x14ac:dyDescent="0.25">
      <c r="B164" s="16"/>
      <c r="C164" s="16"/>
      <c r="D164" s="16"/>
      <c r="E164" s="59"/>
      <c r="F164" s="16"/>
      <c r="G164" s="16"/>
      <c r="H164" s="16"/>
      <c r="I164" s="16"/>
      <c r="J164" s="16"/>
      <c r="K164" s="60"/>
    </row>
    <row r="165" spans="2:11" x14ac:dyDescent="0.25">
      <c r="B165" s="16"/>
      <c r="C165" s="16"/>
      <c r="D165" s="16"/>
      <c r="E165" s="59"/>
      <c r="F165" s="16"/>
      <c r="G165" s="16"/>
      <c r="H165" s="16"/>
      <c r="I165" s="16"/>
      <c r="J165" s="16"/>
      <c r="K165" s="60"/>
    </row>
    <row r="166" spans="2:11" x14ac:dyDescent="0.25">
      <c r="B166" s="16"/>
      <c r="C166" s="16"/>
      <c r="D166" s="16"/>
      <c r="E166" s="59"/>
      <c r="F166" s="16"/>
      <c r="G166" s="16"/>
      <c r="H166" s="16"/>
      <c r="I166" s="16"/>
      <c r="J166" s="16"/>
      <c r="K166" s="60"/>
    </row>
    <row r="167" spans="2:11" x14ac:dyDescent="0.25">
      <c r="B167" s="16"/>
      <c r="C167" s="16"/>
      <c r="D167" s="16"/>
      <c r="E167" s="59"/>
      <c r="F167" s="16"/>
      <c r="G167" s="16"/>
      <c r="H167" s="16"/>
      <c r="I167" s="16"/>
      <c r="J167" s="16"/>
      <c r="K167" s="60"/>
    </row>
    <row r="168" spans="2:11" x14ac:dyDescent="0.25">
      <c r="B168" s="16"/>
      <c r="C168" s="16"/>
      <c r="D168" s="16"/>
      <c r="E168" s="59"/>
      <c r="F168" s="16"/>
      <c r="G168" s="16"/>
      <c r="H168" s="16"/>
      <c r="I168" s="16"/>
      <c r="J168" s="16"/>
      <c r="K168" s="60"/>
    </row>
    <row r="169" spans="2:11" x14ac:dyDescent="0.25">
      <c r="B169" s="16"/>
      <c r="C169" s="16"/>
      <c r="D169" s="16"/>
      <c r="E169" s="59"/>
      <c r="F169" s="16"/>
      <c r="G169" s="16"/>
      <c r="H169" s="16"/>
      <c r="I169" s="16"/>
      <c r="J169" s="16"/>
      <c r="K169" s="60"/>
    </row>
    <row r="170" spans="2:11" x14ac:dyDescent="0.25">
      <c r="B170" s="16"/>
      <c r="C170" s="16"/>
      <c r="D170" s="16"/>
      <c r="E170" s="59"/>
      <c r="F170" s="16"/>
      <c r="G170" s="16"/>
      <c r="H170" s="16"/>
      <c r="I170" s="16"/>
      <c r="J170" s="16"/>
      <c r="K170" s="60"/>
    </row>
    <row r="171" spans="2:11" x14ac:dyDescent="0.25">
      <c r="B171" s="16"/>
      <c r="C171" s="16"/>
      <c r="D171" s="16"/>
      <c r="E171" s="59"/>
      <c r="F171" s="16"/>
      <c r="G171" s="16"/>
      <c r="H171" s="16"/>
      <c r="I171" s="16"/>
      <c r="J171" s="16"/>
      <c r="K171" s="60"/>
    </row>
    <row r="172" spans="2:11" x14ac:dyDescent="0.25">
      <c r="B172" s="16"/>
      <c r="C172" s="16"/>
      <c r="D172" s="16"/>
      <c r="E172" s="59"/>
      <c r="F172" s="16"/>
      <c r="G172" s="16"/>
      <c r="H172" s="16"/>
      <c r="I172" s="16"/>
      <c r="J172" s="16"/>
      <c r="K172" s="60"/>
    </row>
    <row r="173" spans="2:11" x14ac:dyDescent="0.25">
      <c r="B173" s="16"/>
      <c r="C173" s="16"/>
      <c r="D173" s="16"/>
      <c r="E173" s="59"/>
      <c r="F173" s="16"/>
      <c r="G173" s="16"/>
      <c r="H173" s="16"/>
      <c r="I173" s="16"/>
      <c r="J173" s="16"/>
      <c r="K173" s="60"/>
    </row>
    <row r="174" spans="2:11" x14ac:dyDescent="0.25">
      <c r="B174" s="16"/>
      <c r="C174" s="16"/>
      <c r="D174" s="16"/>
      <c r="E174" s="59"/>
      <c r="F174" s="16"/>
      <c r="G174" s="16"/>
      <c r="H174" s="16"/>
      <c r="I174" s="16"/>
      <c r="J174" s="16"/>
      <c r="K174" s="60"/>
    </row>
    <row r="175" spans="2:11" x14ac:dyDescent="0.25">
      <c r="B175" s="16"/>
      <c r="C175" s="16"/>
      <c r="D175" s="16"/>
      <c r="E175" s="59"/>
      <c r="F175" s="16"/>
      <c r="G175" s="16"/>
      <c r="H175" s="16"/>
      <c r="I175" s="16"/>
      <c r="J175" s="16"/>
      <c r="K175" s="60"/>
    </row>
    <row r="176" spans="2:11" x14ac:dyDescent="0.25">
      <c r="B176" s="16"/>
      <c r="C176" s="16"/>
      <c r="D176" s="16"/>
      <c r="E176" s="59"/>
      <c r="F176" s="16"/>
      <c r="G176" s="16"/>
      <c r="H176" s="16"/>
      <c r="I176" s="16"/>
      <c r="J176" s="16"/>
      <c r="K176" s="60"/>
    </row>
    <row r="177" spans="2:11" x14ac:dyDescent="0.25">
      <c r="B177" s="16"/>
      <c r="C177" s="16"/>
      <c r="D177" s="16"/>
      <c r="E177" s="59"/>
      <c r="F177" s="16"/>
      <c r="G177" s="16"/>
      <c r="H177" s="16"/>
      <c r="I177" s="16"/>
      <c r="J177" s="16"/>
      <c r="K177" s="60"/>
    </row>
    <row r="178" spans="2:11" x14ac:dyDescent="0.25">
      <c r="B178" s="16"/>
      <c r="C178" s="16"/>
      <c r="D178" s="16"/>
      <c r="E178" s="59"/>
      <c r="F178" s="16"/>
      <c r="G178" s="16"/>
      <c r="H178" s="16"/>
      <c r="I178" s="16"/>
      <c r="J178" s="16"/>
      <c r="K178" s="60"/>
    </row>
    <row r="179" spans="2:11" x14ac:dyDescent="0.25">
      <c r="B179" s="16"/>
      <c r="C179" s="16"/>
      <c r="D179" s="16"/>
      <c r="E179" s="59"/>
      <c r="F179" s="16"/>
      <c r="G179" s="16"/>
      <c r="H179" s="16"/>
      <c r="I179" s="16"/>
      <c r="J179" s="16"/>
      <c r="K179" s="60"/>
    </row>
    <row r="180" spans="2:11" x14ac:dyDescent="0.25">
      <c r="B180" s="16"/>
      <c r="C180" s="16"/>
      <c r="D180" s="16"/>
      <c r="E180" s="59"/>
      <c r="F180" s="16"/>
      <c r="G180" s="16"/>
      <c r="H180" s="16"/>
      <c r="I180" s="16"/>
      <c r="J180" s="16"/>
      <c r="K180" s="60"/>
    </row>
    <row r="181" spans="2:11" x14ac:dyDescent="0.25">
      <c r="B181" s="16"/>
      <c r="C181" s="16"/>
      <c r="D181" s="16"/>
      <c r="E181" s="59"/>
      <c r="F181" s="16"/>
      <c r="G181" s="16"/>
      <c r="H181" s="16"/>
      <c r="I181" s="16"/>
      <c r="J181" s="16"/>
      <c r="K181" s="60"/>
    </row>
    <row r="182" spans="2:11" x14ac:dyDescent="0.25">
      <c r="B182" s="16"/>
      <c r="C182" s="16"/>
      <c r="D182" s="16"/>
      <c r="E182" s="59"/>
      <c r="F182" s="16"/>
      <c r="G182" s="16"/>
      <c r="H182" s="16"/>
      <c r="I182" s="16"/>
      <c r="J182" s="16"/>
      <c r="K182" s="60"/>
    </row>
    <row r="183" spans="2:11" x14ac:dyDescent="0.25">
      <c r="B183" s="16"/>
      <c r="C183" s="16"/>
      <c r="D183" s="16"/>
      <c r="E183" s="59"/>
      <c r="F183" s="16"/>
      <c r="G183" s="16"/>
      <c r="H183" s="16"/>
      <c r="I183" s="16"/>
      <c r="J183" s="16"/>
      <c r="K183" s="60"/>
    </row>
    <row r="184" spans="2:11" x14ac:dyDescent="0.25">
      <c r="B184" s="16"/>
      <c r="C184" s="16"/>
      <c r="D184" s="16"/>
      <c r="E184" s="59"/>
      <c r="F184" s="16"/>
      <c r="G184" s="16"/>
      <c r="H184" s="16"/>
      <c r="I184" s="16"/>
      <c r="J184" s="16"/>
      <c r="K184" s="60"/>
    </row>
    <row r="185" spans="2:11" x14ac:dyDescent="0.25">
      <c r="B185" s="16"/>
      <c r="C185" s="16"/>
      <c r="D185" s="16"/>
      <c r="E185" s="59"/>
      <c r="F185" s="16"/>
      <c r="G185" s="16"/>
      <c r="H185" s="16"/>
      <c r="I185" s="16"/>
      <c r="J185" s="16"/>
      <c r="K185" s="60"/>
    </row>
    <row r="186" spans="2:11" x14ac:dyDescent="0.25">
      <c r="B186" s="16"/>
      <c r="C186" s="16"/>
      <c r="D186" s="16"/>
      <c r="E186" s="59"/>
      <c r="F186" s="16"/>
      <c r="G186" s="16"/>
      <c r="H186" s="16"/>
      <c r="I186" s="16"/>
      <c r="J186" s="16"/>
      <c r="K186" s="60"/>
    </row>
    <row r="187" spans="2:11" x14ac:dyDescent="0.25">
      <c r="B187" s="16"/>
      <c r="C187" s="16"/>
      <c r="D187" s="16"/>
      <c r="E187" s="59"/>
      <c r="F187" s="16"/>
      <c r="G187" s="16"/>
      <c r="H187" s="16"/>
      <c r="I187" s="16"/>
      <c r="J187" s="16"/>
      <c r="K187" s="60"/>
    </row>
    <row r="188" spans="2:11" x14ac:dyDescent="0.25">
      <c r="B188" s="16"/>
      <c r="C188" s="16"/>
      <c r="D188" s="16"/>
      <c r="E188" s="59"/>
      <c r="F188" s="16"/>
      <c r="G188" s="16"/>
      <c r="H188" s="16"/>
      <c r="I188" s="16"/>
      <c r="J188" s="16"/>
      <c r="K188" s="60"/>
    </row>
    <row r="189" spans="2:11" x14ac:dyDescent="0.25">
      <c r="B189" s="16"/>
      <c r="C189" s="16"/>
      <c r="D189" s="16"/>
      <c r="E189" s="59"/>
      <c r="F189" s="16"/>
      <c r="G189" s="16"/>
      <c r="H189" s="16"/>
      <c r="I189" s="16"/>
      <c r="J189" s="16"/>
      <c r="K189" s="60"/>
    </row>
    <row r="190" spans="2:11" x14ac:dyDescent="0.25">
      <c r="B190" s="16"/>
      <c r="C190" s="16"/>
      <c r="D190" s="16"/>
      <c r="E190" s="59"/>
      <c r="F190" s="16"/>
      <c r="G190" s="16"/>
      <c r="H190" s="16"/>
      <c r="I190" s="16"/>
      <c r="J190" s="16"/>
      <c r="K190" s="60"/>
    </row>
    <row r="191" spans="2:11" x14ac:dyDescent="0.25">
      <c r="B191" s="16"/>
      <c r="C191" s="16"/>
      <c r="D191" s="16"/>
      <c r="E191" s="59"/>
      <c r="F191" s="16"/>
      <c r="G191" s="16"/>
      <c r="H191" s="16"/>
      <c r="I191" s="16"/>
      <c r="J191" s="16"/>
      <c r="K191" s="60"/>
    </row>
    <row r="192" spans="2:11" x14ac:dyDescent="0.25">
      <c r="B192" s="16"/>
      <c r="C192" s="16"/>
      <c r="D192" s="16"/>
      <c r="E192" s="59"/>
      <c r="F192" s="16"/>
      <c r="G192" s="16"/>
      <c r="H192" s="16"/>
      <c r="I192" s="16"/>
      <c r="J192" s="16"/>
      <c r="K192" s="60"/>
    </row>
    <row r="193" spans="2:11" x14ac:dyDescent="0.25">
      <c r="B193" s="16"/>
      <c r="C193" s="16"/>
      <c r="D193" s="16"/>
      <c r="E193" s="59"/>
      <c r="F193" s="16"/>
      <c r="G193" s="16"/>
      <c r="H193" s="16"/>
      <c r="I193" s="16"/>
      <c r="J193" s="16"/>
      <c r="K193" s="60"/>
    </row>
    <row r="194" spans="2:11" x14ac:dyDescent="0.25">
      <c r="B194" s="16"/>
      <c r="C194" s="16"/>
      <c r="D194" s="16"/>
      <c r="E194" s="59"/>
      <c r="F194" s="16"/>
      <c r="G194" s="16"/>
      <c r="H194" s="16"/>
      <c r="I194" s="16"/>
      <c r="J194" s="16"/>
      <c r="K194" s="60"/>
    </row>
    <row r="195" spans="2:11" x14ac:dyDescent="0.25">
      <c r="B195" s="16"/>
      <c r="C195" s="16"/>
      <c r="D195" s="16"/>
      <c r="E195" s="59"/>
      <c r="F195" s="16"/>
      <c r="G195" s="16"/>
      <c r="H195" s="16"/>
      <c r="I195" s="16"/>
      <c r="J195" s="16"/>
      <c r="K195" s="60"/>
    </row>
    <row r="196" spans="2:11" x14ac:dyDescent="0.25">
      <c r="B196" s="16"/>
      <c r="C196" s="16"/>
      <c r="D196" s="16"/>
      <c r="E196" s="59"/>
      <c r="F196" s="16"/>
      <c r="G196" s="16"/>
      <c r="H196" s="16"/>
      <c r="I196" s="16"/>
      <c r="J196" s="16"/>
      <c r="K196" s="60"/>
    </row>
    <row r="197" spans="2:11" x14ac:dyDescent="0.25">
      <c r="B197" s="16"/>
      <c r="C197" s="16"/>
      <c r="D197" s="16"/>
      <c r="E197" s="59"/>
      <c r="F197" s="16"/>
      <c r="G197" s="16"/>
      <c r="H197" s="16"/>
      <c r="I197" s="16"/>
      <c r="J197" s="16"/>
      <c r="K197" s="60"/>
    </row>
    <row r="198" spans="2:11" x14ac:dyDescent="0.25">
      <c r="B198" s="16"/>
      <c r="C198" s="16"/>
      <c r="D198" s="16"/>
      <c r="E198" s="59"/>
      <c r="F198" s="16"/>
      <c r="G198" s="16"/>
      <c r="H198" s="16"/>
      <c r="I198" s="16"/>
      <c r="J198" s="16"/>
      <c r="K198" s="60"/>
    </row>
    <row r="199" spans="2:11" x14ac:dyDescent="0.25">
      <c r="B199" s="16"/>
      <c r="C199" s="16"/>
      <c r="D199" s="16"/>
      <c r="E199" s="59"/>
      <c r="F199" s="16"/>
      <c r="G199" s="16"/>
      <c r="H199" s="16"/>
      <c r="I199" s="16"/>
      <c r="J199" s="16"/>
      <c r="K199" s="60"/>
    </row>
    <row r="200" spans="2:11" x14ac:dyDescent="0.25">
      <c r="B200" s="16"/>
      <c r="C200" s="16"/>
      <c r="D200" s="16"/>
      <c r="E200" s="59"/>
      <c r="F200" s="16"/>
      <c r="G200" s="16"/>
      <c r="H200" s="16"/>
      <c r="I200" s="16"/>
      <c r="J200" s="16"/>
      <c r="K200" s="60"/>
    </row>
    <row r="201" spans="2:11" x14ac:dyDescent="0.25">
      <c r="B201" s="16"/>
      <c r="C201" s="16"/>
      <c r="D201" s="16"/>
      <c r="E201" s="59"/>
      <c r="F201" s="16"/>
      <c r="G201" s="16"/>
      <c r="H201" s="16"/>
      <c r="I201" s="16"/>
      <c r="J201" s="16"/>
      <c r="K201" s="60"/>
    </row>
    <row r="202" spans="2:11" x14ac:dyDescent="0.25">
      <c r="B202" s="16"/>
      <c r="C202" s="16"/>
      <c r="D202" s="16"/>
      <c r="E202" s="59"/>
      <c r="F202" s="16"/>
      <c r="G202" s="16"/>
      <c r="H202" s="16"/>
      <c r="I202" s="16"/>
      <c r="J202" s="16"/>
      <c r="K202" s="60"/>
    </row>
    <row r="203" spans="2:11" x14ac:dyDescent="0.25">
      <c r="B203" s="16"/>
      <c r="C203" s="16"/>
      <c r="D203" s="16"/>
      <c r="E203" s="59"/>
      <c r="F203" s="16"/>
      <c r="G203" s="16"/>
      <c r="H203" s="16"/>
      <c r="I203" s="16"/>
      <c r="J203" s="16"/>
      <c r="K203" s="60"/>
    </row>
    <row r="204" spans="2:11" x14ac:dyDescent="0.25">
      <c r="B204" s="16"/>
      <c r="C204" s="16"/>
      <c r="D204" s="16"/>
      <c r="E204" s="59"/>
      <c r="F204" s="16"/>
      <c r="G204" s="16"/>
      <c r="H204" s="16"/>
      <c r="I204" s="16"/>
      <c r="J204" s="16"/>
      <c r="K204" s="60"/>
    </row>
    <row r="205" spans="2:11" x14ac:dyDescent="0.25">
      <c r="B205" s="16"/>
      <c r="C205" s="16"/>
      <c r="D205" s="16"/>
      <c r="E205" s="59"/>
      <c r="F205" s="16"/>
      <c r="G205" s="16"/>
      <c r="H205" s="16"/>
      <c r="I205" s="16"/>
      <c r="J205" s="16"/>
      <c r="K205" s="60"/>
    </row>
    <row r="206" spans="2:11" x14ac:dyDescent="0.25">
      <c r="B206" s="16"/>
      <c r="C206" s="16"/>
      <c r="D206" s="16"/>
      <c r="E206" s="59"/>
      <c r="F206" s="16"/>
      <c r="G206" s="16"/>
      <c r="H206" s="16"/>
      <c r="I206" s="16"/>
      <c r="J206" s="16"/>
      <c r="K206" s="60"/>
    </row>
    <row r="207" spans="2:11" x14ac:dyDescent="0.25">
      <c r="B207" s="16"/>
      <c r="C207" s="16"/>
      <c r="D207" s="16"/>
      <c r="E207" s="59"/>
      <c r="F207" s="16"/>
      <c r="G207" s="16"/>
      <c r="H207" s="16"/>
      <c r="I207" s="16"/>
      <c r="J207" s="16"/>
      <c r="K207" s="60"/>
    </row>
  </sheetData>
  <printOptions horizontalCentered="1" verticalCentered="1"/>
  <pageMargins left="0.59055118110236227" right="0.59055118110236227" top="0.55118110236220474" bottom="0.35433070866141736" header="0.31496062992125984" footer="3.937007874015748E-2"/>
  <pageSetup paperSize="9" firstPageNumber="17" orientation="portrait" useFirstPageNumber="1" horizontalDpi="1200" verticalDpi="1200" r:id="rId1"/>
  <headerFooter>
    <oddFooter>&amp;C&amp;"Arial Narrow,Corsivo"&amp;7- pagina &amp;P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0"/>
  <sheetViews>
    <sheetView zoomScale="150" zoomScaleNormal="150" workbookViewId="0">
      <pane ySplit="2" topLeftCell="A92" activePane="bottomLeft" state="frozenSplit"/>
      <selection pane="bottomLeft" activeCell="A109" sqref="A109"/>
    </sheetView>
  </sheetViews>
  <sheetFormatPr defaultRowHeight="13.5" x14ac:dyDescent="0.25"/>
  <cols>
    <col min="1" max="1" width="13.28515625" style="16" customWidth="1"/>
    <col min="2" max="2" width="7.7109375" style="51" customWidth="1"/>
    <col min="3" max="5" width="7.140625" style="51" customWidth="1"/>
    <col min="6" max="6" width="7.140625" style="61" customWidth="1"/>
    <col min="7" max="11" width="7.140625" style="51" customWidth="1"/>
    <col min="12" max="12" width="7.7109375" style="62" customWidth="1"/>
    <col min="13" max="253" width="9.140625" style="51"/>
    <col min="254" max="254" width="13.28515625" style="51" customWidth="1"/>
    <col min="255" max="255" width="7.7109375" style="51" customWidth="1"/>
    <col min="256" max="264" width="7" style="51" customWidth="1"/>
    <col min="265" max="265" width="7.7109375" style="51" customWidth="1"/>
    <col min="266" max="266" width="11.28515625" style="51" customWidth="1"/>
    <col min="267" max="509" width="9.140625" style="51"/>
    <col min="510" max="510" width="13.28515625" style="51" customWidth="1"/>
    <col min="511" max="511" width="7.7109375" style="51" customWidth="1"/>
    <col min="512" max="520" width="7" style="51" customWidth="1"/>
    <col min="521" max="521" width="7.7109375" style="51" customWidth="1"/>
    <col min="522" max="522" width="11.28515625" style="51" customWidth="1"/>
    <col min="523" max="765" width="9.140625" style="51"/>
    <col min="766" max="766" width="13.28515625" style="51" customWidth="1"/>
    <col min="767" max="767" width="7.7109375" style="51" customWidth="1"/>
    <col min="768" max="776" width="7" style="51" customWidth="1"/>
    <col min="777" max="777" width="7.7109375" style="51" customWidth="1"/>
    <col min="778" max="778" width="11.28515625" style="51" customWidth="1"/>
    <col min="779" max="1021" width="9.140625" style="51"/>
    <col min="1022" max="1022" width="13.28515625" style="51" customWidth="1"/>
    <col min="1023" max="1023" width="7.7109375" style="51" customWidth="1"/>
    <col min="1024" max="1032" width="7" style="51" customWidth="1"/>
    <col min="1033" max="1033" width="7.7109375" style="51" customWidth="1"/>
    <col min="1034" max="1034" width="11.28515625" style="51" customWidth="1"/>
    <col min="1035" max="1277" width="9.140625" style="51"/>
    <col min="1278" max="1278" width="13.28515625" style="51" customWidth="1"/>
    <col min="1279" max="1279" width="7.7109375" style="51" customWidth="1"/>
    <col min="1280" max="1288" width="7" style="51" customWidth="1"/>
    <col min="1289" max="1289" width="7.7109375" style="51" customWidth="1"/>
    <col min="1290" max="1290" width="11.28515625" style="51" customWidth="1"/>
    <col min="1291" max="1533" width="9.140625" style="51"/>
    <col min="1534" max="1534" width="13.28515625" style="51" customWidth="1"/>
    <col min="1535" max="1535" width="7.7109375" style="51" customWidth="1"/>
    <col min="1536" max="1544" width="7" style="51" customWidth="1"/>
    <col min="1545" max="1545" width="7.7109375" style="51" customWidth="1"/>
    <col min="1546" max="1546" width="11.28515625" style="51" customWidth="1"/>
    <col min="1547" max="1789" width="9.140625" style="51"/>
    <col min="1790" max="1790" width="13.28515625" style="51" customWidth="1"/>
    <col min="1791" max="1791" width="7.7109375" style="51" customWidth="1"/>
    <col min="1792" max="1800" width="7" style="51" customWidth="1"/>
    <col min="1801" max="1801" width="7.7109375" style="51" customWidth="1"/>
    <col min="1802" max="1802" width="11.28515625" style="51" customWidth="1"/>
    <col min="1803" max="2045" width="9.140625" style="51"/>
    <col min="2046" max="2046" width="13.28515625" style="51" customWidth="1"/>
    <col min="2047" max="2047" width="7.7109375" style="51" customWidth="1"/>
    <col min="2048" max="2056" width="7" style="51" customWidth="1"/>
    <col min="2057" max="2057" width="7.7109375" style="51" customWidth="1"/>
    <col min="2058" max="2058" width="11.28515625" style="51" customWidth="1"/>
    <col min="2059" max="2301" width="9.140625" style="51"/>
    <col min="2302" max="2302" width="13.28515625" style="51" customWidth="1"/>
    <col min="2303" max="2303" width="7.7109375" style="51" customWidth="1"/>
    <col min="2304" max="2312" width="7" style="51" customWidth="1"/>
    <col min="2313" max="2313" width="7.7109375" style="51" customWidth="1"/>
    <col min="2314" max="2314" width="11.28515625" style="51" customWidth="1"/>
    <col min="2315" max="2557" width="9.140625" style="51"/>
    <col min="2558" max="2558" width="13.28515625" style="51" customWidth="1"/>
    <col min="2559" max="2559" width="7.7109375" style="51" customWidth="1"/>
    <col min="2560" max="2568" width="7" style="51" customWidth="1"/>
    <col min="2569" max="2569" width="7.7109375" style="51" customWidth="1"/>
    <col min="2570" max="2570" width="11.28515625" style="51" customWidth="1"/>
    <col min="2571" max="2813" width="9.140625" style="51"/>
    <col min="2814" max="2814" width="13.28515625" style="51" customWidth="1"/>
    <col min="2815" max="2815" width="7.7109375" style="51" customWidth="1"/>
    <col min="2816" max="2824" width="7" style="51" customWidth="1"/>
    <col min="2825" max="2825" width="7.7109375" style="51" customWidth="1"/>
    <col min="2826" max="2826" width="11.28515625" style="51" customWidth="1"/>
    <col min="2827" max="3069" width="9.140625" style="51"/>
    <col min="3070" max="3070" width="13.28515625" style="51" customWidth="1"/>
    <col min="3071" max="3071" width="7.7109375" style="51" customWidth="1"/>
    <col min="3072" max="3080" width="7" style="51" customWidth="1"/>
    <col min="3081" max="3081" width="7.7109375" style="51" customWidth="1"/>
    <col min="3082" max="3082" width="11.28515625" style="51" customWidth="1"/>
    <col min="3083" max="3325" width="9.140625" style="51"/>
    <col min="3326" max="3326" width="13.28515625" style="51" customWidth="1"/>
    <col min="3327" max="3327" width="7.7109375" style="51" customWidth="1"/>
    <col min="3328" max="3336" width="7" style="51" customWidth="1"/>
    <col min="3337" max="3337" width="7.7109375" style="51" customWidth="1"/>
    <col min="3338" max="3338" width="11.28515625" style="51" customWidth="1"/>
    <col min="3339" max="3581" width="9.140625" style="51"/>
    <col min="3582" max="3582" width="13.28515625" style="51" customWidth="1"/>
    <col min="3583" max="3583" width="7.7109375" style="51" customWidth="1"/>
    <col min="3584" max="3592" width="7" style="51" customWidth="1"/>
    <col min="3593" max="3593" width="7.7109375" style="51" customWidth="1"/>
    <col min="3594" max="3594" width="11.28515625" style="51" customWidth="1"/>
    <col min="3595" max="3837" width="9.140625" style="51"/>
    <col min="3838" max="3838" width="13.28515625" style="51" customWidth="1"/>
    <col min="3839" max="3839" width="7.7109375" style="51" customWidth="1"/>
    <col min="3840" max="3848" width="7" style="51" customWidth="1"/>
    <col min="3849" max="3849" width="7.7109375" style="51" customWidth="1"/>
    <col min="3850" max="3850" width="11.28515625" style="51" customWidth="1"/>
    <col min="3851" max="4093" width="9.140625" style="51"/>
    <col min="4094" max="4094" width="13.28515625" style="51" customWidth="1"/>
    <col min="4095" max="4095" width="7.7109375" style="51" customWidth="1"/>
    <col min="4096" max="4104" width="7" style="51" customWidth="1"/>
    <col min="4105" max="4105" width="7.7109375" style="51" customWidth="1"/>
    <col min="4106" max="4106" width="11.28515625" style="51" customWidth="1"/>
    <col min="4107" max="4349" width="9.140625" style="51"/>
    <col min="4350" max="4350" width="13.28515625" style="51" customWidth="1"/>
    <col min="4351" max="4351" width="7.7109375" style="51" customWidth="1"/>
    <col min="4352" max="4360" width="7" style="51" customWidth="1"/>
    <col min="4361" max="4361" width="7.7109375" style="51" customWidth="1"/>
    <col min="4362" max="4362" width="11.28515625" style="51" customWidth="1"/>
    <col min="4363" max="4605" width="9.140625" style="51"/>
    <col min="4606" max="4606" width="13.28515625" style="51" customWidth="1"/>
    <col min="4607" max="4607" width="7.7109375" style="51" customWidth="1"/>
    <col min="4608" max="4616" width="7" style="51" customWidth="1"/>
    <col min="4617" max="4617" width="7.7109375" style="51" customWidth="1"/>
    <col min="4618" max="4618" width="11.28515625" style="51" customWidth="1"/>
    <col min="4619" max="4861" width="9.140625" style="51"/>
    <col min="4862" max="4862" width="13.28515625" style="51" customWidth="1"/>
    <col min="4863" max="4863" width="7.7109375" style="51" customWidth="1"/>
    <col min="4864" max="4872" width="7" style="51" customWidth="1"/>
    <col min="4873" max="4873" width="7.7109375" style="51" customWidth="1"/>
    <col min="4874" max="4874" width="11.28515625" style="51" customWidth="1"/>
    <col min="4875" max="5117" width="9.140625" style="51"/>
    <col min="5118" max="5118" width="13.28515625" style="51" customWidth="1"/>
    <col min="5119" max="5119" width="7.7109375" style="51" customWidth="1"/>
    <col min="5120" max="5128" width="7" style="51" customWidth="1"/>
    <col min="5129" max="5129" width="7.7109375" style="51" customWidth="1"/>
    <col min="5130" max="5130" width="11.28515625" style="51" customWidth="1"/>
    <col min="5131" max="5373" width="9.140625" style="51"/>
    <col min="5374" max="5374" width="13.28515625" style="51" customWidth="1"/>
    <col min="5375" max="5375" width="7.7109375" style="51" customWidth="1"/>
    <col min="5376" max="5384" width="7" style="51" customWidth="1"/>
    <col min="5385" max="5385" width="7.7109375" style="51" customWidth="1"/>
    <col min="5386" max="5386" width="11.28515625" style="51" customWidth="1"/>
    <col min="5387" max="5629" width="9.140625" style="51"/>
    <col min="5630" max="5630" width="13.28515625" style="51" customWidth="1"/>
    <col min="5631" max="5631" width="7.7109375" style="51" customWidth="1"/>
    <col min="5632" max="5640" width="7" style="51" customWidth="1"/>
    <col min="5641" max="5641" width="7.7109375" style="51" customWidth="1"/>
    <col min="5642" max="5642" width="11.28515625" style="51" customWidth="1"/>
    <col min="5643" max="5885" width="9.140625" style="51"/>
    <col min="5886" max="5886" width="13.28515625" style="51" customWidth="1"/>
    <col min="5887" max="5887" width="7.7109375" style="51" customWidth="1"/>
    <col min="5888" max="5896" width="7" style="51" customWidth="1"/>
    <col min="5897" max="5897" width="7.7109375" style="51" customWidth="1"/>
    <col min="5898" max="5898" width="11.28515625" style="51" customWidth="1"/>
    <col min="5899" max="6141" width="9.140625" style="51"/>
    <col min="6142" max="6142" width="13.28515625" style="51" customWidth="1"/>
    <col min="6143" max="6143" width="7.7109375" style="51" customWidth="1"/>
    <col min="6144" max="6152" width="7" style="51" customWidth="1"/>
    <col min="6153" max="6153" width="7.7109375" style="51" customWidth="1"/>
    <col min="6154" max="6154" width="11.28515625" style="51" customWidth="1"/>
    <col min="6155" max="6397" width="9.140625" style="51"/>
    <col min="6398" max="6398" width="13.28515625" style="51" customWidth="1"/>
    <col min="6399" max="6399" width="7.7109375" style="51" customWidth="1"/>
    <col min="6400" max="6408" width="7" style="51" customWidth="1"/>
    <col min="6409" max="6409" width="7.7109375" style="51" customWidth="1"/>
    <col min="6410" max="6410" width="11.28515625" style="51" customWidth="1"/>
    <col min="6411" max="6653" width="9.140625" style="51"/>
    <col min="6654" max="6654" width="13.28515625" style="51" customWidth="1"/>
    <col min="6655" max="6655" width="7.7109375" style="51" customWidth="1"/>
    <col min="6656" max="6664" width="7" style="51" customWidth="1"/>
    <col min="6665" max="6665" width="7.7109375" style="51" customWidth="1"/>
    <col min="6666" max="6666" width="11.28515625" style="51" customWidth="1"/>
    <col min="6667" max="6909" width="9.140625" style="51"/>
    <col min="6910" max="6910" width="13.28515625" style="51" customWidth="1"/>
    <col min="6911" max="6911" width="7.7109375" style="51" customWidth="1"/>
    <col min="6912" max="6920" width="7" style="51" customWidth="1"/>
    <col min="6921" max="6921" width="7.7109375" style="51" customWidth="1"/>
    <col min="6922" max="6922" width="11.28515625" style="51" customWidth="1"/>
    <col min="6923" max="7165" width="9.140625" style="51"/>
    <col min="7166" max="7166" width="13.28515625" style="51" customWidth="1"/>
    <col min="7167" max="7167" width="7.7109375" style="51" customWidth="1"/>
    <col min="7168" max="7176" width="7" style="51" customWidth="1"/>
    <col min="7177" max="7177" width="7.7109375" style="51" customWidth="1"/>
    <col min="7178" max="7178" width="11.28515625" style="51" customWidth="1"/>
    <col min="7179" max="7421" width="9.140625" style="51"/>
    <col min="7422" max="7422" width="13.28515625" style="51" customWidth="1"/>
    <col min="7423" max="7423" width="7.7109375" style="51" customWidth="1"/>
    <col min="7424" max="7432" width="7" style="51" customWidth="1"/>
    <col min="7433" max="7433" width="7.7109375" style="51" customWidth="1"/>
    <col min="7434" max="7434" width="11.28515625" style="51" customWidth="1"/>
    <col min="7435" max="7677" width="9.140625" style="51"/>
    <col min="7678" max="7678" width="13.28515625" style="51" customWidth="1"/>
    <col min="7679" max="7679" width="7.7109375" style="51" customWidth="1"/>
    <col min="7680" max="7688" width="7" style="51" customWidth="1"/>
    <col min="7689" max="7689" width="7.7109375" style="51" customWidth="1"/>
    <col min="7690" max="7690" width="11.28515625" style="51" customWidth="1"/>
    <col min="7691" max="7933" width="9.140625" style="51"/>
    <col min="7934" max="7934" width="13.28515625" style="51" customWidth="1"/>
    <col min="7935" max="7935" width="7.7109375" style="51" customWidth="1"/>
    <col min="7936" max="7944" width="7" style="51" customWidth="1"/>
    <col min="7945" max="7945" width="7.7109375" style="51" customWidth="1"/>
    <col min="7946" max="7946" width="11.28515625" style="51" customWidth="1"/>
    <col min="7947" max="8189" width="9.140625" style="51"/>
    <col min="8190" max="8190" width="13.28515625" style="51" customWidth="1"/>
    <col min="8191" max="8191" width="7.7109375" style="51" customWidth="1"/>
    <col min="8192" max="8200" width="7" style="51" customWidth="1"/>
    <col min="8201" max="8201" width="7.7109375" style="51" customWidth="1"/>
    <col min="8202" max="8202" width="11.28515625" style="51" customWidth="1"/>
    <col min="8203" max="8445" width="9.140625" style="51"/>
    <col min="8446" max="8446" width="13.28515625" style="51" customWidth="1"/>
    <col min="8447" max="8447" width="7.7109375" style="51" customWidth="1"/>
    <col min="8448" max="8456" width="7" style="51" customWidth="1"/>
    <col min="8457" max="8457" width="7.7109375" style="51" customWidth="1"/>
    <col min="8458" max="8458" width="11.28515625" style="51" customWidth="1"/>
    <col min="8459" max="8701" width="9.140625" style="51"/>
    <col min="8702" max="8702" width="13.28515625" style="51" customWidth="1"/>
    <col min="8703" max="8703" width="7.7109375" style="51" customWidth="1"/>
    <col min="8704" max="8712" width="7" style="51" customWidth="1"/>
    <col min="8713" max="8713" width="7.7109375" style="51" customWidth="1"/>
    <col min="8714" max="8714" width="11.28515625" style="51" customWidth="1"/>
    <col min="8715" max="8957" width="9.140625" style="51"/>
    <col min="8958" max="8958" width="13.28515625" style="51" customWidth="1"/>
    <col min="8959" max="8959" width="7.7109375" style="51" customWidth="1"/>
    <col min="8960" max="8968" width="7" style="51" customWidth="1"/>
    <col min="8969" max="8969" width="7.7109375" style="51" customWidth="1"/>
    <col min="8970" max="8970" width="11.28515625" style="51" customWidth="1"/>
    <col min="8971" max="9213" width="9.140625" style="51"/>
    <col min="9214" max="9214" width="13.28515625" style="51" customWidth="1"/>
    <col min="9215" max="9215" width="7.7109375" style="51" customWidth="1"/>
    <col min="9216" max="9224" width="7" style="51" customWidth="1"/>
    <col min="9225" max="9225" width="7.7109375" style="51" customWidth="1"/>
    <col min="9226" max="9226" width="11.28515625" style="51" customWidth="1"/>
    <col min="9227" max="9469" width="9.140625" style="51"/>
    <col min="9470" max="9470" width="13.28515625" style="51" customWidth="1"/>
    <col min="9471" max="9471" width="7.7109375" style="51" customWidth="1"/>
    <col min="9472" max="9480" width="7" style="51" customWidth="1"/>
    <col min="9481" max="9481" width="7.7109375" style="51" customWidth="1"/>
    <col min="9482" max="9482" width="11.28515625" style="51" customWidth="1"/>
    <col min="9483" max="9725" width="9.140625" style="51"/>
    <col min="9726" max="9726" width="13.28515625" style="51" customWidth="1"/>
    <col min="9727" max="9727" width="7.7109375" style="51" customWidth="1"/>
    <col min="9728" max="9736" width="7" style="51" customWidth="1"/>
    <col min="9737" max="9737" width="7.7109375" style="51" customWidth="1"/>
    <col min="9738" max="9738" width="11.28515625" style="51" customWidth="1"/>
    <col min="9739" max="9981" width="9.140625" style="51"/>
    <col min="9982" max="9982" width="13.28515625" style="51" customWidth="1"/>
    <col min="9983" max="9983" width="7.7109375" style="51" customWidth="1"/>
    <col min="9984" max="9992" width="7" style="51" customWidth="1"/>
    <col min="9993" max="9993" width="7.7109375" style="51" customWidth="1"/>
    <col min="9994" max="9994" width="11.28515625" style="51" customWidth="1"/>
    <col min="9995" max="10237" width="9.140625" style="51"/>
    <col min="10238" max="10238" width="13.28515625" style="51" customWidth="1"/>
    <col min="10239" max="10239" width="7.7109375" style="51" customWidth="1"/>
    <col min="10240" max="10248" width="7" style="51" customWidth="1"/>
    <col min="10249" max="10249" width="7.7109375" style="51" customWidth="1"/>
    <col min="10250" max="10250" width="11.28515625" style="51" customWidth="1"/>
    <col min="10251" max="10493" width="9.140625" style="51"/>
    <col min="10494" max="10494" width="13.28515625" style="51" customWidth="1"/>
    <col min="10495" max="10495" width="7.7109375" style="51" customWidth="1"/>
    <col min="10496" max="10504" width="7" style="51" customWidth="1"/>
    <col min="10505" max="10505" width="7.7109375" style="51" customWidth="1"/>
    <col min="10506" max="10506" width="11.28515625" style="51" customWidth="1"/>
    <col min="10507" max="10749" width="9.140625" style="51"/>
    <col min="10750" max="10750" width="13.28515625" style="51" customWidth="1"/>
    <col min="10751" max="10751" width="7.7109375" style="51" customWidth="1"/>
    <col min="10752" max="10760" width="7" style="51" customWidth="1"/>
    <col min="10761" max="10761" width="7.7109375" style="51" customWidth="1"/>
    <col min="10762" max="10762" width="11.28515625" style="51" customWidth="1"/>
    <col min="10763" max="11005" width="9.140625" style="51"/>
    <col min="11006" max="11006" width="13.28515625" style="51" customWidth="1"/>
    <col min="11007" max="11007" width="7.7109375" style="51" customWidth="1"/>
    <col min="11008" max="11016" width="7" style="51" customWidth="1"/>
    <col min="11017" max="11017" width="7.7109375" style="51" customWidth="1"/>
    <col min="11018" max="11018" width="11.28515625" style="51" customWidth="1"/>
    <col min="11019" max="11261" width="9.140625" style="51"/>
    <col min="11262" max="11262" width="13.28515625" style="51" customWidth="1"/>
    <col min="11263" max="11263" width="7.7109375" style="51" customWidth="1"/>
    <col min="11264" max="11272" width="7" style="51" customWidth="1"/>
    <col min="11273" max="11273" width="7.7109375" style="51" customWidth="1"/>
    <col min="11274" max="11274" width="11.28515625" style="51" customWidth="1"/>
    <col min="11275" max="11517" width="9.140625" style="51"/>
    <col min="11518" max="11518" width="13.28515625" style="51" customWidth="1"/>
    <col min="11519" max="11519" width="7.7109375" style="51" customWidth="1"/>
    <col min="11520" max="11528" width="7" style="51" customWidth="1"/>
    <col min="11529" max="11529" width="7.7109375" style="51" customWidth="1"/>
    <col min="11530" max="11530" width="11.28515625" style="51" customWidth="1"/>
    <col min="11531" max="11773" width="9.140625" style="51"/>
    <col min="11774" max="11774" width="13.28515625" style="51" customWidth="1"/>
    <col min="11775" max="11775" width="7.7109375" style="51" customWidth="1"/>
    <col min="11776" max="11784" width="7" style="51" customWidth="1"/>
    <col min="11785" max="11785" width="7.7109375" style="51" customWidth="1"/>
    <col min="11786" max="11786" width="11.28515625" style="51" customWidth="1"/>
    <col min="11787" max="12029" width="9.140625" style="51"/>
    <col min="12030" max="12030" width="13.28515625" style="51" customWidth="1"/>
    <col min="12031" max="12031" width="7.7109375" style="51" customWidth="1"/>
    <col min="12032" max="12040" width="7" style="51" customWidth="1"/>
    <col min="12041" max="12041" width="7.7109375" style="51" customWidth="1"/>
    <col min="12042" max="12042" width="11.28515625" style="51" customWidth="1"/>
    <col min="12043" max="12285" width="9.140625" style="51"/>
    <col min="12286" max="12286" width="13.28515625" style="51" customWidth="1"/>
    <col min="12287" max="12287" width="7.7109375" style="51" customWidth="1"/>
    <col min="12288" max="12296" width="7" style="51" customWidth="1"/>
    <col min="12297" max="12297" width="7.7109375" style="51" customWidth="1"/>
    <col min="12298" max="12298" width="11.28515625" style="51" customWidth="1"/>
    <col min="12299" max="12541" width="9.140625" style="51"/>
    <col min="12542" max="12542" width="13.28515625" style="51" customWidth="1"/>
    <col min="12543" max="12543" width="7.7109375" style="51" customWidth="1"/>
    <col min="12544" max="12552" width="7" style="51" customWidth="1"/>
    <col min="12553" max="12553" width="7.7109375" style="51" customWidth="1"/>
    <col min="12554" max="12554" width="11.28515625" style="51" customWidth="1"/>
    <col min="12555" max="12797" width="9.140625" style="51"/>
    <col min="12798" max="12798" width="13.28515625" style="51" customWidth="1"/>
    <col min="12799" max="12799" width="7.7109375" style="51" customWidth="1"/>
    <col min="12800" max="12808" width="7" style="51" customWidth="1"/>
    <col min="12809" max="12809" width="7.7109375" style="51" customWidth="1"/>
    <col min="12810" max="12810" width="11.28515625" style="51" customWidth="1"/>
    <col min="12811" max="13053" width="9.140625" style="51"/>
    <col min="13054" max="13054" width="13.28515625" style="51" customWidth="1"/>
    <col min="13055" max="13055" width="7.7109375" style="51" customWidth="1"/>
    <col min="13056" max="13064" width="7" style="51" customWidth="1"/>
    <col min="13065" max="13065" width="7.7109375" style="51" customWidth="1"/>
    <col min="13066" max="13066" width="11.28515625" style="51" customWidth="1"/>
    <col min="13067" max="13309" width="9.140625" style="51"/>
    <col min="13310" max="13310" width="13.28515625" style="51" customWidth="1"/>
    <col min="13311" max="13311" width="7.7109375" style="51" customWidth="1"/>
    <col min="13312" max="13320" width="7" style="51" customWidth="1"/>
    <col min="13321" max="13321" width="7.7109375" style="51" customWidth="1"/>
    <col min="13322" max="13322" width="11.28515625" style="51" customWidth="1"/>
    <col min="13323" max="13565" width="9.140625" style="51"/>
    <col min="13566" max="13566" width="13.28515625" style="51" customWidth="1"/>
    <col min="13567" max="13567" width="7.7109375" style="51" customWidth="1"/>
    <col min="13568" max="13576" width="7" style="51" customWidth="1"/>
    <col min="13577" max="13577" width="7.7109375" style="51" customWidth="1"/>
    <col min="13578" max="13578" width="11.28515625" style="51" customWidth="1"/>
    <col min="13579" max="13821" width="9.140625" style="51"/>
    <col min="13822" max="13822" width="13.28515625" style="51" customWidth="1"/>
    <col min="13823" max="13823" width="7.7109375" style="51" customWidth="1"/>
    <col min="13824" max="13832" width="7" style="51" customWidth="1"/>
    <col min="13833" max="13833" width="7.7109375" style="51" customWidth="1"/>
    <col min="13834" max="13834" width="11.28515625" style="51" customWidth="1"/>
    <col min="13835" max="14077" width="9.140625" style="51"/>
    <col min="14078" max="14078" width="13.28515625" style="51" customWidth="1"/>
    <col min="14079" max="14079" width="7.7109375" style="51" customWidth="1"/>
    <col min="14080" max="14088" width="7" style="51" customWidth="1"/>
    <col min="14089" max="14089" width="7.7109375" style="51" customWidth="1"/>
    <col min="14090" max="14090" width="11.28515625" style="51" customWidth="1"/>
    <col min="14091" max="14333" width="9.140625" style="51"/>
    <col min="14334" max="14334" width="13.28515625" style="51" customWidth="1"/>
    <col min="14335" max="14335" width="7.7109375" style="51" customWidth="1"/>
    <col min="14336" max="14344" width="7" style="51" customWidth="1"/>
    <col min="14345" max="14345" width="7.7109375" style="51" customWidth="1"/>
    <col min="14346" max="14346" width="11.28515625" style="51" customWidth="1"/>
    <col min="14347" max="14589" width="9.140625" style="51"/>
    <col min="14590" max="14590" width="13.28515625" style="51" customWidth="1"/>
    <col min="14591" max="14591" width="7.7109375" style="51" customWidth="1"/>
    <col min="14592" max="14600" width="7" style="51" customWidth="1"/>
    <col min="14601" max="14601" width="7.7109375" style="51" customWidth="1"/>
    <col min="14602" max="14602" width="11.28515625" style="51" customWidth="1"/>
    <col min="14603" max="14845" width="9.140625" style="51"/>
    <col min="14846" max="14846" width="13.28515625" style="51" customWidth="1"/>
    <col min="14847" max="14847" width="7.7109375" style="51" customWidth="1"/>
    <col min="14848" max="14856" width="7" style="51" customWidth="1"/>
    <col min="14857" max="14857" width="7.7109375" style="51" customWidth="1"/>
    <col min="14858" max="14858" width="11.28515625" style="51" customWidth="1"/>
    <col min="14859" max="15101" width="9.140625" style="51"/>
    <col min="15102" max="15102" width="13.28515625" style="51" customWidth="1"/>
    <col min="15103" max="15103" width="7.7109375" style="51" customWidth="1"/>
    <col min="15104" max="15112" width="7" style="51" customWidth="1"/>
    <col min="15113" max="15113" width="7.7109375" style="51" customWidth="1"/>
    <col min="15114" max="15114" width="11.28515625" style="51" customWidth="1"/>
    <col min="15115" max="15357" width="9.140625" style="51"/>
    <col min="15358" max="15358" width="13.28515625" style="51" customWidth="1"/>
    <col min="15359" max="15359" width="7.7109375" style="51" customWidth="1"/>
    <col min="15360" max="15368" width="7" style="51" customWidth="1"/>
    <col min="15369" max="15369" width="7.7109375" style="51" customWidth="1"/>
    <col min="15370" max="15370" width="11.28515625" style="51" customWidth="1"/>
    <col min="15371" max="15613" width="9.140625" style="51"/>
    <col min="15614" max="15614" width="13.28515625" style="51" customWidth="1"/>
    <col min="15615" max="15615" width="7.7109375" style="51" customWidth="1"/>
    <col min="15616" max="15624" width="7" style="51" customWidth="1"/>
    <col min="15625" max="15625" width="7.7109375" style="51" customWidth="1"/>
    <col min="15626" max="15626" width="11.28515625" style="51" customWidth="1"/>
    <col min="15627" max="15869" width="9.140625" style="51"/>
    <col min="15870" max="15870" width="13.28515625" style="51" customWidth="1"/>
    <col min="15871" max="15871" width="7.7109375" style="51" customWidth="1"/>
    <col min="15872" max="15880" width="7" style="51" customWidth="1"/>
    <col min="15881" max="15881" width="7.7109375" style="51" customWidth="1"/>
    <col min="15882" max="15882" width="11.28515625" style="51" customWidth="1"/>
    <col min="15883" max="16125" width="9.140625" style="51"/>
    <col min="16126" max="16126" width="13.28515625" style="51" customWidth="1"/>
    <col min="16127" max="16127" width="7.7109375" style="51" customWidth="1"/>
    <col min="16128" max="16136" width="7" style="51" customWidth="1"/>
    <col min="16137" max="16137" width="7.7109375" style="51" customWidth="1"/>
    <col min="16138" max="16138" width="11.28515625" style="51" customWidth="1"/>
    <col min="16139" max="16384" width="9.140625" style="51"/>
  </cols>
  <sheetData>
    <row r="1" spans="1:12" ht="21" customHeight="1" x14ac:dyDescent="0.2">
      <c r="A1" s="29" t="s">
        <v>626</v>
      </c>
      <c r="B1" s="48"/>
      <c r="C1" s="48"/>
      <c r="D1" s="48"/>
      <c r="E1" s="48"/>
      <c r="F1" s="49"/>
      <c r="G1" s="48"/>
      <c r="H1" s="48"/>
      <c r="I1" s="48"/>
      <c r="J1" s="48"/>
      <c r="K1" s="48"/>
      <c r="L1" s="50"/>
    </row>
    <row r="2" spans="1:12" s="55" customFormat="1" ht="47.25" customHeight="1" x14ac:dyDescent="0.25">
      <c r="A2" s="52"/>
      <c r="B2" s="53" t="s">
        <v>237</v>
      </c>
      <c r="C2" s="53" t="s">
        <v>238</v>
      </c>
      <c r="D2" s="53" t="s">
        <v>239</v>
      </c>
      <c r="E2" s="53" t="s">
        <v>240</v>
      </c>
      <c r="F2" s="53" t="s">
        <v>241</v>
      </c>
      <c r="G2" s="53" t="s">
        <v>242</v>
      </c>
      <c r="H2" s="53" t="s">
        <v>243</v>
      </c>
      <c r="I2" s="53" t="s">
        <v>244</v>
      </c>
      <c r="J2" s="53" t="s">
        <v>245</v>
      </c>
      <c r="K2" s="53" t="s">
        <v>246</v>
      </c>
      <c r="L2" s="54" t="s">
        <v>236</v>
      </c>
    </row>
    <row r="3" spans="1:12" s="16" customFormat="1" x14ac:dyDescent="0.25">
      <c r="A3" s="2" t="s">
        <v>31</v>
      </c>
      <c r="B3" s="40">
        <v>4005.4395</v>
      </c>
      <c r="C3" s="40">
        <v>436.36900000000003</v>
      </c>
      <c r="D3" s="40">
        <v>1145.4149600000001</v>
      </c>
      <c r="E3" s="40">
        <v>141.53987000000001</v>
      </c>
      <c r="F3" s="40">
        <v>197.99015</v>
      </c>
      <c r="G3" s="40">
        <v>301.31806</v>
      </c>
      <c r="H3" s="40">
        <v>3583.8363799999997</v>
      </c>
      <c r="I3" s="40">
        <v>0</v>
      </c>
      <c r="J3" s="40">
        <v>0</v>
      </c>
      <c r="K3" s="40">
        <v>583.38630000000001</v>
      </c>
      <c r="L3" s="41">
        <f>SUM(B3:K3)</f>
        <v>10395.294219999998</v>
      </c>
    </row>
    <row r="4" spans="1:12" s="16" customFormat="1" x14ac:dyDescent="0.25">
      <c r="A4" s="2" t="s">
        <v>32</v>
      </c>
      <c r="B4" s="40">
        <v>14497.86399</v>
      </c>
      <c r="C4" s="40">
        <v>134.85547</v>
      </c>
      <c r="D4" s="40">
        <v>3571.6783799999998</v>
      </c>
      <c r="E4" s="40">
        <v>36.684650000000005</v>
      </c>
      <c r="F4" s="40">
        <v>668.70074</v>
      </c>
      <c r="G4" s="40">
        <v>387.90800999999999</v>
      </c>
      <c r="H4" s="40">
        <v>2873.7832899999999</v>
      </c>
      <c r="I4" s="40">
        <v>0</v>
      </c>
      <c r="J4" s="40">
        <v>0</v>
      </c>
      <c r="K4" s="40">
        <v>502.7</v>
      </c>
      <c r="L4" s="41">
        <f t="shared" ref="L4:L67" si="0">SUM(B4:K4)</f>
        <v>22674.17453</v>
      </c>
    </row>
    <row r="5" spans="1:12" s="16" customFormat="1" x14ac:dyDescent="0.25">
      <c r="A5" s="2" t="s">
        <v>4</v>
      </c>
      <c r="B5" s="40">
        <v>4145.8723600000003</v>
      </c>
      <c r="C5" s="40">
        <v>370.77467999999999</v>
      </c>
      <c r="D5" s="40">
        <v>2147.6693300000002</v>
      </c>
      <c r="E5" s="40">
        <v>0.03</v>
      </c>
      <c r="F5" s="40">
        <v>791.57844999999998</v>
      </c>
      <c r="G5" s="40">
        <v>8.1728000000000005</v>
      </c>
      <c r="H5" s="40">
        <v>2610.2324399999998</v>
      </c>
      <c r="I5" s="40">
        <v>0</v>
      </c>
      <c r="J5" s="40">
        <v>0</v>
      </c>
      <c r="K5" s="40">
        <v>129.20099999999999</v>
      </c>
      <c r="L5" s="41">
        <f t="shared" si="0"/>
        <v>10203.531059999999</v>
      </c>
    </row>
    <row r="6" spans="1:12" s="16" customFormat="1" x14ac:dyDescent="0.25">
      <c r="A6" s="2" t="s">
        <v>33</v>
      </c>
      <c r="B6" s="40">
        <v>3867.7629400000001</v>
      </c>
      <c r="C6" s="40">
        <v>143.923</v>
      </c>
      <c r="D6" s="40">
        <v>1068.7811399999998</v>
      </c>
      <c r="E6" s="40">
        <v>4.8640400000000001</v>
      </c>
      <c r="F6" s="40">
        <v>85.82038</v>
      </c>
      <c r="G6" s="40">
        <v>159.44219000000001</v>
      </c>
      <c r="H6" s="40">
        <v>1455.5833400000001</v>
      </c>
      <c r="I6" s="40">
        <v>0</v>
      </c>
      <c r="J6" s="40">
        <v>0</v>
      </c>
      <c r="K6" s="40">
        <v>390.42061999999999</v>
      </c>
      <c r="L6" s="41">
        <f t="shared" si="0"/>
        <v>7176.5976500000006</v>
      </c>
    </row>
    <row r="7" spans="1:12" s="16" customFormat="1" x14ac:dyDescent="0.25">
      <c r="A7" s="2" t="s">
        <v>34</v>
      </c>
      <c r="B7" s="40">
        <v>1186.47504</v>
      </c>
      <c r="C7" s="40">
        <v>25.678999999999998</v>
      </c>
      <c r="D7" s="40">
        <v>228.48665</v>
      </c>
      <c r="E7" s="40">
        <v>0.95610000000000006</v>
      </c>
      <c r="F7" s="40">
        <v>20.90015</v>
      </c>
      <c r="G7" s="40">
        <v>88.37227</v>
      </c>
      <c r="H7" s="40">
        <v>214.83912000000001</v>
      </c>
      <c r="I7" s="40">
        <v>0</v>
      </c>
      <c r="J7" s="40">
        <v>0</v>
      </c>
      <c r="K7" s="40">
        <v>79.153999999999996</v>
      </c>
      <c r="L7" s="41">
        <f t="shared" si="0"/>
        <v>1844.8623300000004</v>
      </c>
    </row>
    <row r="8" spans="1:12" s="16" customFormat="1" x14ac:dyDescent="0.25">
      <c r="A8" s="2" t="s">
        <v>35</v>
      </c>
      <c r="B8" s="40">
        <v>13898.91013</v>
      </c>
      <c r="C8" s="40">
        <v>163.52015</v>
      </c>
      <c r="D8" s="40">
        <v>2410.1128699999999</v>
      </c>
      <c r="E8" s="40">
        <v>105.2654</v>
      </c>
      <c r="F8" s="40">
        <v>247.27</v>
      </c>
      <c r="G8" s="40">
        <v>216.88005999999999</v>
      </c>
      <c r="H8" s="40">
        <v>4183.7840299999998</v>
      </c>
      <c r="I8" s="40">
        <v>0</v>
      </c>
      <c r="J8" s="40">
        <v>0</v>
      </c>
      <c r="K8" s="40">
        <v>929.50009999999997</v>
      </c>
      <c r="L8" s="41">
        <f t="shared" si="0"/>
        <v>22155.242740000002</v>
      </c>
    </row>
    <row r="9" spans="1:12" s="16" customFormat="1" x14ac:dyDescent="0.25">
      <c r="A9" s="2" t="s">
        <v>36</v>
      </c>
      <c r="B9" s="40">
        <v>2204.96018</v>
      </c>
      <c r="C9" s="40">
        <v>65.448999999999998</v>
      </c>
      <c r="D9" s="40">
        <v>525.58558999999991</v>
      </c>
      <c r="E9" s="40">
        <v>0.5</v>
      </c>
      <c r="F9" s="40">
        <v>91.313020000000009</v>
      </c>
      <c r="G9" s="40">
        <v>226.92637999999999</v>
      </c>
      <c r="H9" s="40">
        <v>1398.88408</v>
      </c>
      <c r="I9" s="40">
        <v>0</v>
      </c>
      <c r="J9" s="40">
        <v>0</v>
      </c>
      <c r="K9" s="40">
        <v>110.2342</v>
      </c>
      <c r="L9" s="41">
        <f t="shared" si="0"/>
        <v>4623.8524500000003</v>
      </c>
    </row>
    <row r="10" spans="1:12" s="16" customFormat="1" x14ac:dyDescent="0.25">
      <c r="A10" s="2" t="s">
        <v>5</v>
      </c>
      <c r="B10" s="40">
        <v>29924.7094</v>
      </c>
      <c r="C10" s="40">
        <v>1605.8818000000001</v>
      </c>
      <c r="D10" s="40">
        <v>4083.9653499999999</v>
      </c>
      <c r="E10" s="40">
        <v>209.38303999999999</v>
      </c>
      <c r="F10" s="40">
        <v>2901.2742499999999</v>
      </c>
      <c r="G10" s="40">
        <v>135.69588000000002</v>
      </c>
      <c r="H10" s="40">
        <v>2163.9218700000001</v>
      </c>
      <c r="I10" s="40">
        <v>0</v>
      </c>
      <c r="J10" s="40">
        <v>206.69454000000002</v>
      </c>
      <c r="K10" s="40">
        <v>237.47435000000002</v>
      </c>
      <c r="L10" s="41">
        <f t="shared" si="0"/>
        <v>41469.000479999995</v>
      </c>
    </row>
    <row r="11" spans="1:12" s="16" customFormat="1" x14ac:dyDescent="0.25">
      <c r="A11" s="2" t="s">
        <v>37</v>
      </c>
      <c r="B11" s="40">
        <v>796.00851999999998</v>
      </c>
      <c r="C11" s="40">
        <v>46.502000000000002</v>
      </c>
      <c r="D11" s="40">
        <v>312.15659999999997</v>
      </c>
      <c r="E11" s="40">
        <v>10.628209999999999</v>
      </c>
      <c r="F11" s="40">
        <v>17.220849999999999</v>
      </c>
      <c r="G11" s="40">
        <v>25.1447</v>
      </c>
      <c r="H11" s="40">
        <v>225.71779999999998</v>
      </c>
      <c r="I11" s="40">
        <v>0</v>
      </c>
      <c r="J11" s="40">
        <v>0</v>
      </c>
      <c r="K11" s="40">
        <v>80.00869999999999</v>
      </c>
      <c r="L11" s="41">
        <f t="shared" si="0"/>
        <v>1513.3873799999999</v>
      </c>
    </row>
    <row r="12" spans="1:12" s="16" customFormat="1" x14ac:dyDescent="0.25">
      <c r="A12" s="2" t="s">
        <v>38</v>
      </c>
      <c r="B12" s="40">
        <v>3589.05825</v>
      </c>
      <c r="C12" s="40">
        <v>108.21769999999999</v>
      </c>
      <c r="D12" s="40">
        <v>821.94971999999996</v>
      </c>
      <c r="E12" s="40">
        <v>0</v>
      </c>
      <c r="F12" s="40">
        <v>96.700519999999997</v>
      </c>
      <c r="G12" s="40">
        <v>61.69847</v>
      </c>
      <c r="H12" s="40">
        <v>2574.5864100000003</v>
      </c>
      <c r="I12" s="40">
        <v>0</v>
      </c>
      <c r="J12" s="40">
        <v>0</v>
      </c>
      <c r="K12" s="40">
        <v>284.70704999999998</v>
      </c>
      <c r="L12" s="41">
        <f t="shared" si="0"/>
        <v>7536.9181200000012</v>
      </c>
    </row>
    <row r="13" spans="1:12" s="16" customFormat="1" x14ac:dyDescent="0.25">
      <c r="A13" s="2" t="s">
        <v>6</v>
      </c>
      <c r="B13" s="40">
        <v>15415.466539999999</v>
      </c>
      <c r="C13" s="40">
        <v>97.436700000000002</v>
      </c>
      <c r="D13" s="40">
        <v>1471.7131299999999</v>
      </c>
      <c r="E13" s="40">
        <v>13.766549999999999</v>
      </c>
      <c r="F13" s="40">
        <v>835.53293999999994</v>
      </c>
      <c r="G13" s="40">
        <v>69.350700000000003</v>
      </c>
      <c r="H13" s="40">
        <v>929.14062999999999</v>
      </c>
      <c r="I13" s="40">
        <v>0</v>
      </c>
      <c r="J13" s="40">
        <v>0</v>
      </c>
      <c r="K13" s="40">
        <v>205.40345000000002</v>
      </c>
      <c r="L13" s="41">
        <f t="shared" si="0"/>
        <v>19037.810640000003</v>
      </c>
    </row>
    <row r="14" spans="1:12" s="16" customFormat="1" x14ac:dyDescent="0.25">
      <c r="A14" s="2" t="s">
        <v>39</v>
      </c>
      <c r="B14" s="40">
        <v>6015.1900599999999</v>
      </c>
      <c r="C14" s="40">
        <v>62.77</v>
      </c>
      <c r="D14" s="40">
        <v>857.1720600000001</v>
      </c>
      <c r="E14" s="40">
        <v>11.627610000000001</v>
      </c>
      <c r="F14" s="40">
        <v>166.96204999999998</v>
      </c>
      <c r="G14" s="40">
        <v>117.42845</v>
      </c>
      <c r="H14" s="40">
        <v>757.87103999999999</v>
      </c>
      <c r="I14" s="40">
        <v>0</v>
      </c>
      <c r="J14" s="40">
        <v>0</v>
      </c>
      <c r="K14" s="40">
        <v>619.06319999999994</v>
      </c>
      <c r="L14" s="41">
        <f t="shared" si="0"/>
        <v>8608.0844699999998</v>
      </c>
    </row>
    <row r="15" spans="1:12" s="16" customFormat="1" x14ac:dyDescent="0.25">
      <c r="A15" s="2" t="s">
        <v>40</v>
      </c>
      <c r="B15" s="40">
        <v>1361.2591</v>
      </c>
      <c r="C15" s="40">
        <v>40.176000000000002</v>
      </c>
      <c r="D15" s="40">
        <v>359.24556000000001</v>
      </c>
      <c r="E15" s="40">
        <v>0.18978999999999999</v>
      </c>
      <c r="F15" s="40">
        <v>85.288710000000009</v>
      </c>
      <c r="G15" s="40">
        <v>59.134419999999999</v>
      </c>
      <c r="H15" s="40">
        <v>819.14705000000004</v>
      </c>
      <c r="I15" s="40">
        <v>0</v>
      </c>
      <c r="J15" s="40">
        <v>0</v>
      </c>
      <c r="K15" s="40">
        <v>100.74526</v>
      </c>
      <c r="L15" s="41">
        <f t="shared" si="0"/>
        <v>2825.1858900000002</v>
      </c>
    </row>
    <row r="16" spans="1:12" s="16" customFormat="1" x14ac:dyDescent="0.25">
      <c r="A16" s="2" t="s">
        <v>41</v>
      </c>
      <c r="B16" s="40">
        <v>790.95577000000003</v>
      </c>
      <c r="C16" s="40">
        <v>49.08</v>
      </c>
      <c r="D16" s="40">
        <v>157.71850000000001</v>
      </c>
      <c r="E16" s="40">
        <v>0</v>
      </c>
      <c r="F16" s="40">
        <v>111.50632</v>
      </c>
      <c r="G16" s="40">
        <v>12.784940000000001</v>
      </c>
      <c r="H16" s="40">
        <v>363.15627000000001</v>
      </c>
      <c r="I16" s="40">
        <v>0</v>
      </c>
      <c r="J16" s="40">
        <v>0</v>
      </c>
      <c r="K16" s="40">
        <v>0</v>
      </c>
      <c r="L16" s="41">
        <f t="shared" si="0"/>
        <v>1485.2018</v>
      </c>
    </row>
    <row r="17" spans="1:12" s="16" customFormat="1" x14ac:dyDescent="0.25">
      <c r="A17" s="2" t="s">
        <v>27</v>
      </c>
      <c r="B17" s="40">
        <v>126215.93207</v>
      </c>
      <c r="C17" s="40">
        <v>2142.5390400000001</v>
      </c>
      <c r="D17" s="40">
        <v>41624.713899999995</v>
      </c>
      <c r="E17" s="40">
        <v>1576.8617899999999</v>
      </c>
      <c r="F17" s="40">
        <v>10646.022989999999</v>
      </c>
      <c r="G17" s="40">
        <v>1124.24271</v>
      </c>
      <c r="H17" s="40">
        <v>41600.62429</v>
      </c>
      <c r="I17" s="40">
        <v>0</v>
      </c>
      <c r="J17" s="40">
        <v>1093.38446</v>
      </c>
      <c r="K17" s="40">
        <v>12184.367679999999</v>
      </c>
      <c r="L17" s="41">
        <f t="shared" si="0"/>
        <v>238208.68892999997</v>
      </c>
    </row>
    <row r="18" spans="1:12" s="16" customFormat="1" x14ac:dyDescent="0.25">
      <c r="A18" s="2" t="s">
        <v>7</v>
      </c>
      <c r="B18" s="40">
        <v>14364.842630000001</v>
      </c>
      <c r="C18" s="40">
        <v>252.791</v>
      </c>
      <c r="D18" s="40">
        <v>3224.9005000000002</v>
      </c>
      <c r="E18" s="40">
        <v>140.8425</v>
      </c>
      <c r="F18" s="40">
        <v>1059.51412</v>
      </c>
      <c r="G18" s="40">
        <v>0</v>
      </c>
      <c r="H18" s="40">
        <v>10705.683419999999</v>
      </c>
      <c r="I18" s="40">
        <v>0</v>
      </c>
      <c r="J18" s="40">
        <v>0</v>
      </c>
      <c r="K18" s="40">
        <v>1127.6560900000002</v>
      </c>
      <c r="L18" s="41">
        <f t="shared" si="0"/>
        <v>30876.23026</v>
      </c>
    </row>
    <row r="19" spans="1:12" s="16" customFormat="1" x14ac:dyDescent="0.25">
      <c r="A19" s="2" t="s">
        <v>42</v>
      </c>
      <c r="B19" s="40">
        <v>15230.62521</v>
      </c>
      <c r="C19" s="40">
        <v>93.606999999999999</v>
      </c>
      <c r="D19" s="40">
        <v>2168.9915799999999</v>
      </c>
      <c r="E19" s="40">
        <v>3.3413000000000004</v>
      </c>
      <c r="F19" s="40">
        <v>314.54907000000003</v>
      </c>
      <c r="G19" s="40">
        <v>371.32281</v>
      </c>
      <c r="H19" s="40">
        <v>1308.7501599999998</v>
      </c>
      <c r="I19" s="40">
        <v>0</v>
      </c>
      <c r="J19" s="40">
        <v>0</v>
      </c>
      <c r="K19" s="40">
        <v>738.34100000000001</v>
      </c>
      <c r="L19" s="41">
        <f t="shared" si="0"/>
        <v>20229.528130000002</v>
      </c>
    </row>
    <row r="20" spans="1:12" s="16" customFormat="1" x14ac:dyDescent="0.25">
      <c r="A20" s="2" t="s">
        <v>43</v>
      </c>
      <c r="B20" s="40">
        <v>4726.2697900000003</v>
      </c>
      <c r="C20" s="40">
        <v>10.98</v>
      </c>
      <c r="D20" s="40">
        <v>1000.32557</v>
      </c>
      <c r="E20" s="40">
        <v>2.0280999999999998</v>
      </c>
      <c r="F20" s="40">
        <v>270.66931</v>
      </c>
      <c r="G20" s="40">
        <v>55.447389999999999</v>
      </c>
      <c r="H20" s="40">
        <v>108.15164999999999</v>
      </c>
      <c r="I20" s="40">
        <v>0</v>
      </c>
      <c r="J20" s="40">
        <v>0</v>
      </c>
      <c r="K20" s="40">
        <v>326.59345000000002</v>
      </c>
      <c r="L20" s="41">
        <f t="shared" si="0"/>
        <v>6500.4652600000009</v>
      </c>
    </row>
    <row r="21" spans="1:12" s="16" customFormat="1" x14ac:dyDescent="0.25">
      <c r="A21" s="2" t="s">
        <v>44</v>
      </c>
      <c r="B21" s="40">
        <v>4203.9189400000005</v>
      </c>
      <c r="C21" s="40">
        <v>460.19299999999998</v>
      </c>
      <c r="D21" s="40">
        <v>1839.8631499999999</v>
      </c>
      <c r="E21" s="40">
        <v>0</v>
      </c>
      <c r="F21" s="40">
        <v>108.12319000000001</v>
      </c>
      <c r="G21" s="40">
        <v>41.253519999999995</v>
      </c>
      <c r="H21" s="40">
        <v>3306.4164500000002</v>
      </c>
      <c r="I21" s="40">
        <v>0</v>
      </c>
      <c r="J21" s="40">
        <v>0</v>
      </c>
      <c r="K21" s="40">
        <v>650.73622999999998</v>
      </c>
      <c r="L21" s="41">
        <f t="shared" si="0"/>
        <v>10610.504480000001</v>
      </c>
    </row>
    <row r="22" spans="1:12" s="16" customFormat="1" x14ac:dyDescent="0.25">
      <c r="A22" s="2" t="s">
        <v>8</v>
      </c>
      <c r="B22" s="40">
        <v>1865.6769399999998</v>
      </c>
      <c r="C22" s="40">
        <v>80.599000000000004</v>
      </c>
      <c r="D22" s="40">
        <v>529.67509999999993</v>
      </c>
      <c r="E22" s="40">
        <v>3.8414000000000001</v>
      </c>
      <c r="F22" s="40">
        <v>157.92095999999998</v>
      </c>
      <c r="G22" s="40">
        <v>92.580690000000004</v>
      </c>
      <c r="H22" s="40">
        <v>1771.6904</v>
      </c>
      <c r="I22" s="40">
        <v>0</v>
      </c>
      <c r="J22" s="40">
        <v>0</v>
      </c>
      <c r="K22" s="40">
        <v>6.6433</v>
      </c>
      <c r="L22" s="41">
        <f t="shared" si="0"/>
        <v>4508.6277899999986</v>
      </c>
    </row>
    <row r="23" spans="1:12" s="16" customFormat="1" x14ac:dyDescent="0.25">
      <c r="A23" s="2" t="s">
        <v>45</v>
      </c>
      <c r="B23" s="40">
        <v>219.47510999999997</v>
      </c>
      <c r="C23" s="40">
        <v>20.369</v>
      </c>
      <c r="D23" s="40">
        <v>116.18334</v>
      </c>
      <c r="E23" s="40">
        <v>6.3401300000000003</v>
      </c>
      <c r="F23" s="40">
        <v>6.9479300000000004</v>
      </c>
      <c r="G23" s="40">
        <v>2.7000000000000001E-3</v>
      </c>
      <c r="H23" s="40">
        <v>410.02994999999999</v>
      </c>
      <c r="I23" s="40">
        <v>0</v>
      </c>
      <c r="J23" s="40">
        <v>0</v>
      </c>
      <c r="K23" s="40">
        <v>0</v>
      </c>
      <c r="L23" s="41">
        <f t="shared" si="0"/>
        <v>779.34816000000001</v>
      </c>
    </row>
    <row r="24" spans="1:12" s="16" customFormat="1" x14ac:dyDescent="0.25">
      <c r="A24" s="2" t="s">
        <v>46</v>
      </c>
      <c r="B24" s="40">
        <v>5531.2470800000001</v>
      </c>
      <c r="C24" s="40">
        <v>235.62795</v>
      </c>
      <c r="D24" s="40">
        <v>1172.5192</v>
      </c>
      <c r="E24" s="40">
        <v>5.5838000000000001</v>
      </c>
      <c r="F24" s="40">
        <v>122.598</v>
      </c>
      <c r="G24" s="40">
        <v>70.53528</v>
      </c>
      <c r="H24" s="40">
        <v>1876.51531</v>
      </c>
      <c r="I24" s="40">
        <v>0</v>
      </c>
      <c r="J24" s="40">
        <v>0</v>
      </c>
      <c r="K24" s="40">
        <v>907.34589000000005</v>
      </c>
      <c r="L24" s="41">
        <f t="shared" si="0"/>
        <v>9921.9725100000014</v>
      </c>
    </row>
    <row r="25" spans="1:12" s="16" customFormat="1" x14ac:dyDescent="0.25">
      <c r="A25" s="2" t="s">
        <v>47</v>
      </c>
      <c r="B25" s="40">
        <v>2318.3991499999997</v>
      </c>
      <c r="C25" s="40">
        <v>62.978000000000002</v>
      </c>
      <c r="D25" s="40">
        <v>300.45916999999997</v>
      </c>
      <c r="E25" s="40">
        <v>4.11334</v>
      </c>
      <c r="F25" s="40">
        <v>242.37514999999999</v>
      </c>
      <c r="G25" s="40">
        <v>49.850580000000001</v>
      </c>
      <c r="H25" s="40">
        <v>259.34517</v>
      </c>
      <c r="I25" s="40">
        <v>0</v>
      </c>
      <c r="J25" s="40">
        <v>0</v>
      </c>
      <c r="K25" s="40">
        <v>75.11014999999999</v>
      </c>
      <c r="L25" s="41">
        <f t="shared" si="0"/>
        <v>3312.6307099999995</v>
      </c>
    </row>
    <row r="26" spans="1:12" s="16" customFormat="1" x14ac:dyDescent="0.25">
      <c r="A26" s="2" t="s">
        <v>48</v>
      </c>
      <c r="B26" s="40">
        <v>8232.9451200000003</v>
      </c>
      <c r="C26" s="40">
        <v>232.4254</v>
      </c>
      <c r="D26" s="40">
        <v>2825.9351900000001</v>
      </c>
      <c r="E26" s="40">
        <v>31.11</v>
      </c>
      <c r="F26" s="40">
        <v>856.45709999999997</v>
      </c>
      <c r="G26" s="40">
        <v>444.83780999999999</v>
      </c>
      <c r="H26" s="40">
        <v>957.98821999999996</v>
      </c>
      <c r="I26" s="40">
        <v>0</v>
      </c>
      <c r="J26" s="40">
        <v>0</v>
      </c>
      <c r="K26" s="40">
        <v>758.97199999999998</v>
      </c>
      <c r="L26" s="41">
        <f t="shared" si="0"/>
        <v>14340.670840000001</v>
      </c>
    </row>
    <row r="27" spans="1:12" s="16" customFormat="1" x14ac:dyDescent="0.25">
      <c r="A27" s="2" t="s">
        <v>49</v>
      </c>
      <c r="B27" s="40">
        <v>1864.67452</v>
      </c>
      <c r="C27" s="40">
        <v>29.628</v>
      </c>
      <c r="D27" s="40">
        <v>460.70802000000003</v>
      </c>
      <c r="E27" s="40">
        <v>4.2111999999999998</v>
      </c>
      <c r="F27" s="40">
        <v>450.13779999999997</v>
      </c>
      <c r="G27" s="40">
        <v>26.447040000000001</v>
      </c>
      <c r="H27" s="40">
        <v>71.074770000000001</v>
      </c>
      <c r="I27" s="40">
        <v>0</v>
      </c>
      <c r="J27" s="40">
        <v>0</v>
      </c>
      <c r="K27" s="40">
        <v>201.69204999999999</v>
      </c>
      <c r="L27" s="41">
        <f t="shared" si="0"/>
        <v>3108.5734000000007</v>
      </c>
    </row>
    <row r="28" spans="1:12" s="16" customFormat="1" x14ac:dyDescent="0.25">
      <c r="A28" s="2" t="s">
        <v>50</v>
      </c>
      <c r="B28" s="40">
        <v>2394.6400400000002</v>
      </c>
      <c r="C28" s="40">
        <v>65.7</v>
      </c>
      <c r="D28" s="40">
        <v>598.28240000000005</v>
      </c>
      <c r="E28" s="40">
        <v>7.78</v>
      </c>
      <c r="F28" s="40">
        <v>98.857050000000001</v>
      </c>
      <c r="G28" s="40">
        <v>89.334360000000004</v>
      </c>
      <c r="H28" s="40">
        <v>467.02646999999996</v>
      </c>
      <c r="I28" s="40">
        <v>0</v>
      </c>
      <c r="J28" s="40">
        <v>0</v>
      </c>
      <c r="K28" s="40">
        <v>181.21600000000001</v>
      </c>
      <c r="L28" s="41">
        <f t="shared" si="0"/>
        <v>3902.8363199999999</v>
      </c>
    </row>
    <row r="29" spans="1:12" s="16" customFormat="1" x14ac:dyDescent="0.25">
      <c r="A29" s="2" t="s">
        <v>51</v>
      </c>
      <c r="B29" s="40">
        <v>6885.2634900000003</v>
      </c>
      <c r="C29" s="40">
        <v>32.585999999999999</v>
      </c>
      <c r="D29" s="40">
        <v>892.38159999999993</v>
      </c>
      <c r="E29" s="40">
        <v>17.1037</v>
      </c>
      <c r="F29" s="40">
        <v>534.16373999999996</v>
      </c>
      <c r="G29" s="40">
        <v>147.19729000000001</v>
      </c>
      <c r="H29" s="40">
        <v>485.66921000000002</v>
      </c>
      <c r="I29" s="40">
        <v>0</v>
      </c>
      <c r="J29" s="40">
        <v>0</v>
      </c>
      <c r="K29" s="40">
        <v>284.84340000000003</v>
      </c>
      <c r="L29" s="41">
        <f t="shared" si="0"/>
        <v>9279.2084300000006</v>
      </c>
    </row>
    <row r="30" spans="1:12" s="16" customFormat="1" x14ac:dyDescent="0.25">
      <c r="A30" s="2" t="s">
        <v>52</v>
      </c>
      <c r="B30" s="40">
        <v>7264.3140100000001</v>
      </c>
      <c r="C30" s="40">
        <v>181.88264999999998</v>
      </c>
      <c r="D30" s="40">
        <v>1630.9133700000002</v>
      </c>
      <c r="E30" s="40">
        <v>17.425650000000001</v>
      </c>
      <c r="F30" s="40">
        <v>280.68331000000001</v>
      </c>
      <c r="G30" s="40">
        <v>194.37097</v>
      </c>
      <c r="H30" s="40">
        <v>3294.8168300000002</v>
      </c>
      <c r="I30" s="40">
        <v>0</v>
      </c>
      <c r="J30" s="40">
        <v>0</v>
      </c>
      <c r="K30" s="40">
        <v>1051.0733799999998</v>
      </c>
      <c r="L30" s="41">
        <f t="shared" si="0"/>
        <v>13915.480169999999</v>
      </c>
    </row>
    <row r="31" spans="1:12" s="16" customFormat="1" x14ac:dyDescent="0.25">
      <c r="A31" s="2" t="s">
        <v>9</v>
      </c>
      <c r="B31" s="40">
        <v>145.54089000000002</v>
      </c>
      <c r="C31" s="40">
        <v>24.46</v>
      </c>
      <c r="D31" s="40">
        <v>45.778300000000002</v>
      </c>
      <c r="E31" s="40">
        <v>0</v>
      </c>
      <c r="F31" s="40">
        <v>265.16415000000001</v>
      </c>
      <c r="G31" s="40">
        <v>1.22</v>
      </c>
      <c r="H31" s="40">
        <v>325.50527</v>
      </c>
      <c r="I31" s="40">
        <v>0</v>
      </c>
      <c r="J31" s="40">
        <v>0</v>
      </c>
      <c r="K31" s="40">
        <v>0</v>
      </c>
      <c r="L31" s="41">
        <f t="shared" si="0"/>
        <v>807.66861000000006</v>
      </c>
    </row>
    <row r="32" spans="1:12" s="16" customFormat="1" x14ac:dyDescent="0.25">
      <c r="A32" s="2" t="s">
        <v>10</v>
      </c>
      <c r="B32" s="40">
        <v>8304.0708300000006</v>
      </c>
      <c r="C32" s="40">
        <v>36.000999999999998</v>
      </c>
      <c r="D32" s="40">
        <v>683.78764999999999</v>
      </c>
      <c r="E32" s="40">
        <v>0</v>
      </c>
      <c r="F32" s="40">
        <v>248.4845</v>
      </c>
      <c r="G32" s="40">
        <v>148.48170000000002</v>
      </c>
      <c r="H32" s="40">
        <v>431.72944999999999</v>
      </c>
      <c r="I32" s="40">
        <v>0</v>
      </c>
      <c r="J32" s="40">
        <v>0</v>
      </c>
      <c r="K32" s="40">
        <v>128.68</v>
      </c>
      <c r="L32" s="41">
        <f t="shared" si="0"/>
        <v>9981.2351300000028</v>
      </c>
    </row>
    <row r="33" spans="1:12" s="16" customFormat="1" x14ac:dyDescent="0.25">
      <c r="A33" s="2" t="s">
        <v>53</v>
      </c>
      <c r="B33" s="40">
        <v>17058.944930000001</v>
      </c>
      <c r="C33" s="40">
        <v>244.94725</v>
      </c>
      <c r="D33" s="40">
        <v>4826.6654699999999</v>
      </c>
      <c r="E33" s="40">
        <v>298.40053</v>
      </c>
      <c r="F33" s="40">
        <v>1146.2101299999999</v>
      </c>
      <c r="G33" s="40">
        <v>718.12869999999998</v>
      </c>
      <c r="H33" s="40">
        <v>8571.2331099999992</v>
      </c>
      <c r="I33" s="40">
        <v>0</v>
      </c>
      <c r="J33" s="40">
        <v>0</v>
      </c>
      <c r="K33" s="40">
        <v>2066.1745000000001</v>
      </c>
      <c r="L33" s="41">
        <f t="shared" si="0"/>
        <v>34930.704620000004</v>
      </c>
    </row>
    <row r="34" spans="1:12" s="16" customFormat="1" x14ac:dyDescent="0.25">
      <c r="A34" s="2" t="s">
        <v>54</v>
      </c>
      <c r="B34" s="40">
        <v>12149.96343</v>
      </c>
      <c r="C34" s="40">
        <v>154.89349999999999</v>
      </c>
      <c r="D34" s="40">
        <v>2529.53215</v>
      </c>
      <c r="E34" s="40">
        <v>54.360570000000003</v>
      </c>
      <c r="F34" s="40">
        <v>349.93445000000003</v>
      </c>
      <c r="G34" s="40">
        <v>731.67306999999994</v>
      </c>
      <c r="H34" s="40">
        <v>3132.3973900000001</v>
      </c>
      <c r="I34" s="40">
        <v>0</v>
      </c>
      <c r="J34" s="40">
        <v>0</v>
      </c>
      <c r="K34" s="40">
        <v>856.05380000000002</v>
      </c>
      <c r="L34" s="41">
        <f t="shared" si="0"/>
        <v>19958.808360000003</v>
      </c>
    </row>
    <row r="35" spans="1:12" s="16" customFormat="1" x14ac:dyDescent="0.25">
      <c r="A35" s="2" t="s">
        <v>55</v>
      </c>
      <c r="B35" s="40">
        <v>9163.2330299999994</v>
      </c>
      <c r="C35" s="40">
        <v>128.05549999999999</v>
      </c>
      <c r="D35" s="40">
        <v>1134.2270600000002</v>
      </c>
      <c r="E35" s="40">
        <v>0</v>
      </c>
      <c r="F35" s="40">
        <v>343.69607000000002</v>
      </c>
      <c r="G35" s="40">
        <v>340.39110999999997</v>
      </c>
      <c r="H35" s="40">
        <v>600.19610999999998</v>
      </c>
      <c r="I35" s="40">
        <v>0</v>
      </c>
      <c r="J35" s="40">
        <v>0</v>
      </c>
      <c r="K35" s="40">
        <v>284.0942</v>
      </c>
      <c r="L35" s="41">
        <f t="shared" si="0"/>
        <v>11993.89308</v>
      </c>
    </row>
    <row r="36" spans="1:12" s="16" customFormat="1" x14ac:dyDescent="0.25">
      <c r="A36" s="2" t="s">
        <v>56</v>
      </c>
      <c r="B36" s="40">
        <v>2532.81873</v>
      </c>
      <c r="C36" s="40">
        <v>81.665000000000006</v>
      </c>
      <c r="D36" s="40">
        <v>1202.9063700000002</v>
      </c>
      <c r="E36" s="40">
        <v>0</v>
      </c>
      <c r="F36" s="40">
        <v>227.31529</v>
      </c>
      <c r="G36" s="40">
        <v>83.381299999999996</v>
      </c>
      <c r="H36" s="40">
        <v>2201.02673</v>
      </c>
      <c r="I36" s="40">
        <v>0</v>
      </c>
      <c r="J36" s="40">
        <v>0</v>
      </c>
      <c r="K36" s="40">
        <v>949.92399999999998</v>
      </c>
      <c r="L36" s="41">
        <f t="shared" si="0"/>
        <v>7279.0374199999997</v>
      </c>
    </row>
    <row r="37" spans="1:12" s="16" customFormat="1" x14ac:dyDescent="0.25">
      <c r="A37" s="2" t="s">
        <v>57</v>
      </c>
      <c r="B37" s="40">
        <v>136.60376000000002</v>
      </c>
      <c r="C37" s="40">
        <v>11.608000000000001</v>
      </c>
      <c r="D37" s="40">
        <v>81.865719999999996</v>
      </c>
      <c r="E37" s="40">
        <v>0.60785</v>
      </c>
      <c r="F37" s="40">
        <v>3.9934499999999997</v>
      </c>
      <c r="G37" s="40">
        <v>0</v>
      </c>
      <c r="H37" s="40">
        <v>237.31229999999999</v>
      </c>
      <c r="I37" s="40">
        <v>0</v>
      </c>
      <c r="J37" s="40">
        <v>0</v>
      </c>
      <c r="K37" s="40">
        <v>0</v>
      </c>
      <c r="L37" s="41">
        <f t="shared" si="0"/>
        <v>471.99108000000001</v>
      </c>
    </row>
    <row r="38" spans="1:12" s="16" customFormat="1" x14ac:dyDescent="0.25">
      <c r="A38" s="2" t="s">
        <v>58</v>
      </c>
      <c r="B38" s="40">
        <v>2421.3490999999999</v>
      </c>
      <c r="C38" s="40">
        <v>152.05799999999999</v>
      </c>
      <c r="D38" s="40">
        <v>762.33293000000003</v>
      </c>
      <c r="E38" s="40">
        <v>20</v>
      </c>
      <c r="F38" s="40">
        <v>305.84147999999999</v>
      </c>
      <c r="G38" s="40">
        <v>191.80229</v>
      </c>
      <c r="H38" s="40">
        <v>2323.0192499999998</v>
      </c>
      <c r="I38" s="40">
        <v>0</v>
      </c>
      <c r="J38" s="40">
        <v>0</v>
      </c>
      <c r="K38" s="40">
        <v>485.34934000000004</v>
      </c>
      <c r="L38" s="41">
        <f t="shared" si="0"/>
        <v>6661.7523899999997</v>
      </c>
    </row>
    <row r="39" spans="1:12" s="16" customFormat="1" x14ac:dyDescent="0.25">
      <c r="A39" s="2" t="s">
        <v>11</v>
      </c>
      <c r="B39" s="40">
        <v>39902.637569999999</v>
      </c>
      <c r="C39" s="40">
        <v>512.16145000000006</v>
      </c>
      <c r="D39" s="40">
        <v>15353.263269999999</v>
      </c>
      <c r="E39" s="40">
        <v>398.65181000000001</v>
      </c>
      <c r="F39" s="40">
        <v>5352.0790099999995</v>
      </c>
      <c r="G39" s="40">
        <v>175</v>
      </c>
      <c r="H39" s="40">
        <v>12324.252500000001</v>
      </c>
      <c r="I39" s="40">
        <v>0</v>
      </c>
      <c r="J39" s="40">
        <v>0</v>
      </c>
      <c r="K39" s="40">
        <v>1504.9151299999999</v>
      </c>
      <c r="L39" s="41">
        <f t="shared" si="0"/>
        <v>75522.960739999995</v>
      </c>
    </row>
    <row r="40" spans="1:12" s="16" customFormat="1" x14ac:dyDescent="0.25">
      <c r="A40" s="3" t="s">
        <v>59</v>
      </c>
      <c r="B40" s="40">
        <v>7961.8401100000001</v>
      </c>
      <c r="C40" s="40">
        <v>1.2849999999999999</v>
      </c>
      <c r="D40" s="40">
        <v>1649.1461299999999</v>
      </c>
      <c r="E40" s="40">
        <v>354.15004999999996</v>
      </c>
      <c r="F40" s="40">
        <v>998.38972000000001</v>
      </c>
      <c r="G40" s="40">
        <v>136.83999</v>
      </c>
      <c r="H40" s="40">
        <v>705.35703000000001</v>
      </c>
      <c r="I40" s="40">
        <v>0</v>
      </c>
      <c r="J40" s="40">
        <v>0</v>
      </c>
      <c r="K40" s="40">
        <v>320.40080999999998</v>
      </c>
      <c r="L40" s="41">
        <f t="shared" si="0"/>
        <v>12127.408839999998</v>
      </c>
    </row>
    <row r="41" spans="1:12" s="16" customFormat="1" x14ac:dyDescent="0.25">
      <c r="A41" s="2" t="s">
        <v>60</v>
      </c>
      <c r="B41" s="40">
        <v>37847.148740000004</v>
      </c>
      <c r="C41" s="40">
        <v>160.66999999999999</v>
      </c>
      <c r="D41" s="40">
        <v>5432.4834600000004</v>
      </c>
      <c r="E41" s="40">
        <v>53.78425</v>
      </c>
      <c r="F41" s="40">
        <v>533.21326999999997</v>
      </c>
      <c r="G41" s="40">
        <v>89.178330000000003</v>
      </c>
      <c r="H41" s="40">
        <v>846.97761000000003</v>
      </c>
      <c r="I41" s="40">
        <v>10</v>
      </c>
      <c r="J41" s="40">
        <v>0</v>
      </c>
      <c r="K41" s="40">
        <v>782.07541000000003</v>
      </c>
      <c r="L41" s="41">
        <f t="shared" si="0"/>
        <v>45755.531070000005</v>
      </c>
    </row>
    <row r="42" spans="1:12" s="16" customFormat="1" x14ac:dyDescent="0.25">
      <c r="A42" s="2" t="s">
        <v>61</v>
      </c>
      <c r="B42" s="40">
        <v>8514.3827300000012</v>
      </c>
      <c r="C42" s="40">
        <v>56.195</v>
      </c>
      <c r="D42" s="40">
        <v>1073.7328400000001</v>
      </c>
      <c r="E42" s="40">
        <v>0.18855000000000002</v>
      </c>
      <c r="F42" s="40">
        <v>285.30534999999998</v>
      </c>
      <c r="G42" s="40">
        <v>31.373709999999999</v>
      </c>
      <c r="H42" s="40">
        <v>622.85811000000001</v>
      </c>
      <c r="I42" s="40">
        <v>0</v>
      </c>
      <c r="J42" s="40">
        <v>0</v>
      </c>
      <c r="K42" s="40">
        <v>262.15209999999996</v>
      </c>
      <c r="L42" s="41">
        <f t="shared" si="0"/>
        <v>10846.188390000001</v>
      </c>
    </row>
    <row r="43" spans="1:12" s="16" customFormat="1" x14ac:dyDescent="0.25">
      <c r="A43" s="1" t="s">
        <v>62</v>
      </c>
      <c r="B43" s="40">
        <v>7203.6603600000008</v>
      </c>
      <c r="C43" s="40">
        <v>138.80099999999999</v>
      </c>
      <c r="D43" s="40">
        <v>1758.9556200000002</v>
      </c>
      <c r="E43" s="40">
        <v>1.2541900000000001</v>
      </c>
      <c r="F43" s="40">
        <v>117.21253999999999</v>
      </c>
      <c r="G43" s="40">
        <v>340.30829999999997</v>
      </c>
      <c r="H43" s="40">
        <v>2778.56007</v>
      </c>
      <c r="I43" s="40">
        <v>0</v>
      </c>
      <c r="J43" s="40">
        <v>0</v>
      </c>
      <c r="K43" s="40">
        <v>1059.4581499999999</v>
      </c>
      <c r="L43" s="41">
        <f t="shared" si="0"/>
        <v>13398.210230000002</v>
      </c>
    </row>
    <row r="44" spans="1:12" s="16" customFormat="1" x14ac:dyDescent="0.25">
      <c r="A44" s="2" t="s">
        <v>63</v>
      </c>
      <c r="B44" s="40">
        <v>5099.1903000000002</v>
      </c>
      <c r="C44" s="40">
        <v>43.384599999999999</v>
      </c>
      <c r="D44" s="40">
        <v>747.94765000000007</v>
      </c>
      <c r="E44" s="40">
        <v>33.514690000000002</v>
      </c>
      <c r="F44" s="40">
        <v>52.62424</v>
      </c>
      <c r="G44" s="40">
        <v>348.36015000000003</v>
      </c>
      <c r="H44" s="40">
        <v>280.98905999999999</v>
      </c>
      <c r="I44" s="40">
        <v>0</v>
      </c>
      <c r="J44" s="40">
        <v>0</v>
      </c>
      <c r="K44" s="40">
        <v>204.73579999999998</v>
      </c>
      <c r="L44" s="41">
        <f t="shared" si="0"/>
        <v>6810.7464900000014</v>
      </c>
    </row>
    <row r="45" spans="1:12" s="16" customFormat="1" x14ac:dyDescent="0.25">
      <c r="A45" s="2" t="s">
        <v>64</v>
      </c>
      <c r="B45" s="40">
        <v>1506.4646699999998</v>
      </c>
      <c r="C45" s="40">
        <v>31.085000000000001</v>
      </c>
      <c r="D45" s="40">
        <v>370.63</v>
      </c>
      <c r="E45" s="40">
        <v>11.6126</v>
      </c>
      <c r="F45" s="40">
        <v>11.90588</v>
      </c>
      <c r="G45" s="40">
        <v>2.8701699999999999</v>
      </c>
      <c r="H45" s="40">
        <v>611.58330000000001</v>
      </c>
      <c r="I45" s="40">
        <v>0</v>
      </c>
      <c r="J45" s="40">
        <v>0</v>
      </c>
      <c r="K45" s="40">
        <v>56.694699999999997</v>
      </c>
      <c r="L45" s="41">
        <f t="shared" si="0"/>
        <v>2602.8463199999997</v>
      </c>
    </row>
    <row r="46" spans="1:12" s="16" customFormat="1" x14ac:dyDescent="0.25">
      <c r="A46" s="2" t="s">
        <v>65</v>
      </c>
      <c r="B46" s="40">
        <v>451.7072</v>
      </c>
      <c r="C46" s="40">
        <v>50.223500000000001</v>
      </c>
      <c r="D46" s="40">
        <v>252.72960999999998</v>
      </c>
      <c r="E46" s="40">
        <v>0</v>
      </c>
      <c r="F46" s="40">
        <v>46.61045</v>
      </c>
      <c r="G46" s="40">
        <v>59.413539999999998</v>
      </c>
      <c r="H46" s="40">
        <v>254.11411999999999</v>
      </c>
      <c r="I46" s="40">
        <v>0</v>
      </c>
      <c r="J46" s="40">
        <v>0</v>
      </c>
      <c r="K46" s="40">
        <v>24.154</v>
      </c>
      <c r="L46" s="41">
        <f t="shared" si="0"/>
        <v>1138.9524200000001</v>
      </c>
    </row>
    <row r="47" spans="1:12" s="16" customFormat="1" x14ac:dyDescent="0.25">
      <c r="A47" s="2" t="s">
        <v>66</v>
      </c>
      <c r="B47" s="40">
        <v>6771.2285599999996</v>
      </c>
      <c r="C47" s="40">
        <v>535.13900000000001</v>
      </c>
      <c r="D47" s="40">
        <v>2188.7852799999996</v>
      </c>
      <c r="E47" s="40">
        <v>138.53877</v>
      </c>
      <c r="F47" s="40">
        <v>371.8587</v>
      </c>
      <c r="G47" s="40">
        <v>214.86257000000001</v>
      </c>
      <c r="H47" s="40">
        <v>5590.1448499999997</v>
      </c>
      <c r="I47" s="40">
        <v>0</v>
      </c>
      <c r="J47" s="40">
        <v>0</v>
      </c>
      <c r="K47" s="40">
        <v>732.75257999999997</v>
      </c>
      <c r="L47" s="41">
        <f t="shared" si="0"/>
        <v>16543.310309999997</v>
      </c>
    </row>
    <row r="48" spans="1:12" s="16" customFormat="1" x14ac:dyDescent="0.25">
      <c r="A48" s="2" t="s">
        <v>67</v>
      </c>
      <c r="B48" s="40">
        <v>16053.22343</v>
      </c>
      <c r="C48" s="40">
        <v>391.98970000000003</v>
      </c>
      <c r="D48" s="40">
        <v>5311.8801700000004</v>
      </c>
      <c r="E48" s="40">
        <v>242.90002999999999</v>
      </c>
      <c r="F48" s="40">
        <v>1210.6807800000001</v>
      </c>
      <c r="G48" s="40">
        <v>320.68741999999997</v>
      </c>
      <c r="H48" s="40">
        <v>2514.8953500000002</v>
      </c>
      <c r="I48" s="40">
        <v>0</v>
      </c>
      <c r="J48" s="40">
        <v>0</v>
      </c>
      <c r="K48" s="40">
        <v>2627.1548499999999</v>
      </c>
      <c r="L48" s="41">
        <f t="shared" si="0"/>
        <v>28673.411729999996</v>
      </c>
    </row>
    <row r="49" spans="1:12" s="16" customFormat="1" x14ac:dyDescent="0.25">
      <c r="A49" s="2" t="s">
        <v>68</v>
      </c>
      <c r="B49" s="40">
        <v>2535.6966299999999</v>
      </c>
      <c r="C49" s="40">
        <v>93.278999999999996</v>
      </c>
      <c r="D49" s="40">
        <v>556.8519</v>
      </c>
      <c r="E49" s="40">
        <v>1.46095</v>
      </c>
      <c r="F49" s="40">
        <v>272.44472999999999</v>
      </c>
      <c r="G49" s="40">
        <v>233.51129</v>
      </c>
      <c r="H49" s="40">
        <v>1216.7882999999999</v>
      </c>
      <c r="I49" s="40">
        <v>0</v>
      </c>
      <c r="J49" s="40">
        <v>0</v>
      </c>
      <c r="K49" s="40">
        <v>246.97315</v>
      </c>
      <c r="L49" s="41">
        <f t="shared" si="0"/>
        <v>5157.0059499999998</v>
      </c>
    </row>
    <row r="50" spans="1:12" s="16" customFormat="1" x14ac:dyDescent="0.25">
      <c r="A50" s="2" t="s">
        <v>69</v>
      </c>
      <c r="B50" s="40">
        <v>11970.793220000001</v>
      </c>
      <c r="C50" s="40">
        <v>141.73124999999999</v>
      </c>
      <c r="D50" s="40">
        <v>3527.5569</v>
      </c>
      <c r="E50" s="40">
        <v>88.371839999999992</v>
      </c>
      <c r="F50" s="40">
        <v>308.87740000000002</v>
      </c>
      <c r="G50" s="40">
        <v>242.38749999999999</v>
      </c>
      <c r="H50" s="40">
        <v>4978.9187099999999</v>
      </c>
      <c r="I50" s="40">
        <v>0</v>
      </c>
      <c r="J50" s="40">
        <v>0</v>
      </c>
      <c r="K50" s="40">
        <v>1012.46587</v>
      </c>
      <c r="L50" s="41">
        <f t="shared" si="0"/>
        <v>22271.10269</v>
      </c>
    </row>
    <row r="51" spans="1:12" s="16" customFormat="1" x14ac:dyDescent="0.25">
      <c r="A51" s="2" t="s">
        <v>12</v>
      </c>
      <c r="B51" s="40">
        <v>2827.7260499999998</v>
      </c>
      <c r="C51" s="40">
        <v>32.866999999999997</v>
      </c>
      <c r="D51" s="40">
        <v>284.88384000000002</v>
      </c>
      <c r="E51" s="40">
        <v>1.5648</v>
      </c>
      <c r="F51" s="40">
        <v>10.386809999999999</v>
      </c>
      <c r="G51" s="40">
        <v>13.817200000000001</v>
      </c>
      <c r="H51" s="40">
        <v>124.47594000000001</v>
      </c>
      <c r="I51" s="40">
        <v>0</v>
      </c>
      <c r="J51" s="40">
        <v>0</v>
      </c>
      <c r="K51" s="40">
        <v>12.6</v>
      </c>
      <c r="L51" s="41">
        <f t="shared" si="0"/>
        <v>3308.3216399999997</v>
      </c>
    </row>
    <row r="52" spans="1:12" s="16" customFormat="1" x14ac:dyDescent="0.25">
      <c r="A52" s="2" t="s">
        <v>70</v>
      </c>
      <c r="B52" s="40">
        <v>4750.2050899999995</v>
      </c>
      <c r="C52" s="40">
        <v>32.43</v>
      </c>
      <c r="D52" s="40">
        <v>733.77188000000001</v>
      </c>
      <c r="E52" s="40">
        <v>0</v>
      </c>
      <c r="F52" s="40">
        <v>344.87997999999999</v>
      </c>
      <c r="G52" s="40">
        <v>110.48715</v>
      </c>
      <c r="H52" s="40">
        <v>265.83618999999999</v>
      </c>
      <c r="I52" s="40">
        <v>0</v>
      </c>
      <c r="J52" s="40">
        <v>0</v>
      </c>
      <c r="K52" s="40">
        <v>245.33370000000002</v>
      </c>
      <c r="L52" s="41">
        <f t="shared" si="0"/>
        <v>6482.9439899999998</v>
      </c>
    </row>
    <row r="53" spans="1:12" s="16" customFormat="1" x14ac:dyDescent="0.25">
      <c r="A53" s="2" t="s">
        <v>71</v>
      </c>
      <c r="B53" s="40">
        <v>638.38343000000009</v>
      </c>
      <c r="C53" s="40">
        <v>55.177</v>
      </c>
      <c r="D53" s="40">
        <v>215.45828</v>
      </c>
      <c r="E53" s="40">
        <v>14.087399999999999</v>
      </c>
      <c r="F53" s="40">
        <v>3.2300500000000003</v>
      </c>
      <c r="G53" s="40">
        <v>7.5478699999999996</v>
      </c>
      <c r="H53" s="40">
        <v>966.72564999999997</v>
      </c>
      <c r="I53" s="40">
        <v>0</v>
      </c>
      <c r="J53" s="40">
        <v>0</v>
      </c>
      <c r="K53" s="40">
        <v>78.549720000000008</v>
      </c>
      <c r="L53" s="41">
        <f t="shared" si="0"/>
        <v>1979.1594</v>
      </c>
    </row>
    <row r="54" spans="1:12" s="16" customFormat="1" x14ac:dyDescent="0.25">
      <c r="A54" s="2" t="s">
        <v>72</v>
      </c>
      <c r="B54" s="40">
        <v>6273.0969999999998</v>
      </c>
      <c r="C54" s="40">
        <v>61.991</v>
      </c>
      <c r="D54" s="40">
        <v>1768.9243300000001</v>
      </c>
      <c r="E54" s="40">
        <v>0.47160000000000002</v>
      </c>
      <c r="F54" s="40">
        <v>230.58208999999999</v>
      </c>
      <c r="G54" s="40">
        <v>150.47542999999999</v>
      </c>
      <c r="H54" s="40">
        <v>2613.7839900000004</v>
      </c>
      <c r="I54" s="40">
        <v>0</v>
      </c>
      <c r="J54" s="40">
        <v>0</v>
      </c>
      <c r="K54" s="40">
        <v>487.12299999999999</v>
      </c>
      <c r="L54" s="41">
        <f t="shared" si="0"/>
        <v>11586.44844</v>
      </c>
    </row>
    <row r="55" spans="1:12" s="16" customFormat="1" x14ac:dyDescent="0.25">
      <c r="A55" s="2" t="s">
        <v>13</v>
      </c>
      <c r="B55" s="40">
        <v>3816.6377499999999</v>
      </c>
      <c r="C55" s="40">
        <v>61.170199999999994</v>
      </c>
      <c r="D55" s="40">
        <v>632.12999000000002</v>
      </c>
      <c r="E55" s="40">
        <v>0</v>
      </c>
      <c r="F55" s="40">
        <v>234.22543999999999</v>
      </c>
      <c r="G55" s="40">
        <v>67.262729999999991</v>
      </c>
      <c r="H55" s="40">
        <v>1249.8386699999999</v>
      </c>
      <c r="I55" s="40">
        <v>0</v>
      </c>
      <c r="J55" s="40">
        <v>0</v>
      </c>
      <c r="K55" s="40">
        <v>50.418750000000003</v>
      </c>
      <c r="L55" s="41">
        <f t="shared" si="0"/>
        <v>6111.6835300000002</v>
      </c>
    </row>
    <row r="56" spans="1:12" s="16" customFormat="1" x14ac:dyDescent="0.25">
      <c r="A56" s="2" t="s">
        <v>26</v>
      </c>
      <c r="B56" s="40">
        <v>1443.9051299999999</v>
      </c>
      <c r="C56" s="40">
        <v>167.37174999999999</v>
      </c>
      <c r="D56" s="40">
        <v>566.78658999999993</v>
      </c>
      <c r="E56" s="40">
        <v>773.5</v>
      </c>
      <c r="F56" s="40">
        <v>90.424929999999989</v>
      </c>
      <c r="G56" s="40">
        <v>25.297450000000001</v>
      </c>
      <c r="H56" s="40">
        <v>689.51211000000001</v>
      </c>
      <c r="I56" s="40">
        <v>0</v>
      </c>
      <c r="J56" s="40">
        <v>0</v>
      </c>
      <c r="K56" s="40">
        <v>67.7</v>
      </c>
      <c r="L56" s="41">
        <f t="shared" si="0"/>
        <v>3824.4979600000001</v>
      </c>
    </row>
    <row r="57" spans="1:12" s="16" customFormat="1" ht="12.75" customHeight="1" x14ac:dyDescent="0.25">
      <c r="A57" s="2" t="s">
        <v>73</v>
      </c>
      <c r="B57" s="40">
        <v>127.68042999999999</v>
      </c>
      <c r="C57" s="40">
        <v>5.9610000000000003</v>
      </c>
      <c r="D57" s="40">
        <v>24.359000000000002</v>
      </c>
      <c r="E57" s="40">
        <v>0</v>
      </c>
      <c r="F57" s="40">
        <v>0.89854999999999996</v>
      </c>
      <c r="G57" s="40">
        <v>5.4050000000000002</v>
      </c>
      <c r="H57" s="40">
        <v>83.897100000000009</v>
      </c>
      <c r="I57" s="40">
        <v>0</v>
      </c>
      <c r="J57" s="40">
        <v>0</v>
      </c>
      <c r="K57" s="40">
        <v>0</v>
      </c>
      <c r="L57" s="41">
        <f t="shared" si="0"/>
        <v>248.20107999999999</v>
      </c>
    </row>
    <row r="58" spans="1:12" s="16" customFormat="1" x14ac:dyDescent="0.25">
      <c r="A58" s="2" t="s">
        <v>14</v>
      </c>
      <c r="B58" s="40">
        <v>49814.105950000005</v>
      </c>
      <c r="C58" s="40">
        <v>1921.3390400000001</v>
      </c>
      <c r="D58" s="40">
        <v>11775.49418</v>
      </c>
      <c r="E58" s="40">
        <v>592.45344999999998</v>
      </c>
      <c r="F58" s="40">
        <v>6959.0615499999994</v>
      </c>
      <c r="G58" s="40">
        <v>791.29322000000002</v>
      </c>
      <c r="H58" s="40">
        <v>9495.9498399999993</v>
      </c>
      <c r="I58" s="40">
        <v>0</v>
      </c>
      <c r="J58" s="40">
        <v>0</v>
      </c>
      <c r="K58" s="40">
        <v>3875.1885200000002</v>
      </c>
      <c r="L58" s="41">
        <f t="shared" si="0"/>
        <v>85224.885750000016</v>
      </c>
    </row>
    <row r="59" spans="1:12" s="16" customFormat="1" x14ac:dyDescent="0.25">
      <c r="A59" s="2" t="s">
        <v>28</v>
      </c>
      <c r="B59" s="40">
        <v>19419.558280000001</v>
      </c>
      <c r="C59" s="40">
        <v>161.86150000000001</v>
      </c>
      <c r="D59" s="40">
        <v>3148.9647099999997</v>
      </c>
      <c r="E59" s="40">
        <v>0</v>
      </c>
      <c r="F59" s="40">
        <v>959.42684999999994</v>
      </c>
      <c r="G59" s="40">
        <v>353.29615000000001</v>
      </c>
      <c r="H59" s="40">
        <v>4035.5828900000001</v>
      </c>
      <c r="I59" s="40">
        <v>0</v>
      </c>
      <c r="J59" s="40">
        <v>24.165749999999999</v>
      </c>
      <c r="K59" s="40">
        <v>729.06205</v>
      </c>
      <c r="L59" s="41">
        <f t="shared" si="0"/>
        <v>28831.918180000001</v>
      </c>
    </row>
    <row r="60" spans="1:12" s="16" customFormat="1" x14ac:dyDescent="0.25">
      <c r="A60" s="2" t="s">
        <v>29</v>
      </c>
      <c r="B60" s="40">
        <v>354538.67014999996</v>
      </c>
      <c r="C60" s="40">
        <v>6450.4127500000004</v>
      </c>
      <c r="D60" s="40">
        <v>48733.682740000004</v>
      </c>
      <c r="E60" s="40">
        <v>914.02790000000005</v>
      </c>
      <c r="F60" s="40">
        <v>47134.296430000002</v>
      </c>
      <c r="G60" s="40">
        <v>1667.42336</v>
      </c>
      <c r="H60" s="40">
        <v>20333.186100000003</v>
      </c>
      <c r="I60" s="40">
        <v>0</v>
      </c>
      <c r="J60" s="40">
        <v>0</v>
      </c>
      <c r="K60" s="40">
        <v>3340.2379300000002</v>
      </c>
      <c r="L60" s="41">
        <f t="shared" si="0"/>
        <v>483111.93735999998</v>
      </c>
    </row>
    <row r="61" spans="1:12" s="16" customFormat="1" x14ac:dyDescent="0.25">
      <c r="A61" s="2" t="s">
        <v>74</v>
      </c>
      <c r="B61" s="40">
        <v>4298.3262100000002</v>
      </c>
      <c r="C61" s="40">
        <v>82.804500000000004</v>
      </c>
      <c r="D61" s="40">
        <v>743.84559999999999</v>
      </c>
      <c r="E61" s="40">
        <v>64.75</v>
      </c>
      <c r="F61" s="40">
        <v>139.58118999999999</v>
      </c>
      <c r="G61" s="40">
        <v>112.11751</v>
      </c>
      <c r="H61" s="40">
        <v>1230.0949599999999</v>
      </c>
      <c r="I61" s="40">
        <v>0</v>
      </c>
      <c r="J61" s="40">
        <v>0</v>
      </c>
      <c r="K61" s="40">
        <v>347.15379999999999</v>
      </c>
      <c r="L61" s="41">
        <f t="shared" si="0"/>
        <v>7018.6737699999994</v>
      </c>
    </row>
    <row r="62" spans="1:12" s="16" customFormat="1" x14ac:dyDescent="0.25">
      <c r="A62" s="2" t="s">
        <v>75</v>
      </c>
      <c r="B62" s="40">
        <v>5686.9128700000001</v>
      </c>
      <c r="C62" s="40">
        <v>249.98599999999999</v>
      </c>
      <c r="D62" s="40">
        <v>1860.7159299999998</v>
      </c>
      <c r="E62" s="40">
        <v>2</v>
      </c>
      <c r="F62" s="40">
        <v>187.42745000000002</v>
      </c>
      <c r="G62" s="40">
        <v>375.69228999999996</v>
      </c>
      <c r="H62" s="40">
        <v>4381.0703600000006</v>
      </c>
      <c r="I62" s="40">
        <v>0</v>
      </c>
      <c r="J62" s="40">
        <v>0</v>
      </c>
      <c r="K62" s="40">
        <v>696.49770000000001</v>
      </c>
      <c r="L62" s="41">
        <f t="shared" si="0"/>
        <v>13440.302599999999</v>
      </c>
    </row>
    <row r="63" spans="1:12" s="16" customFormat="1" x14ac:dyDescent="0.25">
      <c r="A63" s="2" t="s">
        <v>76</v>
      </c>
      <c r="B63" s="40">
        <v>5626.6170099999999</v>
      </c>
      <c r="C63" s="40">
        <v>44.578000000000003</v>
      </c>
      <c r="D63" s="40">
        <v>1008.88729</v>
      </c>
      <c r="E63" s="40">
        <v>75</v>
      </c>
      <c r="F63" s="40">
        <v>220.62825000000001</v>
      </c>
      <c r="G63" s="40">
        <v>155.94810000000001</v>
      </c>
      <c r="H63" s="40">
        <v>303.30121999999994</v>
      </c>
      <c r="I63" s="40">
        <v>0</v>
      </c>
      <c r="J63" s="40">
        <v>0</v>
      </c>
      <c r="K63" s="40">
        <v>143.32905</v>
      </c>
      <c r="L63" s="41">
        <f t="shared" si="0"/>
        <v>7578.28892</v>
      </c>
    </row>
    <row r="64" spans="1:12" s="16" customFormat="1" x14ac:dyDescent="0.25">
      <c r="A64" s="2" t="s">
        <v>77</v>
      </c>
      <c r="B64" s="40">
        <v>13126.058130000001</v>
      </c>
      <c r="C64" s="40">
        <v>50.170999999999999</v>
      </c>
      <c r="D64" s="40">
        <v>860.77094</v>
      </c>
      <c r="E64" s="40">
        <v>44.868879999999997</v>
      </c>
      <c r="F64" s="40">
        <v>482.60730000000001</v>
      </c>
      <c r="G64" s="40">
        <v>195.29942000000003</v>
      </c>
      <c r="H64" s="40">
        <v>3066.0262499999999</v>
      </c>
      <c r="I64" s="40">
        <v>0</v>
      </c>
      <c r="J64" s="40">
        <v>0</v>
      </c>
      <c r="K64" s="40">
        <v>484.63425000000001</v>
      </c>
      <c r="L64" s="41">
        <f t="shared" si="0"/>
        <v>18310.436170000001</v>
      </c>
    </row>
    <row r="65" spans="1:12" s="16" customFormat="1" ht="12.75" customHeight="1" x14ac:dyDescent="0.25">
      <c r="A65" s="2" t="s">
        <v>15</v>
      </c>
      <c r="B65" s="40">
        <v>27720.183270000001</v>
      </c>
      <c r="C65" s="40">
        <v>100.512</v>
      </c>
      <c r="D65" s="40">
        <v>3782.8120800000002</v>
      </c>
      <c r="E65" s="40">
        <v>117.37483</v>
      </c>
      <c r="F65" s="40">
        <v>972.79255000000001</v>
      </c>
      <c r="G65" s="40">
        <v>20.899249999999999</v>
      </c>
      <c r="H65" s="40">
        <v>4280.4242400000003</v>
      </c>
      <c r="I65" s="40">
        <v>0</v>
      </c>
      <c r="J65" s="40">
        <v>0</v>
      </c>
      <c r="K65" s="40">
        <v>82.96714999999999</v>
      </c>
      <c r="L65" s="41">
        <f t="shared" si="0"/>
        <v>37077.965369999991</v>
      </c>
    </row>
    <row r="66" spans="1:12" s="16" customFormat="1" x14ac:dyDescent="0.25">
      <c r="A66" s="2" t="s">
        <v>78</v>
      </c>
      <c r="B66" s="40">
        <v>5998.26</v>
      </c>
      <c r="C66" s="40">
        <v>48.2958</v>
      </c>
      <c r="D66" s="40">
        <v>1538.6042600000001</v>
      </c>
      <c r="E66" s="40">
        <v>143.40375</v>
      </c>
      <c r="F66" s="40">
        <v>745.52794999999992</v>
      </c>
      <c r="G66" s="40">
        <v>228.23254999999997</v>
      </c>
      <c r="H66" s="40">
        <v>657.82920999999999</v>
      </c>
      <c r="I66" s="40">
        <v>0</v>
      </c>
      <c r="J66" s="40">
        <v>0</v>
      </c>
      <c r="K66" s="40">
        <v>728.27501000000007</v>
      </c>
      <c r="L66" s="41">
        <f t="shared" si="0"/>
        <v>10088.428530000001</v>
      </c>
    </row>
    <row r="67" spans="1:12" s="16" customFormat="1" ht="12.75" customHeight="1" x14ac:dyDescent="0.25">
      <c r="A67" s="2" t="s">
        <v>16</v>
      </c>
      <c r="B67" s="40">
        <v>72713.146459999989</v>
      </c>
      <c r="C67" s="40">
        <v>783.76409999999998</v>
      </c>
      <c r="D67" s="40">
        <v>8305.7537300000004</v>
      </c>
      <c r="E67" s="40">
        <v>374.36270000000002</v>
      </c>
      <c r="F67" s="40">
        <v>7565.6463200000007</v>
      </c>
      <c r="G67" s="40">
        <v>597.28655000000003</v>
      </c>
      <c r="H67" s="40">
        <v>7603.4892599999994</v>
      </c>
      <c r="I67" s="40">
        <v>0</v>
      </c>
      <c r="J67" s="40">
        <v>0</v>
      </c>
      <c r="K67" s="40">
        <v>4705.8644999999997</v>
      </c>
      <c r="L67" s="41">
        <f t="shared" si="0"/>
        <v>102649.31361999999</v>
      </c>
    </row>
    <row r="68" spans="1:12" s="16" customFormat="1" x14ac:dyDescent="0.25">
      <c r="A68" s="2" t="s">
        <v>79</v>
      </c>
      <c r="B68" s="40">
        <v>591.38006000000007</v>
      </c>
      <c r="C68" s="40">
        <v>29.705400000000001</v>
      </c>
      <c r="D68" s="40">
        <v>350.57034999999996</v>
      </c>
      <c r="E68" s="40">
        <v>3.0536999999999996</v>
      </c>
      <c r="F68" s="40">
        <v>1.0503399999999998</v>
      </c>
      <c r="G68" s="40">
        <v>62.855739999999997</v>
      </c>
      <c r="H68" s="40">
        <v>334.03065999999995</v>
      </c>
      <c r="I68" s="40">
        <v>0</v>
      </c>
      <c r="J68" s="40">
        <v>0</v>
      </c>
      <c r="K68" s="40">
        <v>268.11796999999996</v>
      </c>
      <c r="L68" s="41">
        <f t="shared" ref="L68:L108" si="1">SUM(B68:K68)</f>
        <v>1640.76422</v>
      </c>
    </row>
    <row r="69" spans="1:12" s="16" customFormat="1" x14ac:dyDescent="0.25">
      <c r="A69" s="2" t="s">
        <v>80</v>
      </c>
      <c r="B69" s="40">
        <v>7215.1051799999996</v>
      </c>
      <c r="C69" s="40">
        <v>113.703</v>
      </c>
      <c r="D69" s="40">
        <v>1208.3215</v>
      </c>
      <c r="E69" s="40">
        <v>3.3338000000000001</v>
      </c>
      <c r="F69" s="40">
        <v>137.65164999999999</v>
      </c>
      <c r="G69" s="40">
        <v>147.38279</v>
      </c>
      <c r="H69" s="40">
        <v>357.58752000000004</v>
      </c>
      <c r="I69" s="40">
        <v>0</v>
      </c>
      <c r="J69" s="40">
        <v>0</v>
      </c>
      <c r="K69" s="40">
        <v>414.91050000000001</v>
      </c>
      <c r="L69" s="41">
        <f t="shared" si="1"/>
        <v>9597.9959399999989</v>
      </c>
    </row>
    <row r="70" spans="1:12" s="16" customFormat="1" x14ac:dyDescent="0.25">
      <c r="A70" s="2" t="s">
        <v>81</v>
      </c>
      <c r="B70" s="40">
        <v>575.57618000000002</v>
      </c>
      <c r="C70" s="40">
        <v>30.353000000000002</v>
      </c>
      <c r="D70" s="40">
        <v>215.79936999999998</v>
      </c>
      <c r="E70" s="40">
        <v>6.4160900000000005</v>
      </c>
      <c r="F70" s="40">
        <v>25.994199999999999</v>
      </c>
      <c r="G70" s="40">
        <v>15.489049999999999</v>
      </c>
      <c r="H70" s="40">
        <v>632.49481000000003</v>
      </c>
      <c r="I70" s="40">
        <v>0</v>
      </c>
      <c r="J70" s="40">
        <v>0</v>
      </c>
      <c r="K70" s="40">
        <v>77.660669999999996</v>
      </c>
      <c r="L70" s="41">
        <f t="shared" si="1"/>
        <v>1579.7833699999999</v>
      </c>
    </row>
    <row r="71" spans="1:12" s="16" customFormat="1" x14ac:dyDescent="0.25">
      <c r="A71" s="2" t="s">
        <v>17</v>
      </c>
      <c r="B71" s="40">
        <v>24047.059000000001</v>
      </c>
      <c r="C71" s="40">
        <v>239.52620000000002</v>
      </c>
      <c r="D71" s="40">
        <v>7257.2432099999996</v>
      </c>
      <c r="E71" s="40">
        <v>29.488</v>
      </c>
      <c r="F71" s="40">
        <v>1600.1288300000001</v>
      </c>
      <c r="G71" s="40">
        <v>0</v>
      </c>
      <c r="H71" s="40">
        <v>5681.9496300000001</v>
      </c>
      <c r="I71" s="40">
        <v>0</v>
      </c>
      <c r="J71" s="40">
        <v>0</v>
      </c>
      <c r="K71" s="40">
        <v>296</v>
      </c>
      <c r="L71" s="41">
        <f t="shared" si="1"/>
        <v>39151.394870000004</v>
      </c>
    </row>
    <row r="72" spans="1:12" s="16" customFormat="1" x14ac:dyDescent="0.25">
      <c r="A72" s="2" t="s">
        <v>82</v>
      </c>
      <c r="B72" s="40">
        <v>11818.219660000001</v>
      </c>
      <c r="C72" s="40">
        <v>302.12225000000001</v>
      </c>
      <c r="D72" s="40">
        <v>2532.1739400000001</v>
      </c>
      <c r="E72" s="40">
        <v>2.3269699999999998</v>
      </c>
      <c r="F72" s="40">
        <v>133.55708999999999</v>
      </c>
      <c r="G72" s="40">
        <v>180.97815</v>
      </c>
      <c r="H72" s="40">
        <v>4253.5104700000002</v>
      </c>
      <c r="I72" s="40">
        <v>0</v>
      </c>
      <c r="J72" s="40">
        <v>0</v>
      </c>
      <c r="K72" s="40">
        <v>672.32594999999992</v>
      </c>
      <c r="L72" s="41">
        <f t="shared" si="1"/>
        <v>19895.214480000002</v>
      </c>
    </row>
    <row r="73" spans="1:12" s="16" customFormat="1" x14ac:dyDescent="0.25">
      <c r="A73" s="1" t="s">
        <v>18</v>
      </c>
      <c r="B73" s="40">
        <v>14382.15141</v>
      </c>
      <c r="C73" s="40">
        <v>102.8262</v>
      </c>
      <c r="D73" s="40">
        <v>1477.08916</v>
      </c>
      <c r="E73" s="40">
        <v>0</v>
      </c>
      <c r="F73" s="40">
        <v>320.97136</v>
      </c>
      <c r="G73" s="40">
        <v>186.80564999999999</v>
      </c>
      <c r="H73" s="40">
        <v>1534.4142899999999</v>
      </c>
      <c r="I73" s="40">
        <v>0</v>
      </c>
      <c r="J73" s="40">
        <v>0</v>
      </c>
      <c r="K73" s="40">
        <v>2130.94785</v>
      </c>
      <c r="L73" s="41">
        <f t="shared" si="1"/>
        <v>20135.20592</v>
      </c>
    </row>
    <row r="74" spans="1:12" s="16" customFormat="1" x14ac:dyDescent="0.25">
      <c r="A74" s="2" t="s">
        <v>83</v>
      </c>
      <c r="B74" s="40">
        <v>8280.3294399999995</v>
      </c>
      <c r="C74" s="40">
        <v>62.429949999999998</v>
      </c>
      <c r="D74" s="40">
        <v>1187.9713000000002</v>
      </c>
      <c r="E74" s="40">
        <v>9.8837900000000012</v>
      </c>
      <c r="F74" s="40">
        <v>830.9030600000001</v>
      </c>
      <c r="G74" s="40">
        <v>11.540389999999999</v>
      </c>
      <c r="H74" s="40">
        <v>422.86624</v>
      </c>
      <c r="I74" s="40">
        <v>0</v>
      </c>
      <c r="J74" s="40">
        <v>0</v>
      </c>
      <c r="K74" s="40">
        <v>1051.9472499999999</v>
      </c>
      <c r="L74" s="41">
        <f t="shared" si="1"/>
        <v>11857.871419999999</v>
      </c>
    </row>
    <row r="75" spans="1:12" s="16" customFormat="1" x14ac:dyDescent="0.25">
      <c r="A75" s="2" t="s">
        <v>19</v>
      </c>
      <c r="B75" s="40">
        <v>10242.53255</v>
      </c>
      <c r="C75" s="40">
        <v>282.5326</v>
      </c>
      <c r="D75" s="40">
        <v>1455.4321499999999</v>
      </c>
      <c r="E75" s="40">
        <v>36.243690000000001</v>
      </c>
      <c r="F75" s="40">
        <v>1821.59193</v>
      </c>
      <c r="G75" s="40">
        <v>50.341349999999998</v>
      </c>
      <c r="H75" s="40">
        <v>451.82668000000001</v>
      </c>
      <c r="I75" s="40">
        <v>0</v>
      </c>
      <c r="J75" s="40">
        <v>0</v>
      </c>
      <c r="K75" s="40">
        <v>150.46110000000002</v>
      </c>
      <c r="L75" s="41">
        <f t="shared" si="1"/>
        <v>14490.962050000002</v>
      </c>
    </row>
    <row r="76" spans="1:12" s="16" customFormat="1" x14ac:dyDescent="0.25">
      <c r="A76" s="2" t="s">
        <v>84</v>
      </c>
      <c r="B76" s="40">
        <v>4193.7387699999999</v>
      </c>
      <c r="C76" s="40">
        <v>30.202999999999999</v>
      </c>
      <c r="D76" s="40">
        <v>697.81768999999997</v>
      </c>
      <c r="E76" s="40">
        <v>15.7105</v>
      </c>
      <c r="F76" s="40">
        <v>154.61320000000001</v>
      </c>
      <c r="G76" s="40">
        <v>158.10664000000003</v>
      </c>
      <c r="H76" s="40">
        <v>140.08852999999999</v>
      </c>
      <c r="I76" s="40">
        <v>0</v>
      </c>
      <c r="J76" s="40">
        <v>0</v>
      </c>
      <c r="K76" s="40">
        <v>73.753339999999994</v>
      </c>
      <c r="L76" s="41">
        <f t="shared" si="1"/>
        <v>5464.0316700000003</v>
      </c>
    </row>
    <row r="77" spans="1:12" s="16" customFormat="1" x14ac:dyDescent="0.25">
      <c r="A77" s="2" t="s">
        <v>85</v>
      </c>
      <c r="B77" s="40">
        <v>1229.74486</v>
      </c>
      <c r="C77" s="40">
        <v>14.877000000000001</v>
      </c>
      <c r="D77" s="40">
        <v>191.37539000000001</v>
      </c>
      <c r="E77" s="40">
        <v>1.5499999999999999E-3</v>
      </c>
      <c r="F77" s="40">
        <v>3.3328000000000002</v>
      </c>
      <c r="G77" s="40">
        <v>18.375689999999999</v>
      </c>
      <c r="H77" s="40">
        <v>30.508800000000001</v>
      </c>
      <c r="I77" s="40">
        <v>0</v>
      </c>
      <c r="J77" s="40">
        <v>0</v>
      </c>
      <c r="K77" s="40">
        <v>56.127499999999998</v>
      </c>
      <c r="L77" s="41">
        <f t="shared" si="1"/>
        <v>1544.3435899999999</v>
      </c>
    </row>
    <row r="78" spans="1:12" s="16" customFormat="1" x14ac:dyDescent="0.25">
      <c r="A78" s="2" t="s">
        <v>86</v>
      </c>
      <c r="B78" s="40">
        <v>1902.4526599999999</v>
      </c>
      <c r="C78" s="40">
        <v>39.24</v>
      </c>
      <c r="D78" s="40">
        <v>668.08542</v>
      </c>
      <c r="E78" s="40">
        <v>34.5</v>
      </c>
      <c r="F78" s="40">
        <v>45.999679999999998</v>
      </c>
      <c r="G78" s="40">
        <v>92.747839999999997</v>
      </c>
      <c r="H78" s="40">
        <v>2010.33987</v>
      </c>
      <c r="I78" s="40">
        <v>0</v>
      </c>
      <c r="J78" s="40">
        <v>0</v>
      </c>
      <c r="K78" s="40">
        <v>192.63292999999999</v>
      </c>
      <c r="L78" s="41">
        <f t="shared" si="1"/>
        <v>4985.9983999999995</v>
      </c>
    </row>
    <row r="79" spans="1:12" s="16" customFormat="1" x14ac:dyDescent="0.25">
      <c r="A79" s="2" t="s">
        <v>20</v>
      </c>
      <c r="B79" s="40">
        <v>10720.684569999999</v>
      </c>
      <c r="C79" s="40">
        <v>76.061000000000007</v>
      </c>
      <c r="D79" s="40">
        <v>881.55491000000006</v>
      </c>
      <c r="E79" s="40">
        <v>10.732950000000001</v>
      </c>
      <c r="F79" s="40">
        <v>111.52486</v>
      </c>
      <c r="G79" s="40">
        <v>197.37061</v>
      </c>
      <c r="H79" s="40">
        <v>417.94359000000003</v>
      </c>
      <c r="I79" s="40">
        <v>0</v>
      </c>
      <c r="J79" s="40">
        <v>0</v>
      </c>
      <c r="K79" s="40">
        <v>276.18495000000001</v>
      </c>
      <c r="L79" s="41">
        <f t="shared" si="1"/>
        <v>12692.05744</v>
      </c>
    </row>
    <row r="80" spans="1:12" s="16" customFormat="1" x14ac:dyDescent="0.25">
      <c r="A80" s="2" t="s">
        <v>87</v>
      </c>
      <c r="B80" s="40">
        <v>1528.0307499999999</v>
      </c>
      <c r="C80" s="40">
        <v>45.890039999999999</v>
      </c>
      <c r="D80" s="40">
        <v>1174.6438000000001</v>
      </c>
      <c r="E80" s="40">
        <v>40.408239999999999</v>
      </c>
      <c r="F80" s="40">
        <v>221.857</v>
      </c>
      <c r="G80" s="40">
        <v>155.91821999999999</v>
      </c>
      <c r="H80" s="40">
        <v>1857.2864999999999</v>
      </c>
      <c r="I80" s="40">
        <v>0</v>
      </c>
      <c r="J80" s="40">
        <v>0</v>
      </c>
      <c r="K80" s="40">
        <v>299.20840000000004</v>
      </c>
      <c r="L80" s="41">
        <f t="shared" si="1"/>
        <v>5323.2429500000007</v>
      </c>
    </row>
    <row r="81" spans="1:12" s="16" customFormat="1" x14ac:dyDescent="0.25">
      <c r="A81" s="2" t="s">
        <v>30</v>
      </c>
      <c r="B81" s="40">
        <v>5086.8256600000004</v>
      </c>
      <c r="C81" s="40">
        <v>86.224000000000004</v>
      </c>
      <c r="D81" s="40">
        <v>627.11810000000003</v>
      </c>
      <c r="E81" s="40">
        <v>0.64639999999999997</v>
      </c>
      <c r="F81" s="40">
        <v>82.192830000000001</v>
      </c>
      <c r="G81" s="40">
        <v>73.279880000000006</v>
      </c>
      <c r="H81" s="40">
        <v>263.38763</v>
      </c>
      <c r="I81" s="40">
        <v>0</v>
      </c>
      <c r="J81" s="40">
        <v>0</v>
      </c>
      <c r="K81" s="40">
        <v>114.703</v>
      </c>
      <c r="L81" s="41">
        <f t="shared" si="1"/>
        <v>6334.3775000000005</v>
      </c>
    </row>
    <row r="82" spans="1:12" s="16" customFormat="1" x14ac:dyDescent="0.25">
      <c r="A82" s="2" t="s">
        <v>88</v>
      </c>
      <c r="B82" s="40">
        <v>3552.01989</v>
      </c>
      <c r="C82" s="40">
        <v>37.604900000000001</v>
      </c>
      <c r="D82" s="40">
        <v>1054.25901</v>
      </c>
      <c r="E82" s="40">
        <v>2.8323</v>
      </c>
      <c r="F82" s="40">
        <v>206.71655999999999</v>
      </c>
      <c r="G82" s="40">
        <v>119.13068</v>
      </c>
      <c r="H82" s="40">
        <v>239.78201000000001</v>
      </c>
      <c r="I82" s="40">
        <v>0</v>
      </c>
      <c r="J82" s="40">
        <v>0</v>
      </c>
      <c r="K82" s="40">
        <v>566.12794999999994</v>
      </c>
      <c r="L82" s="41">
        <f t="shared" si="1"/>
        <v>5778.4732999999997</v>
      </c>
    </row>
    <row r="83" spans="1:12" s="16" customFormat="1" x14ac:dyDescent="0.25">
      <c r="A83" s="2" t="s">
        <v>89</v>
      </c>
      <c r="B83" s="40">
        <v>41520.439689999999</v>
      </c>
      <c r="C83" s="40">
        <v>111.97494999999999</v>
      </c>
      <c r="D83" s="40">
        <v>4154.0456000000004</v>
      </c>
      <c r="E83" s="40">
        <v>15.24</v>
      </c>
      <c r="F83" s="40">
        <v>1527.9726000000001</v>
      </c>
      <c r="G83" s="40">
        <v>65.850800000000007</v>
      </c>
      <c r="H83" s="40">
        <v>4050.17947</v>
      </c>
      <c r="I83" s="40">
        <v>0</v>
      </c>
      <c r="J83" s="40">
        <v>303.60147999999998</v>
      </c>
      <c r="K83" s="40">
        <v>601.59486000000004</v>
      </c>
      <c r="L83" s="41">
        <f t="shared" si="1"/>
        <v>52350.899449999997</v>
      </c>
    </row>
    <row r="84" spans="1:12" s="16" customFormat="1" x14ac:dyDescent="0.25">
      <c r="A84" s="2" t="s">
        <v>90</v>
      </c>
      <c r="B84" s="40">
        <v>851.24456999999995</v>
      </c>
      <c r="C84" s="40">
        <v>45.802999999999997</v>
      </c>
      <c r="D84" s="40">
        <v>424.95984999999996</v>
      </c>
      <c r="E84" s="40">
        <v>0</v>
      </c>
      <c r="F84" s="40">
        <v>25.9954</v>
      </c>
      <c r="G84" s="40">
        <v>42.804000000000002</v>
      </c>
      <c r="H84" s="40">
        <v>479.09676000000002</v>
      </c>
      <c r="I84" s="40">
        <v>0</v>
      </c>
      <c r="J84" s="40">
        <v>0</v>
      </c>
      <c r="K84" s="40">
        <v>160.20189999999999</v>
      </c>
      <c r="L84" s="41">
        <f t="shared" si="1"/>
        <v>2030.1054800000002</v>
      </c>
    </row>
    <row r="85" spans="1:12" s="16" customFormat="1" x14ac:dyDescent="0.25">
      <c r="A85" s="2" t="s">
        <v>91</v>
      </c>
      <c r="B85" s="40">
        <v>1460.2194500000001</v>
      </c>
      <c r="C85" s="40">
        <v>51.103999999999999</v>
      </c>
      <c r="D85" s="40">
        <v>350.92490000000004</v>
      </c>
      <c r="E85" s="40">
        <v>0</v>
      </c>
      <c r="F85" s="40">
        <v>19.581150000000001</v>
      </c>
      <c r="G85" s="40">
        <v>94.374690000000001</v>
      </c>
      <c r="H85" s="40">
        <v>1063.6381100000001</v>
      </c>
      <c r="I85" s="40">
        <v>0</v>
      </c>
      <c r="J85" s="40">
        <v>0</v>
      </c>
      <c r="K85" s="40">
        <v>128.41999000000001</v>
      </c>
      <c r="L85" s="41">
        <f t="shared" si="1"/>
        <v>3168.2622900000001</v>
      </c>
    </row>
    <row r="86" spans="1:12" s="16" customFormat="1" x14ac:dyDescent="0.25">
      <c r="A86" s="2" t="s">
        <v>92</v>
      </c>
      <c r="B86" s="40">
        <v>5459.3589000000002</v>
      </c>
      <c r="C86" s="40">
        <v>0.35099999999999998</v>
      </c>
      <c r="D86" s="40">
        <v>1336.85627</v>
      </c>
      <c r="E86" s="40">
        <v>6.1306199999999995</v>
      </c>
      <c r="F86" s="40">
        <v>417.75993</v>
      </c>
      <c r="G86" s="40">
        <v>165.75824</v>
      </c>
      <c r="H86" s="40">
        <v>1559.64491</v>
      </c>
      <c r="I86" s="40">
        <v>0</v>
      </c>
      <c r="J86" s="40">
        <v>0</v>
      </c>
      <c r="K86" s="40">
        <v>119.94757000000001</v>
      </c>
      <c r="L86" s="41">
        <f t="shared" si="1"/>
        <v>9065.8074400000005</v>
      </c>
    </row>
    <row r="87" spans="1:12" s="16" customFormat="1" x14ac:dyDescent="0.25">
      <c r="A87" s="2" t="s">
        <v>93</v>
      </c>
      <c r="B87" s="40">
        <v>9271.1570500000016</v>
      </c>
      <c r="C87" s="40">
        <v>67.061999999999998</v>
      </c>
      <c r="D87" s="40">
        <v>988.99684000000002</v>
      </c>
      <c r="E87" s="40">
        <v>11.63645</v>
      </c>
      <c r="F87" s="40">
        <v>314.00794999999999</v>
      </c>
      <c r="G87" s="40">
        <v>212.14881</v>
      </c>
      <c r="H87" s="40">
        <v>194.81064999999998</v>
      </c>
      <c r="I87" s="40">
        <v>0</v>
      </c>
      <c r="J87" s="40">
        <v>0</v>
      </c>
      <c r="K87" s="40">
        <v>274.52600000000001</v>
      </c>
      <c r="L87" s="41">
        <f t="shared" si="1"/>
        <v>11334.34575</v>
      </c>
    </row>
    <row r="88" spans="1:12" s="16" customFormat="1" ht="12.75" customHeight="1" x14ac:dyDescent="0.25">
      <c r="A88" s="2" t="s">
        <v>94</v>
      </c>
      <c r="B88" s="40">
        <v>858.71438000000001</v>
      </c>
      <c r="C88" s="40">
        <v>59.612000000000002</v>
      </c>
      <c r="D88" s="40">
        <v>259.21682999999996</v>
      </c>
      <c r="E88" s="40">
        <v>0</v>
      </c>
      <c r="F88" s="40">
        <v>82.133300000000006</v>
      </c>
      <c r="G88" s="40">
        <v>24.375250000000001</v>
      </c>
      <c r="H88" s="40">
        <v>833.77643</v>
      </c>
      <c r="I88" s="40">
        <v>0</v>
      </c>
      <c r="J88" s="40">
        <v>0</v>
      </c>
      <c r="K88" s="40">
        <v>196.29877999999999</v>
      </c>
      <c r="L88" s="41">
        <f t="shared" si="1"/>
        <v>2314.1269699999998</v>
      </c>
    </row>
    <row r="89" spans="1:12" s="16" customFormat="1" x14ac:dyDescent="0.25">
      <c r="A89" s="2" t="s">
        <v>95</v>
      </c>
      <c r="B89" s="40">
        <v>4245.4422400000003</v>
      </c>
      <c r="C89" s="40">
        <v>61.895000000000003</v>
      </c>
      <c r="D89" s="40">
        <v>969.03181000000006</v>
      </c>
      <c r="E89" s="40">
        <v>10.162799999999999</v>
      </c>
      <c r="F89" s="40">
        <v>66.012199999999993</v>
      </c>
      <c r="G89" s="40">
        <v>170.36149</v>
      </c>
      <c r="H89" s="40">
        <v>600.68628999999999</v>
      </c>
      <c r="I89" s="40">
        <v>0</v>
      </c>
      <c r="J89" s="40">
        <v>0</v>
      </c>
      <c r="K89" s="40">
        <v>382.95916999999997</v>
      </c>
      <c r="L89" s="41">
        <f t="shared" si="1"/>
        <v>6506.5510000000013</v>
      </c>
    </row>
    <row r="90" spans="1:12" s="16" customFormat="1" x14ac:dyDescent="0.25">
      <c r="A90" s="2" t="s">
        <v>96</v>
      </c>
      <c r="B90" s="40">
        <v>2976.46693</v>
      </c>
      <c r="C90" s="40">
        <v>296.12</v>
      </c>
      <c r="D90" s="40">
        <v>1027.94847</v>
      </c>
      <c r="E90" s="40">
        <v>19.799160000000001</v>
      </c>
      <c r="F90" s="40">
        <v>668.89632999999992</v>
      </c>
      <c r="G90" s="40">
        <v>24.449830000000002</v>
      </c>
      <c r="H90" s="40">
        <v>1934.74567</v>
      </c>
      <c r="I90" s="40">
        <v>50</v>
      </c>
      <c r="J90" s="40">
        <v>0</v>
      </c>
      <c r="K90" s="40">
        <v>668.05617000000007</v>
      </c>
      <c r="L90" s="41">
        <f t="shared" si="1"/>
        <v>7666.4825599999986</v>
      </c>
    </row>
    <row r="91" spans="1:12" s="16" customFormat="1" x14ac:dyDescent="0.25">
      <c r="A91" s="2" t="s">
        <v>97</v>
      </c>
      <c r="B91" s="40">
        <v>7891.4707699999999</v>
      </c>
      <c r="C91" s="40">
        <v>70.718550000000008</v>
      </c>
      <c r="D91" s="40">
        <v>1472.1197099999999</v>
      </c>
      <c r="E91" s="40">
        <v>20.3</v>
      </c>
      <c r="F91" s="40">
        <v>547.60725000000002</v>
      </c>
      <c r="G91" s="40">
        <v>276.26855</v>
      </c>
      <c r="H91" s="40">
        <v>968.66650000000004</v>
      </c>
      <c r="I91" s="40">
        <v>0</v>
      </c>
      <c r="J91" s="40">
        <v>0</v>
      </c>
      <c r="K91" s="40">
        <v>224.59173999999999</v>
      </c>
      <c r="L91" s="41">
        <f t="shared" si="1"/>
        <v>11471.74307</v>
      </c>
    </row>
    <row r="92" spans="1:12" s="16" customFormat="1" ht="12.75" customHeight="1" x14ac:dyDescent="0.25">
      <c r="A92" s="2" t="s">
        <v>98</v>
      </c>
      <c r="B92" s="40">
        <v>8410.9163499999995</v>
      </c>
      <c r="C92" s="40">
        <v>237.57239999999999</v>
      </c>
      <c r="D92" s="40">
        <v>2177.8548700000001</v>
      </c>
      <c r="E92" s="40">
        <v>10.125950000000001</v>
      </c>
      <c r="F92" s="40">
        <v>262.11304999999999</v>
      </c>
      <c r="G92" s="40">
        <v>79.220380000000006</v>
      </c>
      <c r="H92" s="40">
        <v>6489.5640100000001</v>
      </c>
      <c r="I92" s="40">
        <v>0</v>
      </c>
      <c r="J92" s="40">
        <v>0</v>
      </c>
      <c r="K92" s="40">
        <v>1105.4069500000001</v>
      </c>
      <c r="L92" s="41">
        <f t="shared" si="1"/>
        <v>18772.773960000002</v>
      </c>
    </row>
    <row r="93" spans="1:12" s="16" customFormat="1" x14ac:dyDescent="0.25">
      <c r="A93" s="2" t="s">
        <v>99</v>
      </c>
      <c r="B93" s="40">
        <v>4726.3915299999999</v>
      </c>
      <c r="C93" s="40">
        <v>145.66070000000002</v>
      </c>
      <c r="D93" s="40">
        <v>835.10360000000003</v>
      </c>
      <c r="E93" s="40">
        <v>20.500360000000001</v>
      </c>
      <c r="F93" s="40">
        <v>307.84771000000001</v>
      </c>
      <c r="G93" s="40">
        <v>102.2718</v>
      </c>
      <c r="H93" s="40">
        <v>147.35924</v>
      </c>
      <c r="I93" s="40">
        <v>0</v>
      </c>
      <c r="J93" s="40">
        <v>525.93994999999995</v>
      </c>
      <c r="K93" s="40">
        <v>20.61675</v>
      </c>
      <c r="L93" s="41">
        <f t="shared" si="1"/>
        <v>6831.6916400000009</v>
      </c>
    </row>
    <row r="94" spans="1:12" s="16" customFormat="1" x14ac:dyDescent="0.25">
      <c r="A94" s="2" t="s">
        <v>590</v>
      </c>
      <c r="B94" s="40">
        <v>8281.3544099999999</v>
      </c>
      <c r="C94" s="40">
        <v>136.34100000000001</v>
      </c>
      <c r="D94" s="40">
        <v>1670.9035800000001</v>
      </c>
      <c r="E94" s="40">
        <v>45.038580000000003</v>
      </c>
      <c r="F94" s="40">
        <v>23.24</v>
      </c>
      <c r="G94" s="40">
        <v>114.45689999999999</v>
      </c>
      <c r="H94" s="40">
        <v>990.92412999999999</v>
      </c>
      <c r="I94" s="40">
        <v>0</v>
      </c>
      <c r="J94" s="40">
        <v>0</v>
      </c>
      <c r="K94" s="40">
        <v>599.33910000000003</v>
      </c>
      <c r="L94" s="41">
        <f t="shared" si="1"/>
        <v>11861.597699999998</v>
      </c>
    </row>
    <row r="95" spans="1:12" s="16" customFormat="1" ht="12.75" customHeight="1" x14ac:dyDescent="0.25">
      <c r="A95" s="4" t="s">
        <v>22</v>
      </c>
      <c r="B95" s="40">
        <v>10565.415449999999</v>
      </c>
      <c r="C95" s="40">
        <v>43.045000000000002</v>
      </c>
      <c r="D95" s="40">
        <v>698.96157999999991</v>
      </c>
      <c r="E95" s="40">
        <v>2.5805500000000001</v>
      </c>
      <c r="F95" s="40">
        <v>420.04682000000003</v>
      </c>
      <c r="G95" s="40">
        <v>155.19354999999999</v>
      </c>
      <c r="H95" s="40">
        <v>283.02987999999999</v>
      </c>
      <c r="I95" s="40">
        <v>0</v>
      </c>
      <c r="J95" s="40">
        <v>0</v>
      </c>
      <c r="K95" s="40">
        <v>133.24551</v>
      </c>
      <c r="L95" s="41">
        <f t="shared" si="1"/>
        <v>12301.518339999999</v>
      </c>
    </row>
    <row r="96" spans="1:12" s="16" customFormat="1" x14ac:dyDescent="0.25">
      <c r="A96" s="2" t="s">
        <v>100</v>
      </c>
      <c r="B96" s="40">
        <v>4924.6082300000007</v>
      </c>
      <c r="C96" s="40">
        <v>251.36699999999999</v>
      </c>
      <c r="D96" s="40">
        <v>999.31603000000007</v>
      </c>
      <c r="E96" s="40">
        <v>0</v>
      </c>
      <c r="F96" s="40">
        <v>75.570909999999998</v>
      </c>
      <c r="G96" s="40">
        <v>112.92053999999999</v>
      </c>
      <c r="H96" s="40">
        <v>3316.27162</v>
      </c>
      <c r="I96" s="40">
        <v>0</v>
      </c>
      <c r="J96" s="40">
        <v>0</v>
      </c>
      <c r="K96" s="40">
        <v>357.12468000000001</v>
      </c>
      <c r="L96" s="41">
        <f t="shared" si="1"/>
        <v>10037.179010000002</v>
      </c>
    </row>
    <row r="97" spans="1:12" s="16" customFormat="1" ht="12.75" customHeight="1" x14ac:dyDescent="0.25">
      <c r="A97" s="2" t="s">
        <v>101</v>
      </c>
      <c r="B97" s="40">
        <v>10046.921390000001</v>
      </c>
      <c r="C97" s="40">
        <v>34.890999999999998</v>
      </c>
      <c r="D97" s="40">
        <v>1198.18136</v>
      </c>
      <c r="E97" s="40">
        <v>26</v>
      </c>
      <c r="F97" s="40">
        <v>114.72900999999999</v>
      </c>
      <c r="G97" s="40">
        <v>228.81688</v>
      </c>
      <c r="H97" s="40">
        <v>504.45711</v>
      </c>
      <c r="I97" s="40">
        <v>0</v>
      </c>
      <c r="J97" s="40">
        <v>0</v>
      </c>
      <c r="K97" s="40">
        <v>299.52945</v>
      </c>
      <c r="L97" s="41">
        <f t="shared" si="1"/>
        <v>12453.5262</v>
      </c>
    </row>
    <row r="98" spans="1:12" s="16" customFormat="1" x14ac:dyDescent="0.25">
      <c r="A98" s="2" t="s">
        <v>23</v>
      </c>
      <c r="B98" s="40">
        <v>27110.734619999999</v>
      </c>
      <c r="C98" s="40">
        <v>203.67599999999999</v>
      </c>
      <c r="D98" s="40">
        <v>2364.7027000000003</v>
      </c>
      <c r="E98" s="40">
        <v>38.203919999999997</v>
      </c>
      <c r="F98" s="40">
        <v>578.42650000000003</v>
      </c>
      <c r="G98" s="40">
        <v>607.51220000000001</v>
      </c>
      <c r="H98" s="40">
        <v>1775.0497</v>
      </c>
      <c r="I98" s="40">
        <v>0</v>
      </c>
      <c r="J98" s="40">
        <v>0</v>
      </c>
      <c r="K98" s="40">
        <v>143.71988000000002</v>
      </c>
      <c r="L98" s="41">
        <f t="shared" si="1"/>
        <v>32822.025520000003</v>
      </c>
    </row>
    <row r="99" spans="1:12" s="16" customFormat="1" x14ac:dyDescent="0.25">
      <c r="A99" s="2" t="s">
        <v>102</v>
      </c>
      <c r="B99" s="40">
        <v>8849.1935899999989</v>
      </c>
      <c r="C99" s="40">
        <v>98.585750000000004</v>
      </c>
      <c r="D99" s="40">
        <v>2531.7585199999999</v>
      </c>
      <c r="E99" s="40">
        <v>11.836120000000001</v>
      </c>
      <c r="F99" s="40">
        <v>188.68078</v>
      </c>
      <c r="G99" s="40">
        <v>148.91900000000001</v>
      </c>
      <c r="H99" s="40">
        <v>3198.4322099999999</v>
      </c>
      <c r="I99" s="40">
        <v>0</v>
      </c>
      <c r="J99" s="40">
        <v>0</v>
      </c>
      <c r="K99" s="40">
        <v>421.73065000000003</v>
      </c>
      <c r="L99" s="41">
        <f t="shared" si="1"/>
        <v>15449.136619999999</v>
      </c>
    </row>
    <row r="100" spans="1:12" s="16" customFormat="1" x14ac:dyDescent="0.25">
      <c r="A100" s="2" t="s">
        <v>24</v>
      </c>
      <c r="B100" s="40">
        <v>7466.4305999999997</v>
      </c>
      <c r="C100" s="40">
        <v>95.703999999999994</v>
      </c>
      <c r="D100" s="40">
        <v>889.22032999999999</v>
      </c>
      <c r="E100" s="40">
        <v>149.27110000000002</v>
      </c>
      <c r="F100" s="40">
        <v>322.46782000000002</v>
      </c>
      <c r="G100" s="40">
        <v>118.29205</v>
      </c>
      <c r="H100" s="40">
        <v>1108.0723500000001</v>
      </c>
      <c r="I100" s="40">
        <v>0</v>
      </c>
      <c r="J100" s="40">
        <v>0</v>
      </c>
      <c r="K100" s="40">
        <v>92.15</v>
      </c>
      <c r="L100" s="41">
        <f t="shared" si="1"/>
        <v>10241.608249999999</v>
      </c>
    </row>
    <row r="101" spans="1:12" s="16" customFormat="1" x14ac:dyDescent="0.25">
      <c r="A101" s="3" t="s">
        <v>103</v>
      </c>
      <c r="B101" s="40">
        <v>8308.7019099999998</v>
      </c>
      <c r="C101" s="40">
        <v>118.443</v>
      </c>
      <c r="D101" s="40">
        <v>1919.20507</v>
      </c>
      <c r="E101" s="40">
        <v>5.0396999999999998</v>
      </c>
      <c r="F101" s="40">
        <v>142.04820000000001</v>
      </c>
      <c r="G101" s="40">
        <v>113.4068</v>
      </c>
      <c r="H101" s="40">
        <v>2063.2996499999999</v>
      </c>
      <c r="I101" s="40">
        <v>0</v>
      </c>
      <c r="J101" s="40">
        <v>0</v>
      </c>
      <c r="K101" s="40">
        <v>135.5985</v>
      </c>
      <c r="L101" s="41">
        <f t="shared" si="1"/>
        <v>12805.742829999999</v>
      </c>
    </row>
    <row r="102" spans="1:12" s="16" customFormat="1" x14ac:dyDescent="0.25">
      <c r="A102" s="2" t="s">
        <v>104</v>
      </c>
      <c r="B102" s="40">
        <v>9285.5034800000012</v>
      </c>
      <c r="C102" s="40">
        <v>185.95699999999999</v>
      </c>
      <c r="D102" s="40">
        <v>2367.8484800000001</v>
      </c>
      <c r="E102" s="40">
        <v>12.10783</v>
      </c>
      <c r="F102" s="40">
        <v>492.16909999999996</v>
      </c>
      <c r="G102" s="40">
        <v>275.87377000000004</v>
      </c>
      <c r="H102" s="40">
        <v>1596.4680800000001</v>
      </c>
      <c r="I102" s="40">
        <v>0</v>
      </c>
      <c r="J102" s="40">
        <v>0</v>
      </c>
      <c r="K102" s="40">
        <v>889.221</v>
      </c>
      <c r="L102" s="41">
        <f t="shared" si="1"/>
        <v>15105.148740000002</v>
      </c>
    </row>
    <row r="103" spans="1:12" s="16" customFormat="1" x14ac:dyDescent="0.25">
      <c r="A103" s="2" t="s">
        <v>25</v>
      </c>
      <c r="B103" s="40">
        <v>16129.896580000001</v>
      </c>
      <c r="C103" s="40">
        <v>102.67060000000001</v>
      </c>
      <c r="D103" s="40">
        <v>1614.0917299999999</v>
      </c>
      <c r="E103" s="40">
        <v>12.451690000000001</v>
      </c>
      <c r="F103" s="40">
        <v>175.44889000000001</v>
      </c>
      <c r="G103" s="40">
        <v>16.113499999999998</v>
      </c>
      <c r="H103" s="40">
        <v>1119.4674399999999</v>
      </c>
      <c r="I103" s="40">
        <v>0</v>
      </c>
      <c r="J103" s="40">
        <v>0</v>
      </c>
      <c r="K103" s="40">
        <v>71.427000000000007</v>
      </c>
      <c r="L103" s="41">
        <f t="shared" si="1"/>
        <v>19241.567429999999</v>
      </c>
    </row>
    <row r="104" spans="1:12" s="16" customFormat="1" x14ac:dyDescent="0.25">
      <c r="A104" s="2" t="s">
        <v>105</v>
      </c>
      <c r="B104" s="40">
        <v>17831.5903</v>
      </c>
      <c r="C104" s="40">
        <v>134.02760000000001</v>
      </c>
      <c r="D104" s="40">
        <v>1800.13327</v>
      </c>
      <c r="E104" s="40">
        <v>0</v>
      </c>
      <c r="F104" s="40">
        <v>653.32619</v>
      </c>
      <c r="G104" s="40">
        <v>248.55579999999998</v>
      </c>
      <c r="H104" s="40">
        <v>981.50496999999996</v>
      </c>
      <c r="I104" s="40">
        <v>0</v>
      </c>
      <c r="J104" s="40">
        <v>8.82</v>
      </c>
      <c r="K104" s="40">
        <v>434.44529999999997</v>
      </c>
      <c r="L104" s="41">
        <f t="shared" si="1"/>
        <v>22092.403429999998</v>
      </c>
    </row>
    <row r="105" spans="1:12" s="16" customFormat="1" x14ac:dyDescent="0.25">
      <c r="A105" s="2" t="s">
        <v>106</v>
      </c>
      <c r="B105" s="40">
        <v>2332.1450099999997</v>
      </c>
      <c r="C105" s="40">
        <v>20.838000000000001</v>
      </c>
      <c r="D105" s="40">
        <v>464.69522999999998</v>
      </c>
      <c r="E105" s="40">
        <v>3.4697600000000004</v>
      </c>
      <c r="F105" s="40">
        <v>6.6988000000000003</v>
      </c>
      <c r="G105" s="40">
        <v>73.847320000000011</v>
      </c>
      <c r="H105" s="40">
        <v>376.43475999999998</v>
      </c>
      <c r="I105" s="40">
        <v>0</v>
      </c>
      <c r="J105" s="40">
        <v>0</v>
      </c>
      <c r="K105" s="40">
        <v>137.83175</v>
      </c>
      <c r="L105" s="41">
        <f t="shared" si="1"/>
        <v>3415.9606299999996</v>
      </c>
    </row>
    <row r="106" spans="1:12" s="16" customFormat="1" x14ac:dyDescent="0.25">
      <c r="A106" s="2" t="s">
        <v>107</v>
      </c>
      <c r="B106" s="40">
        <v>1948.24704</v>
      </c>
      <c r="C106" s="40">
        <v>139.874</v>
      </c>
      <c r="D106" s="40">
        <v>1188.1571100000001</v>
      </c>
      <c r="E106" s="40">
        <v>52.2746</v>
      </c>
      <c r="F106" s="40">
        <v>326.27888999999999</v>
      </c>
      <c r="G106" s="40">
        <v>115.31502</v>
      </c>
      <c r="H106" s="40">
        <v>1850.59195</v>
      </c>
      <c r="I106" s="40">
        <v>0</v>
      </c>
      <c r="J106" s="40">
        <v>0</v>
      </c>
      <c r="K106" s="40">
        <v>333.43036000000001</v>
      </c>
      <c r="L106" s="41">
        <f t="shared" si="1"/>
        <v>5954.1689700000006</v>
      </c>
    </row>
    <row r="107" spans="1:12" s="16" customFormat="1" x14ac:dyDescent="0.25">
      <c r="A107" s="2" t="s">
        <v>108</v>
      </c>
      <c r="B107" s="40">
        <v>6288.0223299999998</v>
      </c>
      <c r="C107" s="40">
        <v>59.533999999999999</v>
      </c>
      <c r="D107" s="40">
        <v>1032.7236600000001</v>
      </c>
      <c r="E107" s="40">
        <v>13.124049999999999</v>
      </c>
      <c r="F107" s="40">
        <v>133.56465</v>
      </c>
      <c r="G107" s="40">
        <v>51.566699999999997</v>
      </c>
      <c r="H107" s="40">
        <v>427.35775000000001</v>
      </c>
      <c r="I107" s="40">
        <v>0</v>
      </c>
      <c r="J107" s="40">
        <v>0</v>
      </c>
      <c r="K107" s="40">
        <v>96.502250000000004</v>
      </c>
      <c r="L107" s="41">
        <f t="shared" si="1"/>
        <v>8102.3953899999997</v>
      </c>
    </row>
    <row r="108" spans="1:12" s="16" customFormat="1" x14ac:dyDescent="0.25">
      <c r="A108" s="2" t="s">
        <v>109</v>
      </c>
      <c r="B108" s="40">
        <v>3812.82746</v>
      </c>
      <c r="C108" s="40">
        <v>18.411000000000001</v>
      </c>
      <c r="D108" s="40">
        <v>714.37831999999992</v>
      </c>
      <c r="E108" s="40">
        <v>0</v>
      </c>
      <c r="F108" s="40">
        <v>163.82968</v>
      </c>
      <c r="G108" s="40">
        <v>54.018239999999999</v>
      </c>
      <c r="H108" s="40">
        <v>55.83426</v>
      </c>
      <c r="I108" s="40">
        <v>0</v>
      </c>
      <c r="J108" s="40">
        <v>0</v>
      </c>
      <c r="K108" s="40">
        <v>338.71449999999999</v>
      </c>
      <c r="L108" s="41">
        <f t="shared" si="1"/>
        <v>5158.0134600000001</v>
      </c>
    </row>
    <row r="109" spans="1:12" s="23" customFormat="1" ht="18" customHeight="1" x14ac:dyDescent="0.25">
      <c r="A109" s="93" t="s">
        <v>224</v>
      </c>
      <c r="B109" s="43">
        <v>1415787.3922100004</v>
      </c>
      <c r="C109" s="43">
        <v>24837.403019999998</v>
      </c>
      <c r="D109" s="43">
        <v>269455.19680000003</v>
      </c>
      <c r="E109" s="43">
        <v>7852.551379999999</v>
      </c>
      <c r="F109" s="43">
        <v>113955.08203000001</v>
      </c>
      <c r="G109" s="43">
        <v>19028.34764</v>
      </c>
      <c r="H109" s="43">
        <v>259304.52977999998</v>
      </c>
      <c r="I109" s="43">
        <v>60</v>
      </c>
      <c r="J109" s="43">
        <v>2162.6061800000002</v>
      </c>
      <c r="K109" s="43">
        <v>67433.471539999999</v>
      </c>
      <c r="L109" s="43">
        <v>2179876.5805799998</v>
      </c>
    </row>
    <row r="110" spans="1:12" s="23" customFormat="1" ht="18" customHeight="1" x14ac:dyDescent="0.15">
      <c r="A110" s="23" t="s">
        <v>225</v>
      </c>
      <c r="B110" s="44"/>
      <c r="C110" s="44"/>
      <c r="D110" s="44"/>
      <c r="E110" s="45"/>
      <c r="F110" s="44"/>
      <c r="G110" s="45"/>
      <c r="H110" s="44"/>
      <c r="I110" s="44"/>
      <c r="J110" s="44"/>
      <c r="K110" s="45"/>
      <c r="L110" s="44"/>
    </row>
    <row r="111" spans="1:12" x14ac:dyDescent="0.25">
      <c r="B111" s="16"/>
      <c r="C111" s="16"/>
      <c r="D111" s="16"/>
      <c r="E111" s="16"/>
      <c r="F111" s="59"/>
      <c r="G111" s="16"/>
      <c r="H111" s="16"/>
      <c r="I111" s="16"/>
      <c r="J111" s="16"/>
      <c r="K111" s="16"/>
      <c r="L111" s="60"/>
    </row>
    <row r="112" spans="1:12" x14ac:dyDescent="0.25">
      <c r="B112" s="16"/>
      <c r="C112" s="16"/>
      <c r="D112" s="16"/>
      <c r="E112" s="16"/>
      <c r="F112" s="59"/>
      <c r="G112" s="16"/>
      <c r="H112" s="16"/>
      <c r="I112" s="16"/>
      <c r="J112" s="16"/>
      <c r="K112" s="16"/>
      <c r="L112" s="60"/>
    </row>
    <row r="113" spans="2:12" x14ac:dyDescent="0.25">
      <c r="B113" s="16"/>
      <c r="C113" s="16"/>
      <c r="D113" s="16"/>
      <c r="E113" s="16"/>
      <c r="F113" s="59"/>
      <c r="G113" s="16"/>
      <c r="H113" s="16"/>
      <c r="I113" s="16"/>
      <c r="J113" s="16"/>
      <c r="K113" s="16"/>
      <c r="L113" s="60"/>
    </row>
    <row r="114" spans="2:12" x14ac:dyDescent="0.25">
      <c r="B114" s="16"/>
      <c r="C114" s="16"/>
      <c r="D114" s="16"/>
      <c r="E114" s="16"/>
      <c r="F114" s="59"/>
      <c r="G114" s="16"/>
      <c r="H114" s="16"/>
      <c r="I114" s="16"/>
      <c r="J114" s="16"/>
      <c r="K114" s="16"/>
      <c r="L114" s="60"/>
    </row>
    <row r="115" spans="2:12" x14ac:dyDescent="0.25">
      <c r="B115" s="16"/>
      <c r="C115" s="16"/>
      <c r="D115" s="16"/>
      <c r="E115" s="16"/>
      <c r="F115" s="59"/>
      <c r="G115" s="16"/>
      <c r="H115" s="16"/>
      <c r="I115" s="16"/>
      <c r="J115" s="16"/>
      <c r="K115" s="16"/>
      <c r="L115" s="60"/>
    </row>
    <row r="116" spans="2:12" x14ac:dyDescent="0.25">
      <c r="B116" s="16"/>
      <c r="C116" s="16"/>
      <c r="D116" s="16"/>
      <c r="E116" s="16"/>
      <c r="F116" s="59"/>
      <c r="G116" s="16"/>
      <c r="H116" s="16"/>
      <c r="I116" s="16"/>
      <c r="J116" s="16"/>
      <c r="K116" s="16"/>
      <c r="L116" s="60"/>
    </row>
    <row r="117" spans="2:12" x14ac:dyDescent="0.25">
      <c r="B117" s="16"/>
      <c r="C117" s="16"/>
      <c r="D117" s="16"/>
      <c r="E117" s="16"/>
      <c r="F117" s="59"/>
      <c r="G117" s="16"/>
      <c r="H117" s="16"/>
      <c r="I117" s="16"/>
      <c r="J117" s="16"/>
      <c r="K117" s="16"/>
      <c r="L117" s="60"/>
    </row>
    <row r="118" spans="2:12" x14ac:dyDescent="0.25">
      <c r="B118" s="16"/>
      <c r="C118" s="16"/>
      <c r="D118" s="16"/>
      <c r="E118" s="16"/>
      <c r="F118" s="59"/>
      <c r="G118" s="16"/>
      <c r="H118" s="16"/>
      <c r="I118" s="16"/>
      <c r="J118" s="16"/>
      <c r="K118" s="16"/>
      <c r="L118" s="60"/>
    </row>
    <row r="119" spans="2:12" x14ac:dyDescent="0.25">
      <c r="B119" s="16"/>
      <c r="C119" s="16"/>
      <c r="D119" s="16"/>
      <c r="E119" s="16"/>
      <c r="F119" s="59"/>
      <c r="G119" s="16"/>
      <c r="H119" s="16"/>
      <c r="I119" s="16"/>
      <c r="J119" s="16"/>
      <c r="K119" s="16"/>
      <c r="L119" s="60"/>
    </row>
    <row r="120" spans="2:12" x14ac:dyDescent="0.25">
      <c r="B120" s="16"/>
      <c r="C120" s="16"/>
      <c r="D120" s="16"/>
      <c r="E120" s="16"/>
      <c r="F120" s="59"/>
      <c r="G120" s="16"/>
      <c r="H120" s="16"/>
      <c r="I120" s="16"/>
      <c r="J120" s="16"/>
      <c r="K120" s="16"/>
      <c r="L120" s="60"/>
    </row>
    <row r="121" spans="2:12" x14ac:dyDescent="0.25">
      <c r="B121" s="16"/>
      <c r="C121" s="16"/>
      <c r="D121" s="16"/>
      <c r="E121" s="16"/>
      <c r="F121" s="59"/>
      <c r="G121" s="16"/>
      <c r="H121" s="16"/>
      <c r="I121" s="16"/>
      <c r="J121" s="16"/>
      <c r="K121" s="16"/>
      <c r="L121" s="60"/>
    </row>
    <row r="122" spans="2:12" x14ac:dyDescent="0.25">
      <c r="B122" s="16"/>
      <c r="C122" s="16"/>
      <c r="D122" s="16"/>
      <c r="E122" s="16"/>
      <c r="F122" s="59"/>
      <c r="G122" s="16"/>
      <c r="H122" s="16"/>
      <c r="I122" s="16"/>
      <c r="J122" s="16"/>
      <c r="K122" s="16"/>
      <c r="L122" s="60"/>
    </row>
    <row r="123" spans="2:12" x14ac:dyDescent="0.25">
      <c r="B123" s="16"/>
      <c r="C123" s="16"/>
      <c r="D123" s="16"/>
      <c r="E123" s="16"/>
      <c r="F123" s="59"/>
      <c r="G123" s="16"/>
      <c r="H123" s="16"/>
      <c r="I123" s="16"/>
      <c r="J123" s="16"/>
      <c r="K123" s="16"/>
      <c r="L123" s="60"/>
    </row>
    <row r="124" spans="2:12" x14ac:dyDescent="0.25">
      <c r="B124" s="16"/>
      <c r="C124" s="16"/>
      <c r="D124" s="16"/>
      <c r="E124" s="16"/>
      <c r="F124" s="59"/>
      <c r="G124" s="16"/>
      <c r="H124" s="16"/>
      <c r="I124" s="16"/>
      <c r="J124" s="16"/>
      <c r="K124" s="16"/>
      <c r="L124" s="60"/>
    </row>
    <row r="125" spans="2:12" x14ac:dyDescent="0.25">
      <c r="B125" s="16"/>
      <c r="C125" s="16"/>
      <c r="D125" s="16"/>
      <c r="E125" s="16"/>
      <c r="F125" s="59"/>
      <c r="G125" s="16"/>
      <c r="H125" s="16"/>
      <c r="I125" s="16"/>
      <c r="J125" s="16"/>
      <c r="K125" s="16"/>
      <c r="L125" s="60"/>
    </row>
    <row r="126" spans="2:12" x14ac:dyDescent="0.25">
      <c r="B126" s="16"/>
      <c r="C126" s="16"/>
      <c r="D126" s="16"/>
      <c r="E126" s="16"/>
      <c r="F126" s="59"/>
      <c r="G126" s="16"/>
      <c r="H126" s="16"/>
      <c r="I126" s="16"/>
      <c r="J126" s="16"/>
      <c r="K126" s="16"/>
      <c r="L126" s="60"/>
    </row>
    <row r="127" spans="2:12" x14ac:dyDescent="0.25">
      <c r="B127" s="16"/>
      <c r="C127" s="16"/>
      <c r="D127" s="16"/>
      <c r="E127" s="16"/>
      <c r="F127" s="59"/>
      <c r="G127" s="16"/>
      <c r="H127" s="16"/>
      <c r="I127" s="16"/>
      <c r="J127" s="16"/>
      <c r="K127" s="16"/>
      <c r="L127" s="60"/>
    </row>
    <row r="128" spans="2:12" x14ac:dyDescent="0.25">
      <c r="B128" s="16"/>
      <c r="C128" s="16"/>
      <c r="D128" s="16"/>
      <c r="E128" s="16"/>
      <c r="F128" s="59"/>
      <c r="G128" s="16"/>
      <c r="H128" s="16"/>
      <c r="I128" s="16"/>
      <c r="J128" s="16"/>
      <c r="K128" s="16"/>
      <c r="L128" s="60"/>
    </row>
    <row r="129" spans="2:12" x14ac:dyDescent="0.25">
      <c r="B129" s="16"/>
      <c r="C129" s="16"/>
      <c r="D129" s="16"/>
      <c r="E129" s="16"/>
      <c r="F129" s="59"/>
      <c r="G129" s="16"/>
      <c r="H129" s="16"/>
      <c r="I129" s="16"/>
      <c r="J129" s="16"/>
      <c r="K129" s="16"/>
      <c r="L129" s="60"/>
    </row>
    <row r="130" spans="2:12" x14ac:dyDescent="0.25">
      <c r="B130" s="16"/>
      <c r="C130" s="16"/>
      <c r="D130" s="16"/>
      <c r="E130" s="16"/>
      <c r="F130" s="59"/>
      <c r="G130" s="16"/>
      <c r="H130" s="16"/>
      <c r="I130" s="16"/>
      <c r="J130" s="16"/>
      <c r="K130" s="16"/>
      <c r="L130" s="60"/>
    </row>
    <row r="131" spans="2:12" x14ac:dyDescent="0.25">
      <c r="B131" s="16"/>
      <c r="C131" s="16"/>
      <c r="D131" s="16"/>
      <c r="E131" s="16"/>
      <c r="F131" s="59"/>
      <c r="G131" s="16"/>
      <c r="H131" s="16"/>
      <c r="I131" s="16"/>
      <c r="J131" s="16"/>
      <c r="K131" s="16"/>
      <c r="L131" s="60"/>
    </row>
    <row r="132" spans="2:12" x14ac:dyDescent="0.25">
      <c r="B132" s="16"/>
      <c r="C132" s="16"/>
      <c r="D132" s="16"/>
      <c r="E132" s="16"/>
      <c r="F132" s="59"/>
      <c r="G132" s="16"/>
      <c r="H132" s="16"/>
      <c r="I132" s="16"/>
      <c r="J132" s="16"/>
      <c r="K132" s="16"/>
      <c r="L132" s="60"/>
    </row>
    <row r="133" spans="2:12" x14ac:dyDescent="0.25">
      <c r="B133" s="16"/>
      <c r="C133" s="16"/>
      <c r="D133" s="16"/>
      <c r="E133" s="16"/>
      <c r="F133" s="59"/>
      <c r="G133" s="16"/>
      <c r="H133" s="16"/>
      <c r="I133" s="16"/>
      <c r="J133" s="16"/>
      <c r="K133" s="16"/>
      <c r="L133" s="60"/>
    </row>
    <row r="134" spans="2:12" x14ac:dyDescent="0.25">
      <c r="B134" s="16"/>
      <c r="C134" s="16"/>
      <c r="D134" s="16"/>
      <c r="E134" s="16"/>
      <c r="F134" s="59"/>
      <c r="G134" s="16"/>
      <c r="H134" s="16"/>
      <c r="I134" s="16"/>
      <c r="J134" s="16"/>
      <c r="K134" s="16"/>
      <c r="L134" s="60"/>
    </row>
    <row r="135" spans="2:12" x14ac:dyDescent="0.25">
      <c r="B135" s="16"/>
      <c r="C135" s="16"/>
      <c r="D135" s="16"/>
      <c r="E135" s="16"/>
      <c r="F135" s="59"/>
      <c r="G135" s="16"/>
      <c r="H135" s="16"/>
      <c r="I135" s="16"/>
      <c r="J135" s="16"/>
      <c r="K135" s="16"/>
      <c r="L135" s="60"/>
    </row>
    <row r="136" spans="2:12" x14ac:dyDescent="0.25">
      <c r="B136" s="16"/>
      <c r="C136" s="16"/>
      <c r="D136" s="16"/>
      <c r="E136" s="16"/>
      <c r="F136" s="59"/>
      <c r="G136" s="16"/>
      <c r="H136" s="16"/>
      <c r="I136" s="16"/>
      <c r="J136" s="16"/>
      <c r="K136" s="16"/>
      <c r="L136" s="60"/>
    </row>
    <row r="137" spans="2:12" x14ac:dyDescent="0.25">
      <c r="B137" s="16"/>
      <c r="C137" s="16"/>
      <c r="D137" s="16"/>
      <c r="E137" s="16"/>
      <c r="F137" s="59"/>
      <c r="G137" s="16"/>
      <c r="H137" s="16"/>
      <c r="I137" s="16"/>
      <c r="J137" s="16"/>
      <c r="K137" s="16"/>
      <c r="L137" s="60"/>
    </row>
    <row r="138" spans="2:12" x14ac:dyDescent="0.25">
      <c r="B138" s="16"/>
      <c r="C138" s="16"/>
      <c r="D138" s="16"/>
      <c r="E138" s="16"/>
      <c r="F138" s="59"/>
      <c r="G138" s="16"/>
      <c r="H138" s="16"/>
      <c r="I138" s="16"/>
      <c r="J138" s="16"/>
      <c r="K138" s="16"/>
      <c r="L138" s="60"/>
    </row>
    <row r="139" spans="2:12" x14ac:dyDescent="0.25">
      <c r="B139" s="16"/>
      <c r="C139" s="16"/>
      <c r="D139" s="16"/>
      <c r="E139" s="16"/>
      <c r="F139" s="59"/>
      <c r="G139" s="16"/>
      <c r="H139" s="16"/>
      <c r="I139" s="16"/>
      <c r="J139" s="16"/>
      <c r="K139" s="16"/>
      <c r="L139" s="60"/>
    </row>
    <row r="140" spans="2:12" x14ac:dyDescent="0.25">
      <c r="B140" s="16"/>
      <c r="C140" s="16"/>
      <c r="D140" s="16"/>
      <c r="E140" s="16"/>
      <c r="F140" s="59"/>
      <c r="G140" s="16"/>
      <c r="H140" s="16"/>
      <c r="I140" s="16"/>
      <c r="J140" s="16"/>
      <c r="K140" s="16"/>
      <c r="L140" s="60"/>
    </row>
    <row r="141" spans="2:12" x14ac:dyDescent="0.25">
      <c r="B141" s="16"/>
      <c r="C141" s="16"/>
      <c r="D141" s="16"/>
      <c r="E141" s="16"/>
      <c r="F141" s="59"/>
      <c r="G141" s="16"/>
      <c r="H141" s="16"/>
      <c r="I141" s="16"/>
      <c r="J141" s="16"/>
      <c r="K141" s="16"/>
      <c r="L141" s="60"/>
    </row>
    <row r="142" spans="2:12" x14ac:dyDescent="0.25">
      <c r="B142" s="16"/>
      <c r="C142" s="16"/>
      <c r="D142" s="16"/>
      <c r="E142" s="16"/>
      <c r="F142" s="59"/>
      <c r="G142" s="16"/>
      <c r="H142" s="16"/>
      <c r="I142" s="16"/>
      <c r="J142" s="16"/>
      <c r="K142" s="16"/>
      <c r="L142" s="60"/>
    </row>
    <row r="143" spans="2:12" x14ac:dyDescent="0.25">
      <c r="B143" s="16"/>
      <c r="C143" s="16"/>
      <c r="D143" s="16"/>
      <c r="E143" s="16"/>
      <c r="F143" s="59"/>
      <c r="G143" s="16"/>
      <c r="H143" s="16"/>
      <c r="I143" s="16"/>
      <c r="J143" s="16"/>
      <c r="K143" s="16"/>
      <c r="L143" s="60"/>
    </row>
    <row r="144" spans="2:12" x14ac:dyDescent="0.25">
      <c r="B144" s="16"/>
      <c r="C144" s="16"/>
      <c r="D144" s="16"/>
      <c r="E144" s="16"/>
      <c r="F144" s="59"/>
      <c r="G144" s="16"/>
      <c r="H144" s="16"/>
      <c r="I144" s="16"/>
      <c r="J144" s="16"/>
      <c r="K144" s="16"/>
      <c r="L144" s="60"/>
    </row>
    <row r="145" spans="2:12" x14ac:dyDescent="0.25">
      <c r="B145" s="16"/>
      <c r="C145" s="16"/>
      <c r="D145" s="16"/>
      <c r="E145" s="16"/>
      <c r="F145" s="59"/>
      <c r="G145" s="16"/>
      <c r="H145" s="16"/>
      <c r="I145" s="16"/>
      <c r="J145" s="16"/>
      <c r="K145" s="16"/>
      <c r="L145" s="60"/>
    </row>
    <row r="146" spans="2:12" x14ac:dyDescent="0.25">
      <c r="B146" s="16"/>
      <c r="C146" s="16"/>
      <c r="D146" s="16"/>
      <c r="E146" s="16"/>
      <c r="F146" s="59"/>
      <c r="G146" s="16"/>
      <c r="H146" s="16"/>
      <c r="I146" s="16"/>
      <c r="J146" s="16"/>
      <c r="K146" s="16"/>
      <c r="L146" s="60"/>
    </row>
    <row r="147" spans="2:12" x14ac:dyDescent="0.25">
      <c r="B147" s="16"/>
      <c r="C147" s="16"/>
      <c r="D147" s="16"/>
      <c r="E147" s="16"/>
      <c r="F147" s="59"/>
      <c r="G147" s="16"/>
      <c r="H147" s="16"/>
      <c r="I147" s="16"/>
      <c r="J147" s="16"/>
      <c r="K147" s="16"/>
      <c r="L147" s="60"/>
    </row>
    <row r="148" spans="2:12" x14ac:dyDescent="0.25">
      <c r="B148" s="16"/>
      <c r="C148" s="16"/>
      <c r="D148" s="16"/>
      <c r="E148" s="16"/>
      <c r="F148" s="59"/>
      <c r="G148" s="16"/>
      <c r="H148" s="16"/>
      <c r="I148" s="16"/>
      <c r="J148" s="16"/>
      <c r="K148" s="16"/>
      <c r="L148" s="60"/>
    </row>
    <row r="149" spans="2:12" x14ac:dyDescent="0.25">
      <c r="B149" s="16"/>
      <c r="C149" s="16"/>
      <c r="D149" s="16"/>
      <c r="E149" s="16"/>
      <c r="F149" s="59"/>
      <c r="G149" s="16"/>
      <c r="H149" s="16"/>
      <c r="I149" s="16"/>
      <c r="J149" s="16"/>
      <c r="K149" s="16"/>
      <c r="L149" s="60"/>
    </row>
    <row r="150" spans="2:12" x14ac:dyDescent="0.25">
      <c r="B150" s="16"/>
      <c r="C150" s="16"/>
      <c r="D150" s="16"/>
      <c r="E150" s="16"/>
      <c r="F150" s="59"/>
      <c r="G150" s="16"/>
      <c r="H150" s="16"/>
      <c r="I150" s="16"/>
      <c r="J150" s="16"/>
      <c r="K150" s="16"/>
      <c r="L150" s="60"/>
    </row>
    <row r="151" spans="2:12" x14ac:dyDescent="0.25">
      <c r="B151" s="16"/>
      <c r="C151" s="16"/>
      <c r="D151" s="16"/>
      <c r="E151" s="16"/>
      <c r="F151" s="59"/>
      <c r="G151" s="16"/>
      <c r="H151" s="16"/>
      <c r="I151" s="16"/>
      <c r="J151" s="16"/>
      <c r="K151" s="16"/>
      <c r="L151" s="60"/>
    </row>
    <row r="152" spans="2:12" x14ac:dyDescent="0.25">
      <c r="B152" s="16"/>
      <c r="C152" s="16"/>
      <c r="D152" s="16"/>
      <c r="E152" s="16"/>
      <c r="F152" s="59"/>
      <c r="G152" s="16"/>
      <c r="H152" s="16"/>
      <c r="I152" s="16"/>
      <c r="J152" s="16"/>
      <c r="K152" s="16"/>
      <c r="L152" s="60"/>
    </row>
    <row r="153" spans="2:12" x14ac:dyDescent="0.25">
      <c r="B153" s="16"/>
      <c r="C153" s="16"/>
      <c r="D153" s="16"/>
      <c r="E153" s="16"/>
      <c r="F153" s="59"/>
      <c r="G153" s="16"/>
      <c r="H153" s="16"/>
      <c r="I153" s="16"/>
      <c r="J153" s="16"/>
      <c r="K153" s="16"/>
      <c r="L153" s="60"/>
    </row>
    <row r="154" spans="2:12" x14ac:dyDescent="0.25">
      <c r="B154" s="16"/>
      <c r="C154" s="16"/>
      <c r="D154" s="16"/>
      <c r="E154" s="16"/>
      <c r="F154" s="59"/>
      <c r="G154" s="16"/>
      <c r="H154" s="16"/>
      <c r="I154" s="16"/>
      <c r="J154" s="16"/>
      <c r="K154" s="16"/>
      <c r="L154" s="60"/>
    </row>
    <row r="155" spans="2:12" x14ac:dyDescent="0.25">
      <c r="B155" s="16"/>
      <c r="C155" s="16"/>
      <c r="D155" s="16"/>
      <c r="E155" s="16"/>
      <c r="F155" s="59"/>
      <c r="G155" s="16"/>
      <c r="H155" s="16"/>
      <c r="I155" s="16"/>
      <c r="J155" s="16"/>
      <c r="K155" s="16"/>
      <c r="L155" s="60"/>
    </row>
    <row r="156" spans="2:12" x14ac:dyDescent="0.25">
      <c r="B156" s="16"/>
      <c r="C156" s="16"/>
      <c r="D156" s="16"/>
      <c r="E156" s="16"/>
      <c r="F156" s="59"/>
      <c r="G156" s="16"/>
      <c r="H156" s="16"/>
      <c r="I156" s="16"/>
      <c r="J156" s="16"/>
      <c r="K156" s="16"/>
      <c r="L156" s="60"/>
    </row>
    <row r="157" spans="2:12" x14ac:dyDescent="0.25">
      <c r="B157" s="16"/>
      <c r="C157" s="16"/>
      <c r="D157" s="16"/>
      <c r="E157" s="16"/>
      <c r="F157" s="59"/>
      <c r="G157" s="16"/>
      <c r="H157" s="16"/>
      <c r="I157" s="16"/>
      <c r="J157" s="16"/>
      <c r="K157" s="16"/>
      <c r="L157" s="60"/>
    </row>
    <row r="158" spans="2:12" x14ac:dyDescent="0.25">
      <c r="B158" s="16"/>
      <c r="C158" s="16"/>
      <c r="D158" s="16"/>
      <c r="E158" s="16"/>
      <c r="F158" s="59"/>
      <c r="G158" s="16"/>
      <c r="H158" s="16"/>
      <c r="I158" s="16"/>
      <c r="J158" s="16"/>
      <c r="K158" s="16"/>
      <c r="L158" s="60"/>
    </row>
    <row r="159" spans="2:12" x14ac:dyDescent="0.25">
      <c r="B159" s="16"/>
      <c r="C159" s="16"/>
      <c r="D159" s="16"/>
      <c r="E159" s="16"/>
      <c r="F159" s="59"/>
      <c r="G159" s="16"/>
      <c r="H159" s="16"/>
      <c r="I159" s="16"/>
      <c r="J159" s="16"/>
      <c r="K159" s="16"/>
      <c r="L159" s="60"/>
    </row>
    <row r="160" spans="2:12" x14ac:dyDescent="0.25">
      <c r="B160" s="16"/>
      <c r="C160" s="16"/>
      <c r="D160" s="16"/>
      <c r="E160" s="16"/>
      <c r="F160" s="59"/>
      <c r="G160" s="16"/>
      <c r="H160" s="16"/>
      <c r="I160" s="16"/>
      <c r="J160" s="16"/>
      <c r="K160" s="16"/>
      <c r="L160" s="60"/>
    </row>
    <row r="161" spans="2:12" x14ac:dyDescent="0.25">
      <c r="B161" s="16"/>
      <c r="C161" s="16"/>
      <c r="D161" s="16"/>
      <c r="E161" s="16"/>
      <c r="F161" s="59"/>
      <c r="G161" s="16"/>
      <c r="H161" s="16"/>
      <c r="I161" s="16"/>
      <c r="J161" s="16"/>
      <c r="K161" s="16"/>
      <c r="L161" s="60"/>
    </row>
    <row r="162" spans="2:12" x14ac:dyDescent="0.25">
      <c r="B162" s="16"/>
      <c r="C162" s="16"/>
      <c r="D162" s="16"/>
      <c r="E162" s="16"/>
      <c r="F162" s="59"/>
      <c r="G162" s="16"/>
      <c r="H162" s="16"/>
      <c r="I162" s="16"/>
      <c r="J162" s="16"/>
      <c r="K162" s="16"/>
      <c r="L162" s="60"/>
    </row>
    <row r="163" spans="2:12" x14ac:dyDescent="0.25">
      <c r="B163" s="16"/>
      <c r="C163" s="16"/>
      <c r="D163" s="16"/>
      <c r="E163" s="16"/>
      <c r="F163" s="59"/>
      <c r="G163" s="16"/>
      <c r="H163" s="16"/>
      <c r="I163" s="16"/>
      <c r="J163" s="16"/>
      <c r="K163" s="16"/>
      <c r="L163" s="60"/>
    </row>
    <row r="164" spans="2:12" x14ac:dyDescent="0.25">
      <c r="B164" s="16"/>
      <c r="C164" s="16"/>
      <c r="D164" s="16"/>
      <c r="E164" s="16"/>
      <c r="F164" s="59"/>
      <c r="G164" s="16"/>
      <c r="H164" s="16"/>
      <c r="I164" s="16"/>
      <c r="J164" s="16"/>
      <c r="K164" s="16"/>
      <c r="L164" s="60"/>
    </row>
    <row r="165" spans="2:12" x14ac:dyDescent="0.25">
      <c r="B165" s="16"/>
      <c r="C165" s="16"/>
      <c r="D165" s="16"/>
      <c r="E165" s="16"/>
      <c r="F165" s="59"/>
      <c r="G165" s="16"/>
      <c r="H165" s="16"/>
      <c r="I165" s="16"/>
      <c r="J165" s="16"/>
      <c r="K165" s="16"/>
      <c r="L165" s="60"/>
    </row>
    <row r="166" spans="2:12" x14ac:dyDescent="0.25">
      <c r="B166" s="16"/>
      <c r="C166" s="16"/>
      <c r="D166" s="16"/>
      <c r="E166" s="16"/>
      <c r="F166" s="59"/>
      <c r="G166" s="16"/>
      <c r="H166" s="16"/>
      <c r="I166" s="16"/>
      <c r="J166" s="16"/>
      <c r="K166" s="16"/>
      <c r="L166" s="60"/>
    </row>
    <row r="167" spans="2:12" x14ac:dyDescent="0.25">
      <c r="B167" s="16"/>
      <c r="C167" s="16"/>
      <c r="D167" s="16"/>
      <c r="E167" s="16"/>
      <c r="F167" s="59"/>
      <c r="G167" s="16"/>
      <c r="H167" s="16"/>
      <c r="I167" s="16"/>
      <c r="J167" s="16"/>
      <c r="K167" s="16"/>
      <c r="L167" s="60"/>
    </row>
    <row r="168" spans="2:12" x14ac:dyDescent="0.25">
      <c r="B168" s="16"/>
      <c r="C168" s="16"/>
      <c r="D168" s="16"/>
      <c r="E168" s="16"/>
      <c r="F168" s="59"/>
      <c r="G168" s="16"/>
      <c r="H168" s="16"/>
      <c r="I168" s="16"/>
      <c r="J168" s="16"/>
      <c r="K168" s="16"/>
      <c r="L168" s="60"/>
    </row>
    <row r="169" spans="2:12" x14ac:dyDescent="0.25">
      <c r="B169" s="16"/>
      <c r="C169" s="16"/>
      <c r="D169" s="16"/>
      <c r="E169" s="16"/>
      <c r="F169" s="59"/>
      <c r="G169" s="16"/>
      <c r="H169" s="16"/>
      <c r="I169" s="16"/>
      <c r="J169" s="16"/>
      <c r="K169" s="16"/>
      <c r="L169" s="60"/>
    </row>
    <row r="170" spans="2:12" x14ac:dyDescent="0.25">
      <c r="B170" s="16"/>
      <c r="C170" s="16"/>
      <c r="D170" s="16"/>
      <c r="E170" s="16"/>
      <c r="F170" s="59"/>
      <c r="G170" s="16"/>
      <c r="H170" s="16"/>
      <c r="I170" s="16"/>
      <c r="J170" s="16"/>
      <c r="K170" s="16"/>
      <c r="L170" s="60"/>
    </row>
    <row r="171" spans="2:12" x14ac:dyDescent="0.25">
      <c r="B171" s="16"/>
      <c r="C171" s="16"/>
      <c r="D171" s="16"/>
      <c r="E171" s="16"/>
      <c r="F171" s="59"/>
      <c r="G171" s="16"/>
      <c r="H171" s="16"/>
      <c r="I171" s="16"/>
      <c r="J171" s="16"/>
      <c r="K171" s="16"/>
      <c r="L171" s="60"/>
    </row>
    <row r="172" spans="2:12" x14ac:dyDescent="0.25">
      <c r="B172" s="16"/>
      <c r="C172" s="16"/>
      <c r="D172" s="16"/>
      <c r="E172" s="16"/>
      <c r="F172" s="59"/>
      <c r="G172" s="16"/>
      <c r="H172" s="16"/>
      <c r="I172" s="16"/>
      <c r="J172" s="16"/>
      <c r="K172" s="16"/>
      <c r="L172" s="60"/>
    </row>
    <row r="173" spans="2:12" x14ac:dyDescent="0.25">
      <c r="B173" s="16"/>
      <c r="C173" s="16"/>
      <c r="D173" s="16"/>
      <c r="E173" s="16"/>
      <c r="F173" s="59"/>
      <c r="G173" s="16"/>
      <c r="H173" s="16"/>
      <c r="I173" s="16"/>
      <c r="J173" s="16"/>
      <c r="K173" s="16"/>
      <c r="L173" s="60"/>
    </row>
    <row r="174" spans="2:12" x14ac:dyDescent="0.25">
      <c r="B174" s="16"/>
      <c r="C174" s="16"/>
      <c r="D174" s="16"/>
      <c r="E174" s="16"/>
      <c r="F174" s="59"/>
      <c r="G174" s="16"/>
      <c r="H174" s="16"/>
      <c r="I174" s="16"/>
      <c r="J174" s="16"/>
      <c r="K174" s="16"/>
      <c r="L174" s="60"/>
    </row>
    <row r="175" spans="2:12" x14ac:dyDescent="0.25">
      <c r="B175" s="16"/>
      <c r="C175" s="16"/>
      <c r="D175" s="16"/>
      <c r="E175" s="16"/>
      <c r="F175" s="59"/>
      <c r="G175" s="16"/>
      <c r="H175" s="16"/>
      <c r="I175" s="16"/>
      <c r="J175" s="16"/>
      <c r="K175" s="16"/>
      <c r="L175" s="60"/>
    </row>
    <row r="176" spans="2:12" x14ac:dyDescent="0.25">
      <c r="B176" s="16"/>
      <c r="C176" s="16"/>
      <c r="D176" s="16"/>
      <c r="E176" s="16"/>
      <c r="F176" s="59"/>
      <c r="G176" s="16"/>
      <c r="H176" s="16"/>
      <c r="I176" s="16"/>
      <c r="J176" s="16"/>
      <c r="K176" s="16"/>
      <c r="L176" s="60"/>
    </row>
    <row r="177" spans="2:12" x14ac:dyDescent="0.25">
      <c r="B177" s="16"/>
      <c r="C177" s="16"/>
      <c r="D177" s="16"/>
      <c r="E177" s="16"/>
      <c r="F177" s="59"/>
      <c r="G177" s="16"/>
      <c r="H177" s="16"/>
      <c r="I177" s="16"/>
      <c r="J177" s="16"/>
      <c r="K177" s="16"/>
      <c r="L177" s="60"/>
    </row>
    <row r="178" spans="2:12" x14ac:dyDescent="0.25">
      <c r="B178" s="16"/>
      <c r="C178" s="16"/>
      <c r="D178" s="16"/>
      <c r="E178" s="16"/>
      <c r="F178" s="59"/>
      <c r="G178" s="16"/>
      <c r="H178" s="16"/>
      <c r="I178" s="16"/>
      <c r="J178" s="16"/>
      <c r="K178" s="16"/>
      <c r="L178" s="60"/>
    </row>
    <row r="179" spans="2:12" x14ac:dyDescent="0.25">
      <c r="B179" s="16"/>
      <c r="C179" s="16"/>
      <c r="D179" s="16"/>
      <c r="E179" s="16"/>
      <c r="F179" s="59"/>
      <c r="G179" s="16"/>
      <c r="H179" s="16"/>
      <c r="I179" s="16"/>
      <c r="J179" s="16"/>
      <c r="K179" s="16"/>
      <c r="L179" s="60"/>
    </row>
    <row r="180" spans="2:12" x14ac:dyDescent="0.25">
      <c r="B180" s="16"/>
      <c r="C180" s="16"/>
      <c r="D180" s="16"/>
      <c r="E180" s="16"/>
      <c r="F180" s="59"/>
      <c r="G180" s="16"/>
      <c r="H180" s="16"/>
      <c r="I180" s="16"/>
      <c r="J180" s="16"/>
      <c r="K180" s="16"/>
      <c r="L180" s="60"/>
    </row>
    <row r="181" spans="2:12" x14ac:dyDescent="0.25">
      <c r="B181" s="16"/>
      <c r="C181" s="16"/>
      <c r="D181" s="16"/>
      <c r="E181" s="16"/>
      <c r="F181" s="59"/>
      <c r="G181" s="16"/>
      <c r="H181" s="16"/>
      <c r="I181" s="16"/>
      <c r="J181" s="16"/>
      <c r="K181" s="16"/>
      <c r="L181" s="60"/>
    </row>
    <row r="182" spans="2:12" x14ac:dyDescent="0.25">
      <c r="B182" s="16"/>
      <c r="C182" s="16"/>
      <c r="D182" s="16"/>
      <c r="E182" s="16"/>
      <c r="F182" s="59"/>
      <c r="G182" s="16"/>
      <c r="H182" s="16"/>
      <c r="I182" s="16"/>
      <c r="J182" s="16"/>
      <c r="K182" s="16"/>
      <c r="L182" s="60"/>
    </row>
    <row r="183" spans="2:12" x14ac:dyDescent="0.25">
      <c r="B183" s="16"/>
      <c r="C183" s="16"/>
      <c r="D183" s="16"/>
      <c r="E183" s="16"/>
      <c r="F183" s="59"/>
      <c r="G183" s="16"/>
      <c r="H183" s="16"/>
      <c r="I183" s="16"/>
      <c r="J183" s="16"/>
      <c r="K183" s="16"/>
      <c r="L183" s="60"/>
    </row>
    <row r="184" spans="2:12" x14ac:dyDescent="0.25">
      <c r="B184" s="16"/>
      <c r="C184" s="16"/>
      <c r="D184" s="16"/>
      <c r="E184" s="16"/>
      <c r="F184" s="59"/>
      <c r="G184" s="16"/>
      <c r="H184" s="16"/>
      <c r="I184" s="16"/>
      <c r="J184" s="16"/>
      <c r="K184" s="16"/>
      <c r="L184" s="60"/>
    </row>
    <row r="185" spans="2:12" x14ac:dyDescent="0.25">
      <c r="B185" s="16"/>
      <c r="C185" s="16"/>
      <c r="D185" s="16"/>
      <c r="E185" s="16"/>
      <c r="F185" s="59"/>
      <c r="G185" s="16"/>
      <c r="H185" s="16"/>
      <c r="I185" s="16"/>
      <c r="J185" s="16"/>
      <c r="K185" s="16"/>
      <c r="L185" s="60"/>
    </row>
    <row r="186" spans="2:12" x14ac:dyDescent="0.25">
      <c r="B186" s="16"/>
      <c r="C186" s="16"/>
      <c r="D186" s="16"/>
      <c r="E186" s="16"/>
      <c r="F186" s="59"/>
      <c r="G186" s="16"/>
      <c r="H186" s="16"/>
      <c r="I186" s="16"/>
      <c r="J186" s="16"/>
      <c r="K186" s="16"/>
      <c r="L186" s="60"/>
    </row>
    <row r="187" spans="2:12" x14ac:dyDescent="0.25">
      <c r="B187" s="16"/>
      <c r="C187" s="16"/>
      <c r="D187" s="16"/>
      <c r="E187" s="16"/>
      <c r="F187" s="59"/>
      <c r="G187" s="16"/>
      <c r="H187" s="16"/>
      <c r="I187" s="16"/>
      <c r="J187" s="16"/>
      <c r="K187" s="16"/>
      <c r="L187" s="60"/>
    </row>
    <row r="188" spans="2:12" x14ac:dyDescent="0.25">
      <c r="B188" s="16"/>
      <c r="C188" s="16"/>
      <c r="D188" s="16"/>
      <c r="E188" s="16"/>
      <c r="F188" s="59"/>
      <c r="G188" s="16"/>
      <c r="H188" s="16"/>
      <c r="I188" s="16"/>
      <c r="J188" s="16"/>
      <c r="K188" s="16"/>
      <c r="L188" s="60"/>
    </row>
    <row r="189" spans="2:12" x14ac:dyDescent="0.25">
      <c r="B189" s="16"/>
      <c r="C189" s="16"/>
      <c r="D189" s="16"/>
      <c r="E189" s="16"/>
      <c r="F189" s="59"/>
      <c r="G189" s="16"/>
      <c r="H189" s="16"/>
      <c r="I189" s="16"/>
      <c r="J189" s="16"/>
      <c r="K189" s="16"/>
      <c r="L189" s="60"/>
    </row>
    <row r="190" spans="2:12" x14ac:dyDescent="0.25">
      <c r="B190" s="16"/>
      <c r="C190" s="16"/>
      <c r="D190" s="16"/>
      <c r="E190" s="16"/>
      <c r="F190" s="59"/>
      <c r="G190" s="16"/>
      <c r="H190" s="16"/>
      <c r="I190" s="16"/>
      <c r="J190" s="16"/>
      <c r="K190" s="16"/>
      <c r="L190" s="60"/>
    </row>
    <row r="191" spans="2:12" x14ac:dyDescent="0.25">
      <c r="B191" s="16"/>
      <c r="C191" s="16"/>
      <c r="D191" s="16"/>
      <c r="E191" s="16"/>
      <c r="F191" s="59"/>
      <c r="G191" s="16"/>
      <c r="H191" s="16"/>
      <c r="I191" s="16"/>
      <c r="J191" s="16"/>
      <c r="K191" s="16"/>
      <c r="L191" s="60"/>
    </row>
    <row r="192" spans="2:12" x14ac:dyDescent="0.25">
      <c r="B192" s="16"/>
      <c r="C192" s="16"/>
      <c r="D192" s="16"/>
      <c r="E192" s="16"/>
      <c r="F192" s="59"/>
      <c r="G192" s="16"/>
      <c r="H192" s="16"/>
      <c r="I192" s="16"/>
      <c r="J192" s="16"/>
      <c r="K192" s="16"/>
      <c r="L192" s="60"/>
    </row>
    <row r="193" spans="2:12" x14ac:dyDescent="0.25">
      <c r="B193" s="16"/>
      <c r="C193" s="16"/>
      <c r="D193" s="16"/>
      <c r="E193" s="16"/>
      <c r="F193" s="59"/>
      <c r="G193" s="16"/>
      <c r="H193" s="16"/>
      <c r="I193" s="16"/>
      <c r="J193" s="16"/>
      <c r="K193" s="16"/>
      <c r="L193" s="60"/>
    </row>
    <row r="194" spans="2:12" x14ac:dyDescent="0.25">
      <c r="B194" s="16"/>
      <c r="C194" s="16"/>
      <c r="D194" s="16"/>
      <c r="E194" s="16"/>
      <c r="F194" s="59"/>
      <c r="G194" s="16"/>
      <c r="H194" s="16"/>
      <c r="I194" s="16"/>
      <c r="J194" s="16"/>
      <c r="K194" s="16"/>
      <c r="L194" s="60"/>
    </row>
    <row r="195" spans="2:12" x14ac:dyDescent="0.25">
      <c r="B195" s="16"/>
      <c r="C195" s="16"/>
      <c r="D195" s="16"/>
      <c r="E195" s="16"/>
      <c r="F195" s="59"/>
      <c r="G195" s="16"/>
      <c r="H195" s="16"/>
      <c r="I195" s="16"/>
      <c r="J195" s="16"/>
      <c r="K195" s="16"/>
      <c r="L195" s="60"/>
    </row>
    <row r="196" spans="2:12" x14ac:dyDescent="0.25">
      <c r="B196" s="16"/>
      <c r="C196" s="16"/>
      <c r="D196" s="16"/>
      <c r="E196" s="16"/>
      <c r="F196" s="59"/>
      <c r="G196" s="16"/>
      <c r="H196" s="16"/>
      <c r="I196" s="16"/>
      <c r="J196" s="16"/>
      <c r="K196" s="16"/>
      <c r="L196" s="60"/>
    </row>
    <row r="197" spans="2:12" x14ac:dyDescent="0.25">
      <c r="B197" s="16"/>
      <c r="C197" s="16"/>
      <c r="D197" s="16"/>
      <c r="E197" s="16"/>
      <c r="F197" s="59"/>
      <c r="G197" s="16"/>
      <c r="H197" s="16"/>
      <c r="I197" s="16"/>
      <c r="J197" s="16"/>
      <c r="K197" s="16"/>
      <c r="L197" s="60"/>
    </row>
    <row r="198" spans="2:12" x14ac:dyDescent="0.25">
      <c r="B198" s="16"/>
      <c r="C198" s="16"/>
      <c r="D198" s="16"/>
      <c r="E198" s="16"/>
      <c r="F198" s="59"/>
      <c r="G198" s="16"/>
      <c r="H198" s="16"/>
      <c r="I198" s="16"/>
      <c r="J198" s="16"/>
      <c r="K198" s="16"/>
      <c r="L198" s="60"/>
    </row>
    <row r="199" spans="2:12" x14ac:dyDescent="0.25">
      <c r="B199" s="16"/>
      <c r="C199" s="16"/>
      <c r="D199" s="16"/>
      <c r="E199" s="16"/>
      <c r="F199" s="59"/>
      <c r="G199" s="16"/>
      <c r="H199" s="16"/>
      <c r="I199" s="16"/>
      <c r="J199" s="16"/>
      <c r="K199" s="16"/>
      <c r="L199" s="60"/>
    </row>
    <row r="200" spans="2:12" x14ac:dyDescent="0.25">
      <c r="B200" s="16"/>
      <c r="C200" s="16"/>
      <c r="D200" s="16"/>
      <c r="E200" s="16"/>
      <c r="F200" s="59"/>
      <c r="G200" s="16"/>
      <c r="H200" s="16"/>
      <c r="I200" s="16"/>
      <c r="J200" s="16"/>
      <c r="K200" s="16"/>
      <c r="L200" s="60"/>
    </row>
    <row r="201" spans="2:12" x14ac:dyDescent="0.25">
      <c r="B201" s="16"/>
      <c r="C201" s="16"/>
      <c r="D201" s="16"/>
      <c r="E201" s="16"/>
      <c r="F201" s="59"/>
      <c r="G201" s="16"/>
      <c r="H201" s="16"/>
      <c r="I201" s="16"/>
      <c r="J201" s="16"/>
      <c r="K201" s="16"/>
      <c r="L201" s="60"/>
    </row>
    <row r="202" spans="2:12" x14ac:dyDescent="0.25">
      <c r="B202" s="16"/>
      <c r="C202" s="16"/>
      <c r="D202" s="16"/>
      <c r="E202" s="16"/>
      <c r="F202" s="59"/>
      <c r="G202" s="16"/>
      <c r="H202" s="16"/>
      <c r="I202" s="16"/>
      <c r="J202" s="16"/>
      <c r="K202" s="16"/>
      <c r="L202" s="60"/>
    </row>
    <row r="203" spans="2:12" x14ac:dyDescent="0.25">
      <c r="B203" s="16"/>
      <c r="C203" s="16"/>
      <c r="D203" s="16"/>
      <c r="E203" s="16"/>
      <c r="F203" s="59"/>
      <c r="G203" s="16"/>
      <c r="H203" s="16"/>
      <c r="I203" s="16"/>
      <c r="J203" s="16"/>
      <c r="K203" s="16"/>
      <c r="L203" s="60"/>
    </row>
    <row r="204" spans="2:12" x14ac:dyDescent="0.25">
      <c r="B204" s="16"/>
      <c r="C204" s="16"/>
      <c r="D204" s="16"/>
      <c r="E204" s="16"/>
      <c r="F204" s="59"/>
      <c r="G204" s="16"/>
      <c r="H204" s="16"/>
      <c r="I204" s="16"/>
      <c r="J204" s="16"/>
      <c r="K204" s="16"/>
      <c r="L204" s="60"/>
    </row>
    <row r="205" spans="2:12" x14ac:dyDescent="0.25">
      <c r="B205" s="16"/>
      <c r="C205" s="16"/>
      <c r="D205" s="16"/>
      <c r="E205" s="16"/>
      <c r="F205" s="59"/>
      <c r="G205" s="16"/>
      <c r="H205" s="16"/>
      <c r="I205" s="16"/>
      <c r="J205" s="16"/>
      <c r="K205" s="16"/>
      <c r="L205" s="60"/>
    </row>
    <row r="206" spans="2:12" x14ac:dyDescent="0.25">
      <c r="B206" s="16"/>
      <c r="C206" s="16"/>
      <c r="D206" s="16"/>
      <c r="E206" s="16"/>
      <c r="F206" s="59"/>
      <c r="G206" s="16"/>
      <c r="H206" s="16"/>
      <c r="I206" s="16"/>
      <c r="J206" s="16"/>
      <c r="K206" s="16"/>
      <c r="L206" s="60"/>
    </row>
    <row r="207" spans="2:12" x14ac:dyDescent="0.25">
      <c r="B207" s="16"/>
      <c r="C207" s="16"/>
      <c r="D207" s="16"/>
      <c r="E207" s="16"/>
      <c r="F207" s="59"/>
      <c r="G207" s="16"/>
      <c r="H207" s="16"/>
      <c r="I207" s="16"/>
      <c r="J207" s="16"/>
      <c r="K207" s="16"/>
      <c r="L207" s="60"/>
    </row>
    <row r="208" spans="2:12" x14ac:dyDescent="0.25">
      <c r="B208" s="16"/>
      <c r="C208" s="16"/>
      <c r="D208" s="16"/>
      <c r="E208" s="16"/>
      <c r="F208" s="59"/>
      <c r="G208" s="16"/>
      <c r="H208" s="16"/>
      <c r="I208" s="16"/>
      <c r="J208" s="16"/>
      <c r="K208" s="16"/>
      <c r="L208" s="60"/>
    </row>
    <row r="209" spans="2:12" x14ac:dyDescent="0.25">
      <c r="B209" s="16"/>
      <c r="C209" s="16"/>
      <c r="D209" s="16"/>
      <c r="E209" s="16"/>
      <c r="F209" s="59"/>
      <c r="G209" s="16"/>
      <c r="H209" s="16"/>
      <c r="I209" s="16"/>
      <c r="J209" s="16"/>
      <c r="K209" s="16"/>
      <c r="L209" s="60"/>
    </row>
    <row r="210" spans="2:12" x14ac:dyDescent="0.25">
      <c r="B210" s="16"/>
      <c r="C210" s="16"/>
      <c r="D210" s="16"/>
      <c r="E210" s="16"/>
      <c r="F210" s="59"/>
      <c r="G210" s="16"/>
      <c r="H210" s="16"/>
      <c r="I210" s="16"/>
      <c r="J210" s="16"/>
      <c r="K210" s="16"/>
      <c r="L210" s="60"/>
    </row>
  </sheetData>
  <printOptions horizontalCentered="1"/>
  <pageMargins left="0.51181102362204722" right="0.51181102362204722" top="0.55118110236220474" bottom="0.35433070866141736" header="0.31496062992125984" footer="3.937007874015748E-2"/>
  <pageSetup paperSize="9" firstPageNumber="19" orientation="portrait" useFirstPageNumber="1" horizontalDpi="1200" verticalDpi="1200" r:id="rId1"/>
  <headerFooter>
    <oddFooter>&amp;C&amp;"Arial Narrow,Corsivo"&amp;7- pagina &amp;P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V214"/>
  <sheetViews>
    <sheetView zoomScale="150" zoomScaleNormal="150" workbookViewId="0">
      <pane xSplit="1" ySplit="2" topLeftCell="B91" activePane="bottomRight" state="frozenSplit"/>
      <selection pane="topRight"/>
      <selection pane="bottomLeft"/>
      <selection pane="bottomRight" activeCell="A109" sqref="A109"/>
    </sheetView>
  </sheetViews>
  <sheetFormatPr defaultRowHeight="13.5" x14ac:dyDescent="0.25"/>
  <cols>
    <col min="1" max="1" width="14.85546875" style="16" customWidth="1"/>
    <col min="2" max="21" width="7.5703125" style="51" customWidth="1"/>
    <col min="22" max="27" width="7.5703125" style="61" customWidth="1"/>
    <col min="28" max="47" width="7.5703125" style="51" customWidth="1"/>
    <col min="48" max="48" width="8.28515625" style="62" customWidth="1"/>
    <col min="49" max="50" width="9.140625" style="51"/>
    <col min="51" max="51" width="3" style="51" customWidth="1"/>
    <col min="52" max="254" width="9.140625" style="51"/>
    <col min="255" max="255" width="14.85546875" style="51" customWidth="1"/>
    <col min="256" max="301" width="7.5703125" style="51" customWidth="1"/>
    <col min="302" max="302" width="8.28515625" style="51" customWidth="1"/>
    <col min="303" max="303" width="13.140625" style="51" customWidth="1"/>
    <col min="304" max="306" width="9.140625" style="51"/>
    <col min="307" max="307" width="3" style="51" customWidth="1"/>
    <col min="308" max="510" width="9.140625" style="51"/>
    <col min="511" max="511" width="14.85546875" style="51" customWidth="1"/>
    <col min="512" max="557" width="7.5703125" style="51" customWidth="1"/>
    <col min="558" max="558" width="8.28515625" style="51" customWidth="1"/>
    <col min="559" max="559" width="13.140625" style="51" customWidth="1"/>
    <col min="560" max="562" width="9.140625" style="51"/>
    <col min="563" max="563" width="3" style="51" customWidth="1"/>
    <col min="564" max="766" width="9.140625" style="51"/>
    <col min="767" max="767" width="14.85546875" style="51" customWidth="1"/>
    <col min="768" max="813" width="7.5703125" style="51" customWidth="1"/>
    <col min="814" max="814" width="8.28515625" style="51" customWidth="1"/>
    <col min="815" max="815" width="13.140625" style="51" customWidth="1"/>
    <col min="816" max="818" width="9.140625" style="51"/>
    <col min="819" max="819" width="3" style="51" customWidth="1"/>
    <col min="820" max="1022" width="9.140625" style="51"/>
    <col min="1023" max="1023" width="14.85546875" style="51" customWidth="1"/>
    <col min="1024" max="1069" width="7.5703125" style="51" customWidth="1"/>
    <col min="1070" max="1070" width="8.28515625" style="51" customWidth="1"/>
    <col min="1071" max="1071" width="13.140625" style="51" customWidth="1"/>
    <col min="1072" max="1074" width="9.140625" style="51"/>
    <col min="1075" max="1075" width="3" style="51" customWidth="1"/>
    <col min="1076" max="1278" width="9.140625" style="51"/>
    <col min="1279" max="1279" width="14.85546875" style="51" customWidth="1"/>
    <col min="1280" max="1325" width="7.5703125" style="51" customWidth="1"/>
    <col min="1326" max="1326" width="8.28515625" style="51" customWidth="1"/>
    <col min="1327" max="1327" width="13.140625" style="51" customWidth="1"/>
    <col min="1328" max="1330" width="9.140625" style="51"/>
    <col min="1331" max="1331" width="3" style="51" customWidth="1"/>
    <col min="1332" max="1534" width="9.140625" style="51"/>
    <col min="1535" max="1535" width="14.85546875" style="51" customWidth="1"/>
    <col min="1536" max="1581" width="7.5703125" style="51" customWidth="1"/>
    <col min="1582" max="1582" width="8.28515625" style="51" customWidth="1"/>
    <col min="1583" max="1583" width="13.140625" style="51" customWidth="1"/>
    <col min="1584" max="1586" width="9.140625" style="51"/>
    <col min="1587" max="1587" width="3" style="51" customWidth="1"/>
    <col min="1588" max="1790" width="9.140625" style="51"/>
    <col min="1791" max="1791" width="14.85546875" style="51" customWidth="1"/>
    <col min="1792" max="1837" width="7.5703125" style="51" customWidth="1"/>
    <col min="1838" max="1838" width="8.28515625" style="51" customWidth="1"/>
    <col min="1839" max="1839" width="13.140625" style="51" customWidth="1"/>
    <col min="1840" max="1842" width="9.140625" style="51"/>
    <col min="1843" max="1843" width="3" style="51" customWidth="1"/>
    <col min="1844" max="2046" width="9.140625" style="51"/>
    <col min="2047" max="2047" width="14.85546875" style="51" customWidth="1"/>
    <col min="2048" max="2093" width="7.5703125" style="51" customWidth="1"/>
    <col min="2094" max="2094" width="8.28515625" style="51" customWidth="1"/>
    <col min="2095" max="2095" width="13.140625" style="51" customWidth="1"/>
    <col min="2096" max="2098" width="9.140625" style="51"/>
    <col min="2099" max="2099" width="3" style="51" customWidth="1"/>
    <col min="2100" max="2302" width="9.140625" style="51"/>
    <col min="2303" max="2303" width="14.85546875" style="51" customWidth="1"/>
    <col min="2304" max="2349" width="7.5703125" style="51" customWidth="1"/>
    <col min="2350" max="2350" width="8.28515625" style="51" customWidth="1"/>
    <col min="2351" max="2351" width="13.140625" style="51" customWidth="1"/>
    <col min="2352" max="2354" width="9.140625" style="51"/>
    <col min="2355" max="2355" width="3" style="51" customWidth="1"/>
    <col min="2356" max="2558" width="9.140625" style="51"/>
    <col min="2559" max="2559" width="14.85546875" style="51" customWidth="1"/>
    <col min="2560" max="2605" width="7.5703125" style="51" customWidth="1"/>
    <col min="2606" max="2606" width="8.28515625" style="51" customWidth="1"/>
    <col min="2607" max="2607" width="13.140625" style="51" customWidth="1"/>
    <col min="2608" max="2610" width="9.140625" style="51"/>
    <col min="2611" max="2611" width="3" style="51" customWidth="1"/>
    <col min="2612" max="2814" width="9.140625" style="51"/>
    <col min="2815" max="2815" width="14.85546875" style="51" customWidth="1"/>
    <col min="2816" max="2861" width="7.5703125" style="51" customWidth="1"/>
    <col min="2862" max="2862" width="8.28515625" style="51" customWidth="1"/>
    <col min="2863" max="2863" width="13.140625" style="51" customWidth="1"/>
    <col min="2864" max="2866" width="9.140625" style="51"/>
    <col min="2867" max="2867" width="3" style="51" customWidth="1"/>
    <col min="2868" max="3070" width="9.140625" style="51"/>
    <col min="3071" max="3071" width="14.85546875" style="51" customWidth="1"/>
    <col min="3072" max="3117" width="7.5703125" style="51" customWidth="1"/>
    <col min="3118" max="3118" width="8.28515625" style="51" customWidth="1"/>
    <col min="3119" max="3119" width="13.140625" style="51" customWidth="1"/>
    <col min="3120" max="3122" width="9.140625" style="51"/>
    <col min="3123" max="3123" width="3" style="51" customWidth="1"/>
    <col min="3124" max="3326" width="9.140625" style="51"/>
    <col min="3327" max="3327" width="14.85546875" style="51" customWidth="1"/>
    <col min="3328" max="3373" width="7.5703125" style="51" customWidth="1"/>
    <col min="3374" max="3374" width="8.28515625" style="51" customWidth="1"/>
    <col min="3375" max="3375" width="13.140625" style="51" customWidth="1"/>
    <col min="3376" max="3378" width="9.140625" style="51"/>
    <col min="3379" max="3379" width="3" style="51" customWidth="1"/>
    <col min="3380" max="3582" width="9.140625" style="51"/>
    <col min="3583" max="3583" width="14.85546875" style="51" customWidth="1"/>
    <col min="3584" max="3629" width="7.5703125" style="51" customWidth="1"/>
    <col min="3630" max="3630" width="8.28515625" style="51" customWidth="1"/>
    <col min="3631" max="3631" width="13.140625" style="51" customWidth="1"/>
    <col min="3632" max="3634" width="9.140625" style="51"/>
    <col min="3635" max="3635" width="3" style="51" customWidth="1"/>
    <col min="3636" max="3838" width="9.140625" style="51"/>
    <col min="3839" max="3839" width="14.85546875" style="51" customWidth="1"/>
    <col min="3840" max="3885" width="7.5703125" style="51" customWidth="1"/>
    <col min="3886" max="3886" width="8.28515625" style="51" customWidth="1"/>
    <col min="3887" max="3887" width="13.140625" style="51" customWidth="1"/>
    <col min="3888" max="3890" width="9.140625" style="51"/>
    <col min="3891" max="3891" width="3" style="51" customWidth="1"/>
    <col min="3892" max="4094" width="9.140625" style="51"/>
    <col min="4095" max="4095" width="14.85546875" style="51" customWidth="1"/>
    <col min="4096" max="4141" width="7.5703125" style="51" customWidth="1"/>
    <col min="4142" max="4142" width="8.28515625" style="51" customWidth="1"/>
    <col min="4143" max="4143" width="13.140625" style="51" customWidth="1"/>
    <col min="4144" max="4146" width="9.140625" style="51"/>
    <col min="4147" max="4147" width="3" style="51" customWidth="1"/>
    <col min="4148" max="4350" width="9.140625" style="51"/>
    <col min="4351" max="4351" width="14.85546875" style="51" customWidth="1"/>
    <col min="4352" max="4397" width="7.5703125" style="51" customWidth="1"/>
    <col min="4398" max="4398" width="8.28515625" style="51" customWidth="1"/>
    <col min="4399" max="4399" width="13.140625" style="51" customWidth="1"/>
    <col min="4400" max="4402" width="9.140625" style="51"/>
    <col min="4403" max="4403" width="3" style="51" customWidth="1"/>
    <col min="4404" max="4606" width="9.140625" style="51"/>
    <col min="4607" max="4607" width="14.85546875" style="51" customWidth="1"/>
    <col min="4608" max="4653" width="7.5703125" style="51" customWidth="1"/>
    <col min="4654" max="4654" width="8.28515625" style="51" customWidth="1"/>
    <col min="4655" max="4655" width="13.140625" style="51" customWidth="1"/>
    <col min="4656" max="4658" width="9.140625" style="51"/>
    <col min="4659" max="4659" width="3" style="51" customWidth="1"/>
    <col min="4660" max="4862" width="9.140625" style="51"/>
    <col min="4863" max="4863" width="14.85546875" style="51" customWidth="1"/>
    <col min="4864" max="4909" width="7.5703125" style="51" customWidth="1"/>
    <col min="4910" max="4910" width="8.28515625" style="51" customWidth="1"/>
    <col min="4911" max="4911" width="13.140625" style="51" customWidth="1"/>
    <col min="4912" max="4914" width="9.140625" style="51"/>
    <col min="4915" max="4915" width="3" style="51" customWidth="1"/>
    <col min="4916" max="5118" width="9.140625" style="51"/>
    <col min="5119" max="5119" width="14.85546875" style="51" customWidth="1"/>
    <col min="5120" max="5165" width="7.5703125" style="51" customWidth="1"/>
    <col min="5166" max="5166" width="8.28515625" style="51" customWidth="1"/>
    <col min="5167" max="5167" width="13.140625" style="51" customWidth="1"/>
    <col min="5168" max="5170" width="9.140625" style="51"/>
    <col min="5171" max="5171" width="3" style="51" customWidth="1"/>
    <col min="5172" max="5374" width="9.140625" style="51"/>
    <col min="5375" max="5375" width="14.85546875" style="51" customWidth="1"/>
    <col min="5376" max="5421" width="7.5703125" style="51" customWidth="1"/>
    <col min="5422" max="5422" width="8.28515625" style="51" customWidth="1"/>
    <col min="5423" max="5423" width="13.140625" style="51" customWidth="1"/>
    <col min="5424" max="5426" width="9.140625" style="51"/>
    <col min="5427" max="5427" width="3" style="51" customWidth="1"/>
    <col min="5428" max="5630" width="9.140625" style="51"/>
    <col min="5631" max="5631" width="14.85546875" style="51" customWidth="1"/>
    <col min="5632" max="5677" width="7.5703125" style="51" customWidth="1"/>
    <col min="5678" max="5678" width="8.28515625" style="51" customWidth="1"/>
    <col min="5679" max="5679" width="13.140625" style="51" customWidth="1"/>
    <col min="5680" max="5682" width="9.140625" style="51"/>
    <col min="5683" max="5683" width="3" style="51" customWidth="1"/>
    <col min="5684" max="5886" width="9.140625" style="51"/>
    <col min="5887" max="5887" width="14.85546875" style="51" customWidth="1"/>
    <col min="5888" max="5933" width="7.5703125" style="51" customWidth="1"/>
    <col min="5934" max="5934" width="8.28515625" style="51" customWidth="1"/>
    <col min="5935" max="5935" width="13.140625" style="51" customWidth="1"/>
    <col min="5936" max="5938" width="9.140625" style="51"/>
    <col min="5939" max="5939" width="3" style="51" customWidth="1"/>
    <col min="5940" max="6142" width="9.140625" style="51"/>
    <col min="6143" max="6143" width="14.85546875" style="51" customWidth="1"/>
    <col min="6144" max="6189" width="7.5703125" style="51" customWidth="1"/>
    <col min="6190" max="6190" width="8.28515625" style="51" customWidth="1"/>
    <col min="6191" max="6191" width="13.140625" style="51" customWidth="1"/>
    <col min="6192" max="6194" width="9.140625" style="51"/>
    <col min="6195" max="6195" width="3" style="51" customWidth="1"/>
    <col min="6196" max="6398" width="9.140625" style="51"/>
    <col min="6399" max="6399" width="14.85546875" style="51" customWidth="1"/>
    <col min="6400" max="6445" width="7.5703125" style="51" customWidth="1"/>
    <col min="6446" max="6446" width="8.28515625" style="51" customWidth="1"/>
    <col min="6447" max="6447" width="13.140625" style="51" customWidth="1"/>
    <col min="6448" max="6450" width="9.140625" style="51"/>
    <col min="6451" max="6451" width="3" style="51" customWidth="1"/>
    <col min="6452" max="6654" width="9.140625" style="51"/>
    <col min="6655" max="6655" width="14.85546875" style="51" customWidth="1"/>
    <col min="6656" max="6701" width="7.5703125" style="51" customWidth="1"/>
    <col min="6702" max="6702" width="8.28515625" style="51" customWidth="1"/>
    <col min="6703" max="6703" width="13.140625" style="51" customWidth="1"/>
    <col min="6704" max="6706" width="9.140625" style="51"/>
    <col min="6707" max="6707" width="3" style="51" customWidth="1"/>
    <col min="6708" max="6910" width="9.140625" style="51"/>
    <col min="6911" max="6911" width="14.85546875" style="51" customWidth="1"/>
    <col min="6912" max="6957" width="7.5703125" style="51" customWidth="1"/>
    <col min="6958" max="6958" width="8.28515625" style="51" customWidth="1"/>
    <col min="6959" max="6959" width="13.140625" style="51" customWidth="1"/>
    <col min="6960" max="6962" width="9.140625" style="51"/>
    <col min="6963" max="6963" width="3" style="51" customWidth="1"/>
    <col min="6964" max="7166" width="9.140625" style="51"/>
    <col min="7167" max="7167" width="14.85546875" style="51" customWidth="1"/>
    <col min="7168" max="7213" width="7.5703125" style="51" customWidth="1"/>
    <col min="7214" max="7214" width="8.28515625" style="51" customWidth="1"/>
    <col min="7215" max="7215" width="13.140625" style="51" customWidth="1"/>
    <col min="7216" max="7218" width="9.140625" style="51"/>
    <col min="7219" max="7219" width="3" style="51" customWidth="1"/>
    <col min="7220" max="7422" width="9.140625" style="51"/>
    <col min="7423" max="7423" width="14.85546875" style="51" customWidth="1"/>
    <col min="7424" max="7469" width="7.5703125" style="51" customWidth="1"/>
    <col min="7470" max="7470" width="8.28515625" style="51" customWidth="1"/>
    <col min="7471" max="7471" width="13.140625" style="51" customWidth="1"/>
    <col min="7472" max="7474" width="9.140625" style="51"/>
    <col min="7475" max="7475" width="3" style="51" customWidth="1"/>
    <col min="7476" max="7678" width="9.140625" style="51"/>
    <col min="7679" max="7679" width="14.85546875" style="51" customWidth="1"/>
    <col min="7680" max="7725" width="7.5703125" style="51" customWidth="1"/>
    <col min="7726" max="7726" width="8.28515625" style="51" customWidth="1"/>
    <col min="7727" max="7727" width="13.140625" style="51" customWidth="1"/>
    <col min="7728" max="7730" width="9.140625" style="51"/>
    <col min="7731" max="7731" width="3" style="51" customWidth="1"/>
    <col min="7732" max="7934" width="9.140625" style="51"/>
    <col min="7935" max="7935" width="14.85546875" style="51" customWidth="1"/>
    <col min="7936" max="7981" width="7.5703125" style="51" customWidth="1"/>
    <col min="7982" max="7982" width="8.28515625" style="51" customWidth="1"/>
    <col min="7983" max="7983" width="13.140625" style="51" customWidth="1"/>
    <col min="7984" max="7986" width="9.140625" style="51"/>
    <col min="7987" max="7987" width="3" style="51" customWidth="1"/>
    <col min="7988" max="8190" width="9.140625" style="51"/>
    <col min="8191" max="8191" width="14.85546875" style="51" customWidth="1"/>
    <col min="8192" max="8237" width="7.5703125" style="51" customWidth="1"/>
    <col min="8238" max="8238" width="8.28515625" style="51" customWidth="1"/>
    <col min="8239" max="8239" width="13.140625" style="51" customWidth="1"/>
    <col min="8240" max="8242" width="9.140625" style="51"/>
    <col min="8243" max="8243" width="3" style="51" customWidth="1"/>
    <col min="8244" max="8446" width="9.140625" style="51"/>
    <col min="8447" max="8447" width="14.85546875" style="51" customWidth="1"/>
    <col min="8448" max="8493" width="7.5703125" style="51" customWidth="1"/>
    <col min="8494" max="8494" width="8.28515625" style="51" customWidth="1"/>
    <col min="8495" max="8495" width="13.140625" style="51" customWidth="1"/>
    <col min="8496" max="8498" width="9.140625" style="51"/>
    <col min="8499" max="8499" width="3" style="51" customWidth="1"/>
    <col min="8500" max="8702" width="9.140625" style="51"/>
    <col min="8703" max="8703" width="14.85546875" style="51" customWidth="1"/>
    <col min="8704" max="8749" width="7.5703125" style="51" customWidth="1"/>
    <col min="8750" max="8750" width="8.28515625" style="51" customWidth="1"/>
    <col min="8751" max="8751" width="13.140625" style="51" customWidth="1"/>
    <col min="8752" max="8754" width="9.140625" style="51"/>
    <col min="8755" max="8755" width="3" style="51" customWidth="1"/>
    <col min="8756" max="8958" width="9.140625" style="51"/>
    <col min="8959" max="8959" width="14.85546875" style="51" customWidth="1"/>
    <col min="8960" max="9005" width="7.5703125" style="51" customWidth="1"/>
    <col min="9006" max="9006" width="8.28515625" style="51" customWidth="1"/>
    <col min="9007" max="9007" width="13.140625" style="51" customWidth="1"/>
    <col min="9008" max="9010" width="9.140625" style="51"/>
    <col min="9011" max="9011" width="3" style="51" customWidth="1"/>
    <col min="9012" max="9214" width="9.140625" style="51"/>
    <col min="9215" max="9215" width="14.85546875" style="51" customWidth="1"/>
    <col min="9216" max="9261" width="7.5703125" style="51" customWidth="1"/>
    <col min="9262" max="9262" width="8.28515625" style="51" customWidth="1"/>
    <col min="9263" max="9263" width="13.140625" style="51" customWidth="1"/>
    <col min="9264" max="9266" width="9.140625" style="51"/>
    <col min="9267" max="9267" width="3" style="51" customWidth="1"/>
    <col min="9268" max="9470" width="9.140625" style="51"/>
    <col min="9471" max="9471" width="14.85546875" style="51" customWidth="1"/>
    <col min="9472" max="9517" width="7.5703125" style="51" customWidth="1"/>
    <col min="9518" max="9518" width="8.28515625" style="51" customWidth="1"/>
    <col min="9519" max="9519" width="13.140625" style="51" customWidth="1"/>
    <col min="9520" max="9522" width="9.140625" style="51"/>
    <col min="9523" max="9523" width="3" style="51" customWidth="1"/>
    <col min="9524" max="9726" width="9.140625" style="51"/>
    <col min="9727" max="9727" width="14.85546875" style="51" customWidth="1"/>
    <col min="9728" max="9773" width="7.5703125" style="51" customWidth="1"/>
    <col min="9774" max="9774" width="8.28515625" style="51" customWidth="1"/>
    <col min="9775" max="9775" width="13.140625" style="51" customWidth="1"/>
    <col min="9776" max="9778" width="9.140625" style="51"/>
    <col min="9779" max="9779" width="3" style="51" customWidth="1"/>
    <col min="9780" max="9982" width="9.140625" style="51"/>
    <col min="9983" max="9983" width="14.85546875" style="51" customWidth="1"/>
    <col min="9984" max="10029" width="7.5703125" style="51" customWidth="1"/>
    <col min="10030" max="10030" width="8.28515625" style="51" customWidth="1"/>
    <col min="10031" max="10031" width="13.140625" style="51" customWidth="1"/>
    <col min="10032" max="10034" width="9.140625" style="51"/>
    <col min="10035" max="10035" width="3" style="51" customWidth="1"/>
    <col min="10036" max="10238" width="9.140625" style="51"/>
    <col min="10239" max="10239" width="14.85546875" style="51" customWidth="1"/>
    <col min="10240" max="10285" width="7.5703125" style="51" customWidth="1"/>
    <col min="10286" max="10286" width="8.28515625" style="51" customWidth="1"/>
    <col min="10287" max="10287" width="13.140625" style="51" customWidth="1"/>
    <col min="10288" max="10290" width="9.140625" style="51"/>
    <col min="10291" max="10291" width="3" style="51" customWidth="1"/>
    <col min="10292" max="10494" width="9.140625" style="51"/>
    <col min="10495" max="10495" width="14.85546875" style="51" customWidth="1"/>
    <col min="10496" max="10541" width="7.5703125" style="51" customWidth="1"/>
    <col min="10542" max="10542" width="8.28515625" style="51" customWidth="1"/>
    <col min="10543" max="10543" width="13.140625" style="51" customWidth="1"/>
    <col min="10544" max="10546" width="9.140625" style="51"/>
    <col min="10547" max="10547" width="3" style="51" customWidth="1"/>
    <col min="10548" max="10750" width="9.140625" style="51"/>
    <col min="10751" max="10751" width="14.85546875" style="51" customWidth="1"/>
    <col min="10752" max="10797" width="7.5703125" style="51" customWidth="1"/>
    <col min="10798" max="10798" width="8.28515625" style="51" customWidth="1"/>
    <col min="10799" max="10799" width="13.140625" style="51" customWidth="1"/>
    <col min="10800" max="10802" width="9.140625" style="51"/>
    <col min="10803" max="10803" width="3" style="51" customWidth="1"/>
    <col min="10804" max="11006" width="9.140625" style="51"/>
    <col min="11007" max="11007" width="14.85546875" style="51" customWidth="1"/>
    <col min="11008" max="11053" width="7.5703125" style="51" customWidth="1"/>
    <col min="11054" max="11054" width="8.28515625" style="51" customWidth="1"/>
    <col min="11055" max="11055" width="13.140625" style="51" customWidth="1"/>
    <col min="11056" max="11058" width="9.140625" style="51"/>
    <col min="11059" max="11059" width="3" style="51" customWidth="1"/>
    <col min="11060" max="11262" width="9.140625" style="51"/>
    <col min="11263" max="11263" width="14.85546875" style="51" customWidth="1"/>
    <col min="11264" max="11309" width="7.5703125" style="51" customWidth="1"/>
    <col min="11310" max="11310" width="8.28515625" style="51" customWidth="1"/>
    <col min="11311" max="11311" width="13.140625" style="51" customWidth="1"/>
    <col min="11312" max="11314" width="9.140625" style="51"/>
    <col min="11315" max="11315" width="3" style="51" customWidth="1"/>
    <col min="11316" max="11518" width="9.140625" style="51"/>
    <col min="11519" max="11519" width="14.85546875" style="51" customWidth="1"/>
    <col min="11520" max="11565" width="7.5703125" style="51" customWidth="1"/>
    <col min="11566" max="11566" width="8.28515625" style="51" customWidth="1"/>
    <col min="11567" max="11567" width="13.140625" style="51" customWidth="1"/>
    <col min="11568" max="11570" width="9.140625" style="51"/>
    <col min="11571" max="11571" width="3" style="51" customWidth="1"/>
    <col min="11572" max="11774" width="9.140625" style="51"/>
    <col min="11775" max="11775" width="14.85546875" style="51" customWidth="1"/>
    <col min="11776" max="11821" width="7.5703125" style="51" customWidth="1"/>
    <col min="11822" max="11822" width="8.28515625" style="51" customWidth="1"/>
    <col min="11823" max="11823" width="13.140625" style="51" customWidth="1"/>
    <col min="11824" max="11826" width="9.140625" style="51"/>
    <col min="11827" max="11827" width="3" style="51" customWidth="1"/>
    <col min="11828" max="12030" width="9.140625" style="51"/>
    <col min="12031" max="12031" width="14.85546875" style="51" customWidth="1"/>
    <col min="12032" max="12077" width="7.5703125" style="51" customWidth="1"/>
    <col min="12078" max="12078" width="8.28515625" style="51" customWidth="1"/>
    <col min="12079" max="12079" width="13.140625" style="51" customWidth="1"/>
    <col min="12080" max="12082" width="9.140625" style="51"/>
    <col min="12083" max="12083" width="3" style="51" customWidth="1"/>
    <col min="12084" max="12286" width="9.140625" style="51"/>
    <col min="12287" max="12287" width="14.85546875" style="51" customWidth="1"/>
    <col min="12288" max="12333" width="7.5703125" style="51" customWidth="1"/>
    <col min="12334" max="12334" width="8.28515625" style="51" customWidth="1"/>
    <col min="12335" max="12335" width="13.140625" style="51" customWidth="1"/>
    <col min="12336" max="12338" width="9.140625" style="51"/>
    <col min="12339" max="12339" width="3" style="51" customWidth="1"/>
    <col min="12340" max="12542" width="9.140625" style="51"/>
    <col min="12543" max="12543" width="14.85546875" style="51" customWidth="1"/>
    <col min="12544" max="12589" width="7.5703125" style="51" customWidth="1"/>
    <col min="12590" max="12590" width="8.28515625" style="51" customWidth="1"/>
    <col min="12591" max="12591" width="13.140625" style="51" customWidth="1"/>
    <col min="12592" max="12594" width="9.140625" style="51"/>
    <col min="12595" max="12595" width="3" style="51" customWidth="1"/>
    <col min="12596" max="12798" width="9.140625" style="51"/>
    <col min="12799" max="12799" width="14.85546875" style="51" customWidth="1"/>
    <col min="12800" max="12845" width="7.5703125" style="51" customWidth="1"/>
    <col min="12846" max="12846" width="8.28515625" style="51" customWidth="1"/>
    <col min="12847" max="12847" width="13.140625" style="51" customWidth="1"/>
    <col min="12848" max="12850" width="9.140625" style="51"/>
    <col min="12851" max="12851" width="3" style="51" customWidth="1"/>
    <col min="12852" max="13054" width="9.140625" style="51"/>
    <col min="13055" max="13055" width="14.85546875" style="51" customWidth="1"/>
    <col min="13056" max="13101" width="7.5703125" style="51" customWidth="1"/>
    <col min="13102" max="13102" width="8.28515625" style="51" customWidth="1"/>
    <col min="13103" max="13103" width="13.140625" style="51" customWidth="1"/>
    <col min="13104" max="13106" width="9.140625" style="51"/>
    <col min="13107" max="13107" width="3" style="51" customWidth="1"/>
    <col min="13108" max="13310" width="9.140625" style="51"/>
    <col min="13311" max="13311" width="14.85546875" style="51" customWidth="1"/>
    <col min="13312" max="13357" width="7.5703125" style="51" customWidth="1"/>
    <col min="13358" max="13358" width="8.28515625" style="51" customWidth="1"/>
    <col min="13359" max="13359" width="13.140625" style="51" customWidth="1"/>
    <col min="13360" max="13362" width="9.140625" style="51"/>
    <col min="13363" max="13363" width="3" style="51" customWidth="1"/>
    <col min="13364" max="13566" width="9.140625" style="51"/>
    <col min="13567" max="13567" width="14.85546875" style="51" customWidth="1"/>
    <col min="13568" max="13613" width="7.5703125" style="51" customWidth="1"/>
    <col min="13614" max="13614" width="8.28515625" style="51" customWidth="1"/>
    <col min="13615" max="13615" width="13.140625" style="51" customWidth="1"/>
    <col min="13616" max="13618" width="9.140625" style="51"/>
    <col min="13619" max="13619" width="3" style="51" customWidth="1"/>
    <col min="13620" max="13822" width="9.140625" style="51"/>
    <col min="13823" max="13823" width="14.85546875" style="51" customWidth="1"/>
    <col min="13824" max="13869" width="7.5703125" style="51" customWidth="1"/>
    <col min="13870" max="13870" width="8.28515625" style="51" customWidth="1"/>
    <col min="13871" max="13871" width="13.140625" style="51" customWidth="1"/>
    <col min="13872" max="13874" width="9.140625" style="51"/>
    <col min="13875" max="13875" width="3" style="51" customWidth="1"/>
    <col min="13876" max="14078" width="9.140625" style="51"/>
    <col min="14079" max="14079" width="14.85546875" style="51" customWidth="1"/>
    <col min="14080" max="14125" width="7.5703125" style="51" customWidth="1"/>
    <col min="14126" max="14126" width="8.28515625" style="51" customWidth="1"/>
    <col min="14127" max="14127" width="13.140625" style="51" customWidth="1"/>
    <col min="14128" max="14130" width="9.140625" style="51"/>
    <col min="14131" max="14131" width="3" style="51" customWidth="1"/>
    <col min="14132" max="14334" width="9.140625" style="51"/>
    <col min="14335" max="14335" width="14.85546875" style="51" customWidth="1"/>
    <col min="14336" max="14381" width="7.5703125" style="51" customWidth="1"/>
    <col min="14382" max="14382" width="8.28515625" style="51" customWidth="1"/>
    <col min="14383" max="14383" width="13.140625" style="51" customWidth="1"/>
    <col min="14384" max="14386" width="9.140625" style="51"/>
    <col min="14387" max="14387" width="3" style="51" customWidth="1"/>
    <col min="14388" max="14590" width="9.140625" style="51"/>
    <col min="14591" max="14591" width="14.85546875" style="51" customWidth="1"/>
    <col min="14592" max="14637" width="7.5703125" style="51" customWidth="1"/>
    <col min="14638" max="14638" width="8.28515625" style="51" customWidth="1"/>
    <col min="14639" max="14639" width="13.140625" style="51" customWidth="1"/>
    <col min="14640" max="14642" width="9.140625" style="51"/>
    <col min="14643" max="14643" width="3" style="51" customWidth="1"/>
    <col min="14644" max="14846" width="9.140625" style="51"/>
    <col min="14847" max="14847" width="14.85546875" style="51" customWidth="1"/>
    <col min="14848" max="14893" width="7.5703125" style="51" customWidth="1"/>
    <col min="14894" max="14894" width="8.28515625" style="51" customWidth="1"/>
    <col min="14895" max="14895" width="13.140625" style="51" customWidth="1"/>
    <col min="14896" max="14898" width="9.140625" style="51"/>
    <col min="14899" max="14899" width="3" style="51" customWidth="1"/>
    <col min="14900" max="15102" width="9.140625" style="51"/>
    <col min="15103" max="15103" width="14.85546875" style="51" customWidth="1"/>
    <col min="15104" max="15149" width="7.5703125" style="51" customWidth="1"/>
    <col min="15150" max="15150" width="8.28515625" style="51" customWidth="1"/>
    <col min="15151" max="15151" width="13.140625" style="51" customWidth="1"/>
    <col min="15152" max="15154" width="9.140625" style="51"/>
    <col min="15155" max="15155" width="3" style="51" customWidth="1"/>
    <col min="15156" max="15358" width="9.140625" style="51"/>
    <col min="15359" max="15359" width="14.85546875" style="51" customWidth="1"/>
    <col min="15360" max="15405" width="7.5703125" style="51" customWidth="1"/>
    <col min="15406" max="15406" width="8.28515625" style="51" customWidth="1"/>
    <col min="15407" max="15407" width="13.140625" style="51" customWidth="1"/>
    <col min="15408" max="15410" width="9.140625" style="51"/>
    <col min="15411" max="15411" width="3" style="51" customWidth="1"/>
    <col min="15412" max="15614" width="9.140625" style="51"/>
    <col min="15615" max="15615" width="14.85546875" style="51" customWidth="1"/>
    <col min="15616" max="15661" width="7.5703125" style="51" customWidth="1"/>
    <col min="15662" max="15662" width="8.28515625" style="51" customWidth="1"/>
    <col min="15663" max="15663" width="13.140625" style="51" customWidth="1"/>
    <col min="15664" max="15666" width="9.140625" style="51"/>
    <col min="15667" max="15667" width="3" style="51" customWidth="1"/>
    <col min="15668" max="15870" width="9.140625" style="51"/>
    <col min="15871" max="15871" width="14.85546875" style="51" customWidth="1"/>
    <col min="15872" max="15917" width="7.5703125" style="51" customWidth="1"/>
    <col min="15918" max="15918" width="8.28515625" style="51" customWidth="1"/>
    <col min="15919" max="15919" width="13.140625" style="51" customWidth="1"/>
    <col min="15920" max="15922" width="9.140625" style="51"/>
    <col min="15923" max="15923" width="3" style="51" customWidth="1"/>
    <col min="15924" max="16126" width="9.140625" style="51"/>
    <col min="16127" max="16127" width="14.85546875" style="51" customWidth="1"/>
    <col min="16128" max="16173" width="7.5703125" style="51" customWidth="1"/>
    <col min="16174" max="16174" width="8.28515625" style="51" customWidth="1"/>
    <col min="16175" max="16175" width="13.140625" style="51" customWidth="1"/>
    <col min="16176" max="16178" width="9.140625" style="51"/>
    <col min="16179" max="16179" width="3" style="51" customWidth="1"/>
    <col min="16180" max="16384" width="9.140625" style="51"/>
  </cols>
  <sheetData>
    <row r="1" spans="1:48" ht="21" customHeight="1" x14ac:dyDescent="0.2">
      <c r="A1" s="127" t="s">
        <v>625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</row>
    <row r="2" spans="1:48" s="55" customFormat="1" ht="48" customHeight="1" x14ac:dyDescent="0.25">
      <c r="A2" s="52"/>
      <c r="B2" s="53" t="s">
        <v>371</v>
      </c>
      <c r="C2" s="53" t="s">
        <v>372</v>
      </c>
      <c r="D2" s="53" t="s">
        <v>373</v>
      </c>
      <c r="E2" s="53" t="s">
        <v>374</v>
      </c>
      <c r="F2" s="53" t="s">
        <v>375</v>
      </c>
      <c r="G2" s="53" t="s">
        <v>376</v>
      </c>
      <c r="H2" s="53" t="s">
        <v>377</v>
      </c>
      <c r="I2" s="53" t="s">
        <v>378</v>
      </c>
      <c r="J2" s="53" t="s">
        <v>379</v>
      </c>
      <c r="K2" s="53" t="s">
        <v>380</v>
      </c>
      <c r="L2" s="53" t="s">
        <v>381</v>
      </c>
      <c r="M2" s="53" t="s">
        <v>382</v>
      </c>
      <c r="N2" s="53" t="s">
        <v>383</v>
      </c>
      <c r="O2" s="53" t="s">
        <v>384</v>
      </c>
      <c r="P2" s="53" t="s">
        <v>385</v>
      </c>
      <c r="Q2" s="53" t="s">
        <v>386</v>
      </c>
      <c r="R2" s="53" t="s">
        <v>387</v>
      </c>
      <c r="S2" s="53" t="s">
        <v>388</v>
      </c>
      <c r="T2" s="53" t="s">
        <v>389</v>
      </c>
      <c r="U2" s="53" t="s">
        <v>390</v>
      </c>
      <c r="V2" s="53" t="s">
        <v>391</v>
      </c>
      <c r="W2" s="53" t="s">
        <v>392</v>
      </c>
      <c r="X2" s="53" t="s">
        <v>393</v>
      </c>
      <c r="Y2" s="53" t="s">
        <v>394</v>
      </c>
      <c r="Z2" s="53" t="s">
        <v>395</v>
      </c>
      <c r="AA2" s="53" t="s">
        <v>396</v>
      </c>
      <c r="AB2" s="53" t="s">
        <v>397</v>
      </c>
      <c r="AC2" s="53" t="s">
        <v>398</v>
      </c>
      <c r="AD2" s="53" t="s">
        <v>399</v>
      </c>
      <c r="AE2" s="53" t="s">
        <v>400</v>
      </c>
      <c r="AF2" s="53" t="s">
        <v>401</v>
      </c>
      <c r="AG2" s="53" t="s">
        <v>402</v>
      </c>
      <c r="AH2" s="53" t="s">
        <v>403</v>
      </c>
      <c r="AI2" s="53" t="s">
        <v>404</v>
      </c>
      <c r="AJ2" s="53" t="s">
        <v>405</v>
      </c>
      <c r="AK2" s="53" t="s">
        <v>406</v>
      </c>
      <c r="AL2" s="53" t="s">
        <v>407</v>
      </c>
      <c r="AM2" s="53" t="s">
        <v>408</v>
      </c>
      <c r="AN2" s="53" t="s">
        <v>409</v>
      </c>
      <c r="AO2" s="53" t="s">
        <v>410</v>
      </c>
      <c r="AP2" s="53" t="s">
        <v>411</v>
      </c>
      <c r="AQ2" s="53" t="s">
        <v>412</v>
      </c>
      <c r="AR2" s="53" t="s">
        <v>413</v>
      </c>
      <c r="AS2" s="53" t="s">
        <v>414</v>
      </c>
      <c r="AT2" s="53" t="s">
        <v>415</v>
      </c>
      <c r="AU2" s="53" t="s">
        <v>416</v>
      </c>
      <c r="AV2" s="54" t="s">
        <v>370</v>
      </c>
    </row>
    <row r="3" spans="1:48" s="16" customFormat="1" x14ac:dyDescent="0.25">
      <c r="A3" s="2" t="s">
        <v>31</v>
      </c>
      <c r="B3" s="40">
        <v>55.555</v>
      </c>
      <c r="C3" s="40">
        <v>1393.27295</v>
      </c>
      <c r="D3" s="40">
        <v>706.00894999999991</v>
      </c>
      <c r="E3" s="40">
        <v>4.6611499999999992</v>
      </c>
      <c r="F3" s="40">
        <v>1.8290999999999999</v>
      </c>
      <c r="G3" s="40">
        <v>459.55554999999998</v>
      </c>
      <c r="H3" s="40">
        <v>24.615950000000002</v>
      </c>
      <c r="I3" s="40">
        <v>9.2273499999999995</v>
      </c>
      <c r="J3" s="40">
        <v>163.19125</v>
      </c>
      <c r="K3" s="40">
        <v>11.072100000000001</v>
      </c>
      <c r="L3" s="40">
        <v>213.21623000000002</v>
      </c>
      <c r="M3" s="40">
        <v>692.02836000000002</v>
      </c>
      <c r="N3" s="40">
        <v>912.25784999999996</v>
      </c>
      <c r="O3" s="40">
        <v>75.87360000000001</v>
      </c>
      <c r="P3" s="40">
        <v>22.893150000000002</v>
      </c>
      <c r="Q3" s="40">
        <v>62.014189999999999</v>
      </c>
      <c r="R3" s="40">
        <v>36.6999</v>
      </c>
      <c r="S3" s="40">
        <v>6.9539999999999997</v>
      </c>
      <c r="T3" s="40">
        <v>772.66230000000007</v>
      </c>
      <c r="U3" s="56">
        <v>29.16255</v>
      </c>
      <c r="V3" s="56">
        <v>389.30867000000001</v>
      </c>
      <c r="W3" s="56">
        <v>0</v>
      </c>
      <c r="X3" s="56">
        <v>0</v>
      </c>
      <c r="Y3" s="56">
        <v>0</v>
      </c>
      <c r="Z3" s="56">
        <v>0</v>
      </c>
      <c r="AA3" s="56">
        <v>12.647920000000001</v>
      </c>
      <c r="AB3" s="56">
        <v>204.447</v>
      </c>
      <c r="AC3" s="56">
        <v>3.7040000000000002</v>
      </c>
      <c r="AD3" s="56">
        <v>54.155500000000004</v>
      </c>
      <c r="AE3" s="56">
        <v>1006.3906899999999</v>
      </c>
      <c r="AF3" s="56">
        <v>0</v>
      </c>
      <c r="AG3" s="56">
        <v>2347.0941800000001</v>
      </c>
      <c r="AH3" s="56">
        <v>50</v>
      </c>
      <c r="AI3" s="56">
        <v>0</v>
      </c>
      <c r="AJ3" s="56">
        <v>141.34719000000001</v>
      </c>
      <c r="AK3" s="56">
        <v>0</v>
      </c>
      <c r="AL3" s="56">
        <v>0</v>
      </c>
      <c r="AM3" s="56">
        <v>0</v>
      </c>
      <c r="AN3" s="56">
        <v>0</v>
      </c>
      <c r="AO3" s="56">
        <v>76.5</v>
      </c>
      <c r="AP3" s="56">
        <v>0</v>
      </c>
      <c r="AQ3" s="56">
        <v>0</v>
      </c>
      <c r="AR3" s="56">
        <v>0</v>
      </c>
      <c r="AS3" s="56">
        <v>506.88630000000001</v>
      </c>
      <c r="AT3" s="56">
        <v>0</v>
      </c>
      <c r="AU3" s="56">
        <v>0</v>
      </c>
      <c r="AV3" s="41">
        <f>SUM(B3:AU3)</f>
        <v>10445.23293</v>
      </c>
    </row>
    <row r="4" spans="1:48" s="16" customFormat="1" x14ac:dyDescent="0.25">
      <c r="A4" s="2" t="s">
        <v>32</v>
      </c>
      <c r="B4" s="40">
        <v>348.4513</v>
      </c>
      <c r="C4" s="40">
        <v>4508.2185999999992</v>
      </c>
      <c r="D4" s="40">
        <v>1994.8163999999999</v>
      </c>
      <c r="E4" s="40">
        <v>0</v>
      </c>
      <c r="F4" s="40">
        <v>12.492000000000001</v>
      </c>
      <c r="G4" s="40">
        <v>1527.3766699999999</v>
      </c>
      <c r="H4" s="40">
        <v>12.0588</v>
      </c>
      <c r="I4" s="40">
        <v>13.15105</v>
      </c>
      <c r="J4" s="40">
        <v>423.87711999999999</v>
      </c>
      <c r="K4" s="40">
        <v>59.821109999999997</v>
      </c>
      <c r="L4" s="40">
        <v>274.79715000000004</v>
      </c>
      <c r="M4" s="40">
        <v>1583.2181699999999</v>
      </c>
      <c r="N4" s="40">
        <v>783.91684999999995</v>
      </c>
      <c r="O4" s="40">
        <v>208.40329</v>
      </c>
      <c r="P4" s="40">
        <v>157.91260999999997</v>
      </c>
      <c r="Q4" s="40">
        <v>32.409799999999997</v>
      </c>
      <c r="R4" s="40">
        <v>375.20855</v>
      </c>
      <c r="S4" s="40">
        <v>47.995899999999999</v>
      </c>
      <c r="T4" s="40">
        <v>699</v>
      </c>
      <c r="U4" s="56">
        <v>27.7</v>
      </c>
      <c r="V4" s="56">
        <v>457.35035999999997</v>
      </c>
      <c r="W4" s="56">
        <v>0</v>
      </c>
      <c r="X4" s="56">
        <v>0</v>
      </c>
      <c r="Y4" s="56">
        <v>107.5127</v>
      </c>
      <c r="Z4" s="56">
        <v>0</v>
      </c>
      <c r="AA4" s="56">
        <v>11.74376</v>
      </c>
      <c r="AB4" s="56">
        <v>234.43100000000001</v>
      </c>
      <c r="AC4" s="56">
        <v>0</v>
      </c>
      <c r="AD4" s="56">
        <v>89.764420000000001</v>
      </c>
      <c r="AE4" s="56">
        <v>2328.9134800000002</v>
      </c>
      <c r="AF4" s="56">
        <v>14.345000000000001</v>
      </c>
      <c r="AG4" s="56">
        <v>5358.7140099999997</v>
      </c>
      <c r="AH4" s="56">
        <v>0</v>
      </c>
      <c r="AI4" s="56">
        <v>0</v>
      </c>
      <c r="AJ4" s="56">
        <v>369.6</v>
      </c>
      <c r="AK4" s="56">
        <v>0</v>
      </c>
      <c r="AL4" s="56">
        <v>0</v>
      </c>
      <c r="AM4" s="56">
        <v>0</v>
      </c>
      <c r="AN4" s="56">
        <v>0</v>
      </c>
      <c r="AO4" s="56">
        <v>68</v>
      </c>
      <c r="AP4" s="56">
        <v>0</v>
      </c>
      <c r="AQ4" s="56">
        <v>70</v>
      </c>
      <c r="AR4" s="56">
        <v>0</v>
      </c>
      <c r="AS4" s="56">
        <v>364.7</v>
      </c>
      <c r="AT4" s="56">
        <v>0</v>
      </c>
      <c r="AU4" s="56">
        <v>0</v>
      </c>
      <c r="AV4" s="41">
        <f t="shared" ref="AV4:AV67" si="0">SUM(B4:AU4)</f>
        <v>22565.900099999995</v>
      </c>
    </row>
    <row r="5" spans="1:48" s="16" customFormat="1" x14ac:dyDescent="0.25">
      <c r="A5" s="2" t="s">
        <v>4</v>
      </c>
      <c r="B5" s="40">
        <v>147.61099999999999</v>
      </c>
      <c r="C5" s="40">
        <v>1172.9499499999999</v>
      </c>
      <c r="D5" s="40">
        <v>744.85834999999997</v>
      </c>
      <c r="E5" s="40">
        <v>4.3609999999999998</v>
      </c>
      <c r="F5" s="40">
        <v>13.599500000000001</v>
      </c>
      <c r="G5" s="40">
        <v>449.25725</v>
      </c>
      <c r="H5" s="40">
        <v>0</v>
      </c>
      <c r="I5" s="40">
        <v>6.4091000000000005</v>
      </c>
      <c r="J5" s="40">
        <v>151.94206</v>
      </c>
      <c r="K5" s="40">
        <v>65.324010000000001</v>
      </c>
      <c r="L5" s="40">
        <v>320.51815000000005</v>
      </c>
      <c r="M5" s="40">
        <v>859.15529000000004</v>
      </c>
      <c r="N5" s="40">
        <v>1917.6226499999998</v>
      </c>
      <c r="O5" s="40">
        <v>127.57217</v>
      </c>
      <c r="P5" s="40">
        <v>17.622900000000001</v>
      </c>
      <c r="Q5" s="40">
        <v>11.13335</v>
      </c>
      <c r="R5" s="40">
        <v>0.32174999999999998</v>
      </c>
      <c r="S5" s="40">
        <v>0</v>
      </c>
      <c r="T5" s="40">
        <v>1092.6210000000001</v>
      </c>
      <c r="U5" s="56">
        <v>0</v>
      </c>
      <c r="V5" s="56">
        <v>179.69332999999997</v>
      </c>
      <c r="W5" s="56">
        <v>0</v>
      </c>
      <c r="X5" s="56">
        <v>0</v>
      </c>
      <c r="Y5" s="56">
        <v>7.6068999999999996</v>
      </c>
      <c r="Z5" s="56">
        <v>0</v>
      </c>
      <c r="AA5" s="56">
        <v>7.5716400000000004</v>
      </c>
      <c r="AB5" s="56">
        <v>171.00299999999999</v>
      </c>
      <c r="AC5" s="56">
        <v>0.56598000000000004</v>
      </c>
      <c r="AD5" s="56">
        <v>46.568199999999997</v>
      </c>
      <c r="AE5" s="56">
        <v>598.55594999999994</v>
      </c>
      <c r="AF5" s="56">
        <v>0</v>
      </c>
      <c r="AG5" s="56">
        <v>1732.87391</v>
      </c>
      <c r="AH5" s="56">
        <v>0</v>
      </c>
      <c r="AI5" s="56">
        <v>56</v>
      </c>
      <c r="AJ5" s="56">
        <v>58.743000000000002</v>
      </c>
      <c r="AK5" s="56">
        <v>0</v>
      </c>
      <c r="AL5" s="56">
        <v>0</v>
      </c>
      <c r="AM5" s="56">
        <v>0</v>
      </c>
      <c r="AN5" s="56">
        <v>0</v>
      </c>
      <c r="AO5" s="56">
        <v>40</v>
      </c>
      <c r="AP5" s="56">
        <v>0</v>
      </c>
      <c r="AQ5" s="56">
        <v>0</v>
      </c>
      <c r="AR5" s="56">
        <v>0</v>
      </c>
      <c r="AS5" s="56">
        <v>89.200999999999993</v>
      </c>
      <c r="AT5" s="56">
        <v>0</v>
      </c>
      <c r="AU5" s="56">
        <v>0</v>
      </c>
      <c r="AV5" s="41">
        <f t="shared" si="0"/>
        <v>10091.26239</v>
      </c>
    </row>
    <row r="6" spans="1:48" s="16" customFormat="1" x14ac:dyDescent="0.25">
      <c r="A6" s="2" t="s">
        <v>33</v>
      </c>
      <c r="B6" s="40">
        <v>45.393050000000002</v>
      </c>
      <c r="C6" s="40">
        <v>899.96735000000001</v>
      </c>
      <c r="D6" s="40">
        <v>202.46779999999998</v>
      </c>
      <c r="E6" s="40">
        <v>11.7325</v>
      </c>
      <c r="F6" s="40">
        <v>6.5374999999999996</v>
      </c>
      <c r="G6" s="40">
        <v>206.00371999999999</v>
      </c>
      <c r="H6" s="40">
        <v>0</v>
      </c>
      <c r="I6" s="40">
        <v>9.00671</v>
      </c>
      <c r="J6" s="40">
        <v>123.00427000000001</v>
      </c>
      <c r="K6" s="40">
        <v>54.868600000000001</v>
      </c>
      <c r="L6" s="40">
        <v>70.3703</v>
      </c>
      <c r="M6" s="40">
        <v>541.83943999999997</v>
      </c>
      <c r="N6" s="40">
        <v>551.27415000000008</v>
      </c>
      <c r="O6" s="40">
        <v>64.928849999999997</v>
      </c>
      <c r="P6" s="40">
        <v>13.454049999999999</v>
      </c>
      <c r="Q6" s="40">
        <v>2.3838000000000004</v>
      </c>
      <c r="R6" s="40">
        <v>51.60718</v>
      </c>
      <c r="S6" s="40">
        <v>3.8208000000000002</v>
      </c>
      <c r="T6" s="40">
        <v>280.89999999999998</v>
      </c>
      <c r="U6" s="56">
        <v>18.695599999999999</v>
      </c>
      <c r="V6" s="56">
        <v>195.93304999999998</v>
      </c>
      <c r="W6" s="56">
        <v>0</v>
      </c>
      <c r="X6" s="56">
        <v>0</v>
      </c>
      <c r="Y6" s="56">
        <v>0</v>
      </c>
      <c r="Z6" s="56">
        <v>0</v>
      </c>
      <c r="AA6" s="56">
        <v>5.3999899999999998</v>
      </c>
      <c r="AB6" s="56">
        <v>100.56699999999999</v>
      </c>
      <c r="AC6" s="56">
        <v>0</v>
      </c>
      <c r="AD6" s="56">
        <v>35.29515</v>
      </c>
      <c r="AE6" s="56">
        <v>1353.01197</v>
      </c>
      <c r="AF6" s="56">
        <v>3.7080000000000002</v>
      </c>
      <c r="AG6" s="56">
        <v>1674.6464699999999</v>
      </c>
      <c r="AH6" s="56">
        <v>0</v>
      </c>
      <c r="AI6" s="56">
        <v>0</v>
      </c>
      <c r="AJ6" s="56">
        <v>82.9</v>
      </c>
      <c r="AK6" s="56">
        <v>0</v>
      </c>
      <c r="AL6" s="56">
        <v>0</v>
      </c>
      <c r="AM6" s="56">
        <v>0</v>
      </c>
      <c r="AN6" s="56">
        <v>0</v>
      </c>
      <c r="AO6" s="56">
        <v>25</v>
      </c>
      <c r="AP6" s="56">
        <v>0</v>
      </c>
      <c r="AQ6" s="56">
        <v>24</v>
      </c>
      <c r="AR6" s="56">
        <v>128.12062</v>
      </c>
      <c r="AS6" s="56">
        <v>213.3</v>
      </c>
      <c r="AT6" s="56">
        <v>0</v>
      </c>
      <c r="AU6" s="56">
        <v>0</v>
      </c>
      <c r="AV6" s="41">
        <f t="shared" si="0"/>
        <v>7000.1379199999992</v>
      </c>
    </row>
    <row r="7" spans="1:48" s="16" customFormat="1" x14ac:dyDescent="0.25">
      <c r="A7" s="2" t="s">
        <v>34</v>
      </c>
      <c r="B7" s="40">
        <v>17.5</v>
      </c>
      <c r="C7" s="40">
        <v>29.15936</v>
      </c>
      <c r="D7" s="40">
        <v>0</v>
      </c>
      <c r="E7" s="40">
        <v>4.28125</v>
      </c>
      <c r="F7" s="40">
        <v>0</v>
      </c>
      <c r="G7" s="40">
        <v>8.5968999999999998</v>
      </c>
      <c r="H7" s="40">
        <v>0</v>
      </c>
      <c r="I7" s="40">
        <v>0</v>
      </c>
      <c r="J7" s="40">
        <v>3.7311999999999999</v>
      </c>
      <c r="K7" s="40">
        <v>3.0631500000000003</v>
      </c>
      <c r="L7" s="40">
        <v>20.73545</v>
      </c>
      <c r="M7" s="40">
        <v>161.25181000000001</v>
      </c>
      <c r="N7" s="40">
        <v>99.437839999999994</v>
      </c>
      <c r="O7" s="40">
        <v>13.067600000000001</v>
      </c>
      <c r="P7" s="40">
        <v>22.6418</v>
      </c>
      <c r="Q7" s="40">
        <v>7.9557000000000002</v>
      </c>
      <c r="R7" s="40">
        <v>0</v>
      </c>
      <c r="S7" s="40">
        <v>0.6</v>
      </c>
      <c r="T7" s="40">
        <v>122.928</v>
      </c>
      <c r="U7" s="56">
        <v>2.3969999999999998</v>
      </c>
      <c r="V7" s="56">
        <v>41.799599999999998</v>
      </c>
      <c r="W7" s="56">
        <v>0</v>
      </c>
      <c r="X7" s="56">
        <v>0</v>
      </c>
      <c r="Y7" s="56">
        <v>0</v>
      </c>
      <c r="Z7" s="56">
        <v>0</v>
      </c>
      <c r="AA7" s="56">
        <v>2.21069</v>
      </c>
      <c r="AB7" s="56">
        <v>23.321000000000002</v>
      </c>
      <c r="AC7" s="56">
        <v>0</v>
      </c>
      <c r="AD7" s="56">
        <v>5.5552999999999999</v>
      </c>
      <c r="AE7" s="56">
        <v>588.51968999999997</v>
      </c>
      <c r="AF7" s="56">
        <v>1.054</v>
      </c>
      <c r="AG7" s="56">
        <v>388.69484999999997</v>
      </c>
      <c r="AH7" s="56">
        <v>0</v>
      </c>
      <c r="AI7" s="56">
        <v>0</v>
      </c>
      <c r="AJ7" s="56">
        <v>111.81055000000001</v>
      </c>
      <c r="AK7" s="56">
        <v>0</v>
      </c>
      <c r="AL7" s="56">
        <v>0</v>
      </c>
      <c r="AM7" s="56">
        <v>0</v>
      </c>
      <c r="AN7" s="56">
        <v>0</v>
      </c>
      <c r="AO7" s="56">
        <v>0</v>
      </c>
      <c r="AP7" s="56">
        <v>0</v>
      </c>
      <c r="AQ7" s="56">
        <v>0</v>
      </c>
      <c r="AR7" s="56">
        <v>18.5</v>
      </c>
      <c r="AS7" s="56">
        <v>60.654000000000003</v>
      </c>
      <c r="AT7" s="56">
        <v>0</v>
      </c>
      <c r="AU7" s="56">
        <v>0</v>
      </c>
      <c r="AV7" s="41">
        <f t="shared" si="0"/>
        <v>1759.4667400000001</v>
      </c>
    </row>
    <row r="8" spans="1:48" s="16" customFormat="1" x14ac:dyDescent="0.25">
      <c r="A8" s="2" t="s">
        <v>35</v>
      </c>
      <c r="B8" s="40">
        <v>164.16300000000001</v>
      </c>
      <c r="C8" s="40">
        <v>3597.3665499999997</v>
      </c>
      <c r="D8" s="40">
        <v>2844.0331499999998</v>
      </c>
      <c r="E8" s="40">
        <v>0</v>
      </c>
      <c r="F8" s="40">
        <v>37.978099999999998</v>
      </c>
      <c r="G8" s="40">
        <v>1556.9811000000002</v>
      </c>
      <c r="H8" s="40">
        <v>24.9602</v>
      </c>
      <c r="I8" s="40">
        <v>50.188499999999998</v>
      </c>
      <c r="J8" s="40">
        <v>520.27586999999994</v>
      </c>
      <c r="K8" s="40">
        <v>190.32219000000001</v>
      </c>
      <c r="L8" s="40">
        <v>287.21879999999999</v>
      </c>
      <c r="M8" s="40">
        <v>1338.7358100000001</v>
      </c>
      <c r="N8" s="40">
        <v>823.88431000000003</v>
      </c>
      <c r="O8" s="40">
        <v>140.63295000000002</v>
      </c>
      <c r="P8" s="40">
        <v>97.373639999999995</v>
      </c>
      <c r="Q8" s="40">
        <v>5.9641000000000002</v>
      </c>
      <c r="R8" s="40">
        <v>259.54217999999997</v>
      </c>
      <c r="S8" s="40">
        <v>57.454910000000005</v>
      </c>
      <c r="T8" s="40">
        <v>799.74914999999999</v>
      </c>
      <c r="U8" s="56">
        <v>60.809100000000001</v>
      </c>
      <c r="V8" s="56">
        <v>254.25051999999999</v>
      </c>
      <c r="W8" s="56">
        <v>0</v>
      </c>
      <c r="X8" s="56">
        <v>0</v>
      </c>
      <c r="Y8" s="56">
        <v>0</v>
      </c>
      <c r="Z8" s="56">
        <v>0</v>
      </c>
      <c r="AA8" s="56">
        <v>12.149040000000001</v>
      </c>
      <c r="AB8" s="56">
        <v>233.14400000000001</v>
      </c>
      <c r="AC8" s="56">
        <v>0</v>
      </c>
      <c r="AD8" s="56">
        <v>84.981700000000004</v>
      </c>
      <c r="AE8" s="56">
        <v>2160.86969</v>
      </c>
      <c r="AF8" s="56">
        <v>13.148999999999999</v>
      </c>
      <c r="AG8" s="56">
        <v>5340.7282100000002</v>
      </c>
      <c r="AH8" s="56">
        <v>0</v>
      </c>
      <c r="AI8" s="56">
        <v>0</v>
      </c>
      <c r="AJ8" s="56">
        <v>131.91039999999998</v>
      </c>
      <c r="AK8" s="56">
        <v>0</v>
      </c>
      <c r="AL8" s="56">
        <v>0</v>
      </c>
      <c r="AM8" s="56">
        <v>0</v>
      </c>
      <c r="AN8" s="56">
        <v>95.8</v>
      </c>
      <c r="AO8" s="56">
        <v>449.1</v>
      </c>
      <c r="AP8" s="56">
        <v>0</v>
      </c>
      <c r="AQ8" s="56">
        <v>42.5</v>
      </c>
      <c r="AR8" s="56">
        <v>35.762500000000003</v>
      </c>
      <c r="AS8" s="56">
        <v>306.33759999999995</v>
      </c>
      <c r="AT8" s="56">
        <v>0</v>
      </c>
      <c r="AU8" s="56">
        <v>0</v>
      </c>
      <c r="AV8" s="41">
        <f t="shared" si="0"/>
        <v>22018.316269999996</v>
      </c>
    </row>
    <row r="9" spans="1:48" s="16" customFormat="1" x14ac:dyDescent="0.25">
      <c r="A9" s="2" t="s">
        <v>36</v>
      </c>
      <c r="B9" s="40">
        <v>34.250250000000001</v>
      </c>
      <c r="C9" s="40">
        <v>630.87075000000004</v>
      </c>
      <c r="D9" s="40">
        <v>434.46334999999999</v>
      </c>
      <c r="E9" s="40">
        <v>0</v>
      </c>
      <c r="F9" s="40">
        <v>3.9769999999999999</v>
      </c>
      <c r="G9" s="40">
        <v>246.03424999999999</v>
      </c>
      <c r="H9" s="40">
        <v>0</v>
      </c>
      <c r="I9" s="40">
        <v>0.57499999999999996</v>
      </c>
      <c r="J9" s="40">
        <v>57.209960000000002</v>
      </c>
      <c r="K9" s="40">
        <v>60.677720000000001</v>
      </c>
      <c r="L9" s="40">
        <v>132.57608999999999</v>
      </c>
      <c r="M9" s="40">
        <v>522.52639999999997</v>
      </c>
      <c r="N9" s="40">
        <v>191.21466000000001</v>
      </c>
      <c r="O9" s="40">
        <v>15.145379999999999</v>
      </c>
      <c r="P9" s="40">
        <v>22.234830000000002</v>
      </c>
      <c r="Q9" s="40">
        <v>0.34399999999999997</v>
      </c>
      <c r="R9" s="40">
        <v>31.964700000000001</v>
      </c>
      <c r="S9" s="40">
        <v>0.06</v>
      </c>
      <c r="T9" s="40">
        <v>276.92809</v>
      </c>
      <c r="U9" s="56">
        <v>23.137119999999999</v>
      </c>
      <c r="V9" s="56">
        <v>150.04679999999999</v>
      </c>
      <c r="W9" s="56">
        <v>0</v>
      </c>
      <c r="X9" s="56">
        <v>0</v>
      </c>
      <c r="Y9" s="56">
        <v>0</v>
      </c>
      <c r="Z9" s="56">
        <v>0</v>
      </c>
      <c r="AA9" s="56">
        <v>0</v>
      </c>
      <c r="AB9" s="56">
        <v>59.804000000000002</v>
      </c>
      <c r="AC9" s="56">
        <v>0</v>
      </c>
      <c r="AD9" s="56">
        <v>15.97235</v>
      </c>
      <c r="AE9" s="56">
        <v>360.55070000000001</v>
      </c>
      <c r="AF9" s="56">
        <v>0</v>
      </c>
      <c r="AG9" s="56">
        <v>1123.4135200000001</v>
      </c>
      <c r="AH9" s="56">
        <v>0</v>
      </c>
      <c r="AI9" s="56">
        <v>0</v>
      </c>
      <c r="AJ9" s="56">
        <v>2.9039999999999999</v>
      </c>
      <c r="AK9" s="56">
        <v>0</v>
      </c>
      <c r="AL9" s="56">
        <v>0</v>
      </c>
      <c r="AM9" s="56">
        <v>0</v>
      </c>
      <c r="AN9" s="56">
        <v>0</v>
      </c>
      <c r="AO9" s="56">
        <v>0</v>
      </c>
      <c r="AP9" s="56">
        <v>0</v>
      </c>
      <c r="AQ9" s="56">
        <v>12</v>
      </c>
      <c r="AR9" s="56">
        <v>0</v>
      </c>
      <c r="AS9" s="56">
        <v>98.234200000000001</v>
      </c>
      <c r="AT9" s="56">
        <v>0</v>
      </c>
      <c r="AU9" s="56">
        <v>0</v>
      </c>
      <c r="AV9" s="41">
        <f t="shared" si="0"/>
        <v>4507.1151200000004</v>
      </c>
    </row>
    <row r="10" spans="1:48" s="16" customFormat="1" x14ac:dyDescent="0.25">
      <c r="A10" s="2" t="s">
        <v>5</v>
      </c>
      <c r="B10" s="40">
        <v>203.68889999999999</v>
      </c>
      <c r="C10" s="40">
        <v>6642.5250700000006</v>
      </c>
      <c r="D10" s="40">
        <v>1775.8453500000001</v>
      </c>
      <c r="E10" s="40">
        <v>0</v>
      </c>
      <c r="F10" s="40">
        <v>86.695100000000011</v>
      </c>
      <c r="G10" s="40">
        <v>2152.9646499999999</v>
      </c>
      <c r="H10" s="40">
        <v>0</v>
      </c>
      <c r="I10" s="40">
        <v>70.10150999999999</v>
      </c>
      <c r="J10" s="40">
        <v>475.81471999999997</v>
      </c>
      <c r="K10" s="40">
        <v>173.12081000000001</v>
      </c>
      <c r="L10" s="40">
        <v>915.01758999999993</v>
      </c>
      <c r="M10" s="40">
        <v>3508.88069</v>
      </c>
      <c r="N10" s="40">
        <v>1870.0380700000001</v>
      </c>
      <c r="O10" s="40">
        <v>467.97576000000004</v>
      </c>
      <c r="P10" s="40">
        <v>154.56700000000001</v>
      </c>
      <c r="Q10" s="40">
        <v>6.1732100000000001</v>
      </c>
      <c r="R10" s="40">
        <v>417.89100000000002</v>
      </c>
      <c r="S10" s="40">
        <v>53.361890000000002</v>
      </c>
      <c r="T10" s="40">
        <v>2550.9132500000001</v>
      </c>
      <c r="U10" s="56">
        <v>31.314</v>
      </c>
      <c r="V10" s="56">
        <v>202.30332000000001</v>
      </c>
      <c r="W10" s="56">
        <v>0</v>
      </c>
      <c r="X10" s="56">
        <v>0</v>
      </c>
      <c r="Y10" s="56">
        <v>0</v>
      </c>
      <c r="Z10" s="56">
        <v>0</v>
      </c>
      <c r="AA10" s="56">
        <v>160.72789</v>
      </c>
      <c r="AB10" s="56">
        <v>287.51900000000001</v>
      </c>
      <c r="AC10" s="56">
        <v>20.6708</v>
      </c>
      <c r="AD10" s="56">
        <v>68.534000000000006</v>
      </c>
      <c r="AE10" s="56">
        <v>1983.1731499999999</v>
      </c>
      <c r="AF10" s="56">
        <v>1695.98</v>
      </c>
      <c r="AG10" s="56">
        <v>12301.62867</v>
      </c>
      <c r="AH10" s="56">
        <v>0</v>
      </c>
      <c r="AI10" s="56">
        <v>0</v>
      </c>
      <c r="AJ10" s="56">
        <v>411.07240000000002</v>
      </c>
      <c r="AK10" s="56">
        <v>0</v>
      </c>
      <c r="AL10" s="56">
        <v>232.88135999999997</v>
      </c>
      <c r="AM10" s="56">
        <v>0</v>
      </c>
      <c r="AN10" s="56">
        <v>0</v>
      </c>
      <c r="AO10" s="56">
        <v>54</v>
      </c>
      <c r="AP10" s="56">
        <v>0</v>
      </c>
      <c r="AQ10" s="56">
        <v>87</v>
      </c>
      <c r="AR10" s="56">
        <v>5.8263500000000006</v>
      </c>
      <c r="AS10" s="56">
        <v>90.647999999999996</v>
      </c>
      <c r="AT10" s="56">
        <v>0</v>
      </c>
      <c r="AU10" s="56">
        <v>0</v>
      </c>
      <c r="AV10" s="41">
        <f t="shared" si="0"/>
        <v>39158.853510000001</v>
      </c>
    </row>
    <row r="11" spans="1:48" s="16" customFormat="1" x14ac:dyDescent="0.25">
      <c r="A11" s="2" t="s">
        <v>37</v>
      </c>
      <c r="B11" s="40">
        <v>26.740200000000002</v>
      </c>
      <c r="C11" s="40">
        <v>218.18455</v>
      </c>
      <c r="D11" s="40">
        <v>0</v>
      </c>
      <c r="E11" s="40">
        <v>0</v>
      </c>
      <c r="F11" s="40">
        <v>0</v>
      </c>
      <c r="G11" s="40">
        <v>35.462199999999996</v>
      </c>
      <c r="H11" s="40">
        <v>0</v>
      </c>
      <c r="I11" s="40">
        <v>0.70499999999999996</v>
      </c>
      <c r="J11" s="40">
        <v>9.070450000000001</v>
      </c>
      <c r="K11" s="40">
        <v>6.7938499999999999</v>
      </c>
      <c r="L11" s="40">
        <v>26.1584</v>
      </c>
      <c r="M11" s="40">
        <v>143.12568999999999</v>
      </c>
      <c r="N11" s="40">
        <v>60.509800000000006</v>
      </c>
      <c r="O11" s="40">
        <v>16.775599999999997</v>
      </c>
      <c r="P11" s="40">
        <v>2.0603000000000002</v>
      </c>
      <c r="Q11" s="40">
        <v>1.33995</v>
      </c>
      <c r="R11" s="40">
        <v>8.0494000000000003</v>
      </c>
      <c r="S11" s="40">
        <v>2.5640500000000004</v>
      </c>
      <c r="T11" s="40">
        <v>79.836649999999992</v>
      </c>
      <c r="U11" s="56">
        <v>1.9066500000000002</v>
      </c>
      <c r="V11" s="56">
        <v>42.76934</v>
      </c>
      <c r="W11" s="56">
        <v>0</v>
      </c>
      <c r="X11" s="56">
        <v>0</v>
      </c>
      <c r="Y11" s="56">
        <v>0</v>
      </c>
      <c r="Z11" s="56">
        <v>0</v>
      </c>
      <c r="AA11" s="56">
        <v>0.25069999999999998</v>
      </c>
      <c r="AB11" s="56">
        <v>25.347000000000001</v>
      </c>
      <c r="AC11" s="56">
        <v>5.6993999999999998</v>
      </c>
      <c r="AD11" s="56">
        <v>5.3064</v>
      </c>
      <c r="AE11" s="56">
        <v>382.88771999999994</v>
      </c>
      <c r="AF11" s="56">
        <v>0.751</v>
      </c>
      <c r="AG11" s="56">
        <v>316.99319000000003</v>
      </c>
      <c r="AH11" s="56">
        <v>0</v>
      </c>
      <c r="AI11" s="56">
        <v>0</v>
      </c>
      <c r="AJ11" s="56">
        <v>21.371449999999999</v>
      </c>
      <c r="AK11" s="56">
        <v>0</v>
      </c>
      <c r="AL11" s="56">
        <v>0</v>
      </c>
      <c r="AM11" s="56">
        <v>0</v>
      </c>
      <c r="AN11" s="56">
        <v>0</v>
      </c>
      <c r="AO11" s="56">
        <v>10.0093</v>
      </c>
      <c r="AP11" s="56">
        <v>0</v>
      </c>
      <c r="AQ11" s="56">
        <v>0.58550000000000002</v>
      </c>
      <c r="AR11" s="56">
        <v>14.0746</v>
      </c>
      <c r="AS11" s="56">
        <v>55.339300000000001</v>
      </c>
      <c r="AT11" s="56">
        <v>0</v>
      </c>
      <c r="AU11" s="56">
        <v>0</v>
      </c>
      <c r="AV11" s="41">
        <f t="shared" si="0"/>
        <v>1520.6676399999997</v>
      </c>
    </row>
    <row r="12" spans="1:48" s="16" customFormat="1" x14ac:dyDescent="0.25">
      <c r="A12" s="2" t="s">
        <v>38</v>
      </c>
      <c r="B12" s="40">
        <v>85.989199999999997</v>
      </c>
      <c r="C12" s="40">
        <v>1031.63455</v>
      </c>
      <c r="D12" s="40">
        <v>340.23674999999997</v>
      </c>
      <c r="E12" s="40">
        <v>18.254099999999998</v>
      </c>
      <c r="F12" s="40">
        <v>4.5419999999999998</v>
      </c>
      <c r="G12" s="40">
        <v>274.7765</v>
      </c>
      <c r="H12" s="40">
        <v>0</v>
      </c>
      <c r="I12" s="40">
        <v>3.4999000000000002</v>
      </c>
      <c r="J12" s="40">
        <v>102.78178999999999</v>
      </c>
      <c r="K12" s="40">
        <v>42.617010000000001</v>
      </c>
      <c r="L12" s="40">
        <v>87.636949999999999</v>
      </c>
      <c r="M12" s="40">
        <v>308.20757000000003</v>
      </c>
      <c r="N12" s="40">
        <v>350.56897999999995</v>
      </c>
      <c r="O12" s="40">
        <v>52.997349999999997</v>
      </c>
      <c r="P12" s="40">
        <v>48.752600000000001</v>
      </c>
      <c r="Q12" s="40">
        <v>6.4083500000000004</v>
      </c>
      <c r="R12" s="40">
        <v>21.843439999999998</v>
      </c>
      <c r="S12" s="40">
        <v>0.15</v>
      </c>
      <c r="T12" s="40">
        <v>407.59403000000003</v>
      </c>
      <c r="U12" s="56">
        <v>0</v>
      </c>
      <c r="V12" s="56">
        <v>139.56248000000002</v>
      </c>
      <c r="W12" s="56">
        <v>0</v>
      </c>
      <c r="X12" s="56">
        <v>0</v>
      </c>
      <c r="Y12" s="56">
        <v>0</v>
      </c>
      <c r="Z12" s="56">
        <v>0</v>
      </c>
      <c r="AA12" s="56">
        <v>0.47314000000000001</v>
      </c>
      <c r="AB12" s="56">
        <v>105.414</v>
      </c>
      <c r="AC12" s="56">
        <v>5.2640000000000002</v>
      </c>
      <c r="AD12" s="56">
        <v>33.132800000000003</v>
      </c>
      <c r="AE12" s="56">
        <v>1613.9107200000001</v>
      </c>
      <c r="AF12" s="56">
        <v>3.9609999999999999</v>
      </c>
      <c r="AG12" s="56">
        <v>1900.1178600000001</v>
      </c>
      <c r="AH12" s="56">
        <v>0</v>
      </c>
      <c r="AI12" s="56">
        <v>0</v>
      </c>
      <c r="AJ12" s="56">
        <v>127.65464999999999</v>
      </c>
      <c r="AK12" s="56">
        <v>0</v>
      </c>
      <c r="AL12" s="56">
        <v>0</v>
      </c>
      <c r="AM12" s="56">
        <v>0</v>
      </c>
      <c r="AN12" s="56">
        <v>0</v>
      </c>
      <c r="AO12" s="56">
        <v>142</v>
      </c>
      <c r="AP12" s="56">
        <v>0</v>
      </c>
      <c r="AQ12" s="56">
        <v>29.555499999999999</v>
      </c>
      <c r="AR12" s="56">
        <v>33.585749999999997</v>
      </c>
      <c r="AS12" s="56">
        <v>79.565799999999996</v>
      </c>
      <c r="AT12" s="56">
        <v>0</v>
      </c>
      <c r="AU12" s="56">
        <v>0</v>
      </c>
      <c r="AV12" s="41">
        <f t="shared" si="0"/>
        <v>7402.6887700000025</v>
      </c>
    </row>
    <row r="13" spans="1:48" s="16" customFormat="1" x14ac:dyDescent="0.25">
      <c r="A13" s="2" t="s">
        <v>6</v>
      </c>
      <c r="B13" s="40">
        <v>89.826999999999998</v>
      </c>
      <c r="C13" s="40">
        <v>3469.9994999999999</v>
      </c>
      <c r="D13" s="40">
        <v>1353.5656000000001</v>
      </c>
      <c r="E13" s="40">
        <v>0</v>
      </c>
      <c r="F13" s="40">
        <v>35.759399999999999</v>
      </c>
      <c r="G13" s="40">
        <v>1092.5301499999998</v>
      </c>
      <c r="H13" s="40">
        <v>1.6826500000000002</v>
      </c>
      <c r="I13" s="40">
        <v>21.34665</v>
      </c>
      <c r="J13" s="40">
        <v>345.10108000000002</v>
      </c>
      <c r="K13" s="40">
        <v>210.51065</v>
      </c>
      <c r="L13" s="40">
        <v>316.5018</v>
      </c>
      <c r="M13" s="40">
        <v>825.42938000000004</v>
      </c>
      <c r="N13" s="40">
        <v>742.01659999999993</v>
      </c>
      <c r="O13" s="40">
        <v>278.27665000000002</v>
      </c>
      <c r="P13" s="40">
        <v>69.988500000000002</v>
      </c>
      <c r="Q13" s="40">
        <v>52.249499999999998</v>
      </c>
      <c r="R13" s="40">
        <v>110.50693</v>
      </c>
      <c r="S13" s="40">
        <v>39.644800000000004</v>
      </c>
      <c r="T13" s="40">
        <v>846.26544999999999</v>
      </c>
      <c r="U13" s="56">
        <v>57.637500000000003</v>
      </c>
      <c r="V13" s="56">
        <v>129.09834000000001</v>
      </c>
      <c r="W13" s="56">
        <v>0</v>
      </c>
      <c r="X13" s="56">
        <v>0</v>
      </c>
      <c r="Y13" s="56">
        <v>0</v>
      </c>
      <c r="Z13" s="56">
        <v>0</v>
      </c>
      <c r="AA13" s="56">
        <v>5.9066400000000003</v>
      </c>
      <c r="AB13" s="56">
        <v>176.07900000000001</v>
      </c>
      <c r="AC13" s="56">
        <v>31.280349999999999</v>
      </c>
      <c r="AD13" s="56">
        <v>64.653099999999995</v>
      </c>
      <c r="AE13" s="56">
        <v>1737.33933</v>
      </c>
      <c r="AF13" s="56">
        <v>520.07399999999996</v>
      </c>
      <c r="AG13" s="56">
        <v>6569.0413399999998</v>
      </c>
      <c r="AH13" s="56">
        <v>0</v>
      </c>
      <c r="AI13" s="56">
        <v>0</v>
      </c>
      <c r="AJ13" s="56">
        <v>97.008399999999995</v>
      </c>
      <c r="AK13" s="56">
        <v>0</v>
      </c>
      <c r="AL13" s="56">
        <v>0</v>
      </c>
      <c r="AM13" s="56">
        <v>0</v>
      </c>
      <c r="AN13" s="56">
        <v>0</v>
      </c>
      <c r="AO13" s="56">
        <v>180</v>
      </c>
      <c r="AP13" s="56">
        <v>0</v>
      </c>
      <c r="AQ13" s="56">
        <v>0</v>
      </c>
      <c r="AR13" s="56">
        <v>2.6070000000000002</v>
      </c>
      <c r="AS13" s="56">
        <v>22.79645</v>
      </c>
      <c r="AT13" s="56">
        <v>0</v>
      </c>
      <c r="AU13" s="56">
        <v>0</v>
      </c>
      <c r="AV13" s="41">
        <f t="shared" si="0"/>
        <v>19494.723739999998</v>
      </c>
    </row>
    <row r="14" spans="1:48" s="16" customFormat="1" x14ac:dyDescent="0.25">
      <c r="A14" s="2" t="s">
        <v>39</v>
      </c>
      <c r="B14" s="40">
        <v>54.787599999999998</v>
      </c>
      <c r="C14" s="40">
        <v>760.93644999999992</v>
      </c>
      <c r="D14" s="40">
        <v>0</v>
      </c>
      <c r="E14" s="40">
        <v>10.521000000000001</v>
      </c>
      <c r="F14" s="40">
        <v>2.4</v>
      </c>
      <c r="G14" s="40">
        <v>170.38300000000001</v>
      </c>
      <c r="H14" s="40">
        <v>0</v>
      </c>
      <c r="I14" s="40">
        <v>4.1005000000000003</v>
      </c>
      <c r="J14" s="40">
        <v>110.92161</v>
      </c>
      <c r="K14" s="40">
        <v>62.995410000000007</v>
      </c>
      <c r="L14" s="40">
        <v>177.46006</v>
      </c>
      <c r="M14" s="40">
        <v>679.20117000000005</v>
      </c>
      <c r="N14" s="40">
        <v>396.58821</v>
      </c>
      <c r="O14" s="40">
        <v>37.085550000000005</v>
      </c>
      <c r="P14" s="40">
        <v>40.646599999999999</v>
      </c>
      <c r="Q14" s="40">
        <v>1.2398</v>
      </c>
      <c r="R14" s="40">
        <v>31.971150000000002</v>
      </c>
      <c r="S14" s="40">
        <v>0</v>
      </c>
      <c r="T14" s="40">
        <v>666.01</v>
      </c>
      <c r="U14" s="56">
        <v>0</v>
      </c>
      <c r="V14" s="56">
        <v>166.61151000000001</v>
      </c>
      <c r="W14" s="56">
        <v>0</v>
      </c>
      <c r="X14" s="56">
        <v>0</v>
      </c>
      <c r="Y14" s="56">
        <v>0.20749999999999999</v>
      </c>
      <c r="Z14" s="56">
        <v>0</v>
      </c>
      <c r="AA14" s="56">
        <v>4.1176400000000006</v>
      </c>
      <c r="AB14" s="56">
        <v>89.894000000000005</v>
      </c>
      <c r="AC14" s="56">
        <v>18.09525</v>
      </c>
      <c r="AD14" s="56">
        <v>27.997499999999999</v>
      </c>
      <c r="AE14" s="56">
        <v>1911.95363</v>
      </c>
      <c r="AF14" s="56">
        <v>7.4859999999999998</v>
      </c>
      <c r="AG14" s="56">
        <v>1914.3522499999999</v>
      </c>
      <c r="AH14" s="56">
        <v>0</v>
      </c>
      <c r="AI14" s="56">
        <v>0</v>
      </c>
      <c r="AJ14" s="56">
        <v>170.96799999999999</v>
      </c>
      <c r="AK14" s="56">
        <v>0</v>
      </c>
      <c r="AL14" s="56">
        <v>0</v>
      </c>
      <c r="AM14" s="56">
        <v>0</v>
      </c>
      <c r="AN14" s="56">
        <v>0</v>
      </c>
      <c r="AO14" s="56">
        <v>116.5</v>
      </c>
      <c r="AP14" s="56">
        <v>0.5</v>
      </c>
      <c r="AQ14" s="56">
        <v>17.284200000000002</v>
      </c>
      <c r="AR14" s="56">
        <v>103.43</v>
      </c>
      <c r="AS14" s="56">
        <v>381.34899999999999</v>
      </c>
      <c r="AT14" s="56">
        <v>0</v>
      </c>
      <c r="AU14" s="56">
        <v>0</v>
      </c>
      <c r="AV14" s="41">
        <f t="shared" si="0"/>
        <v>8137.9945899999993</v>
      </c>
    </row>
    <row r="15" spans="1:48" s="16" customFormat="1" x14ac:dyDescent="0.25">
      <c r="A15" s="2" t="s">
        <v>40</v>
      </c>
      <c r="B15" s="40">
        <v>30.48</v>
      </c>
      <c r="C15" s="40">
        <v>315.30115000000001</v>
      </c>
      <c r="D15" s="40">
        <v>0</v>
      </c>
      <c r="E15" s="40">
        <v>0</v>
      </c>
      <c r="F15" s="40">
        <v>0</v>
      </c>
      <c r="G15" s="40">
        <v>64.24615</v>
      </c>
      <c r="H15" s="40">
        <v>0</v>
      </c>
      <c r="I15" s="40">
        <v>0.9</v>
      </c>
      <c r="J15" s="40">
        <v>44.566859999999998</v>
      </c>
      <c r="K15" s="40">
        <v>6.6321300000000001</v>
      </c>
      <c r="L15" s="40">
        <v>49.697220000000002</v>
      </c>
      <c r="M15" s="40">
        <v>308.81518</v>
      </c>
      <c r="N15" s="40">
        <v>160.9572</v>
      </c>
      <c r="O15" s="40">
        <v>27.040400000000002</v>
      </c>
      <c r="P15" s="40">
        <v>22.963189999999997</v>
      </c>
      <c r="Q15" s="40">
        <v>0</v>
      </c>
      <c r="R15" s="40">
        <v>9.7801000000000009</v>
      </c>
      <c r="S15" s="40">
        <v>0.84416000000000002</v>
      </c>
      <c r="T15" s="40">
        <v>223.94785999999999</v>
      </c>
      <c r="U15" s="56">
        <v>0</v>
      </c>
      <c r="V15" s="56">
        <v>25.64583</v>
      </c>
      <c r="W15" s="56">
        <v>0</v>
      </c>
      <c r="X15" s="56">
        <v>0</v>
      </c>
      <c r="Y15" s="56">
        <v>0</v>
      </c>
      <c r="Z15" s="56">
        <v>0</v>
      </c>
      <c r="AA15" s="56">
        <v>2.8501999999999996</v>
      </c>
      <c r="AB15" s="56">
        <v>38.677999999999997</v>
      </c>
      <c r="AC15" s="56">
        <v>2.0223299999999997</v>
      </c>
      <c r="AD15" s="56">
        <v>8.648200000000001</v>
      </c>
      <c r="AE15" s="56">
        <v>680.29591000000005</v>
      </c>
      <c r="AF15" s="56">
        <v>0</v>
      </c>
      <c r="AG15" s="56">
        <v>683.69344999999998</v>
      </c>
      <c r="AH15" s="56">
        <v>0</v>
      </c>
      <c r="AI15" s="56">
        <v>0</v>
      </c>
      <c r="AJ15" s="56">
        <v>53.008220000000001</v>
      </c>
      <c r="AK15" s="56">
        <v>0</v>
      </c>
      <c r="AL15" s="56">
        <v>0</v>
      </c>
      <c r="AM15" s="56">
        <v>0</v>
      </c>
      <c r="AN15" s="56">
        <v>0</v>
      </c>
      <c r="AO15" s="56">
        <v>4.5</v>
      </c>
      <c r="AP15" s="56">
        <v>0</v>
      </c>
      <c r="AQ15" s="56">
        <v>0</v>
      </c>
      <c r="AR15" s="56">
        <v>0</v>
      </c>
      <c r="AS15" s="56">
        <v>96.245260000000002</v>
      </c>
      <c r="AT15" s="56">
        <v>0</v>
      </c>
      <c r="AU15" s="56">
        <v>0</v>
      </c>
      <c r="AV15" s="41">
        <f t="shared" si="0"/>
        <v>2861.7590000000009</v>
      </c>
    </row>
    <row r="16" spans="1:48" s="16" customFormat="1" x14ac:dyDescent="0.25">
      <c r="A16" s="2" t="s">
        <v>41</v>
      </c>
      <c r="B16" s="40">
        <v>51.1</v>
      </c>
      <c r="C16" s="40">
        <v>200.83645000000001</v>
      </c>
      <c r="D16" s="40">
        <v>0</v>
      </c>
      <c r="E16" s="40">
        <v>0</v>
      </c>
      <c r="F16" s="40">
        <v>0</v>
      </c>
      <c r="G16" s="40">
        <v>38.742890000000003</v>
      </c>
      <c r="H16" s="40">
        <v>0</v>
      </c>
      <c r="I16" s="40">
        <v>14.4</v>
      </c>
      <c r="J16" s="40">
        <v>20.327099999999998</v>
      </c>
      <c r="K16" s="40">
        <v>8.9420900000000003</v>
      </c>
      <c r="L16" s="40">
        <v>25.81325</v>
      </c>
      <c r="M16" s="40">
        <v>78.465100000000007</v>
      </c>
      <c r="N16" s="40">
        <v>291.33398999999997</v>
      </c>
      <c r="O16" s="40">
        <v>13.232749999999999</v>
      </c>
      <c r="P16" s="40">
        <v>3.9209999999999998</v>
      </c>
      <c r="Q16" s="40">
        <v>0</v>
      </c>
      <c r="R16" s="40">
        <v>0</v>
      </c>
      <c r="S16" s="40">
        <v>1.8042</v>
      </c>
      <c r="T16" s="40">
        <v>127.06710000000001</v>
      </c>
      <c r="U16" s="56">
        <v>6.8650000000000002</v>
      </c>
      <c r="V16" s="56">
        <v>28.938890000000001</v>
      </c>
      <c r="W16" s="56">
        <v>0</v>
      </c>
      <c r="X16" s="56">
        <v>0</v>
      </c>
      <c r="Y16" s="56">
        <v>0</v>
      </c>
      <c r="Z16" s="56">
        <v>0</v>
      </c>
      <c r="AA16" s="56">
        <v>0</v>
      </c>
      <c r="AB16" s="56">
        <v>22.713999999999999</v>
      </c>
      <c r="AC16" s="56">
        <v>12.70642</v>
      </c>
      <c r="AD16" s="56">
        <v>3.3613000000000004</v>
      </c>
      <c r="AE16" s="56">
        <v>64.031649999999999</v>
      </c>
      <c r="AF16" s="56">
        <v>167.13200000000001</v>
      </c>
      <c r="AG16" s="56">
        <v>245.08348999999998</v>
      </c>
      <c r="AH16" s="56">
        <v>0</v>
      </c>
      <c r="AI16" s="56">
        <v>0</v>
      </c>
      <c r="AJ16" s="56">
        <v>3.544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41">
        <f t="shared" si="0"/>
        <v>1430.36267</v>
      </c>
    </row>
    <row r="17" spans="1:48" s="16" customFormat="1" x14ac:dyDescent="0.25">
      <c r="A17" s="2" t="s">
        <v>27</v>
      </c>
      <c r="B17" s="40">
        <v>764.94169999999997</v>
      </c>
      <c r="C17" s="40">
        <v>66590.11219</v>
      </c>
      <c r="D17" s="40">
        <v>20228.136850000003</v>
      </c>
      <c r="E17" s="40">
        <v>127.7925</v>
      </c>
      <c r="F17" s="40">
        <v>245.23724999999999</v>
      </c>
      <c r="G17" s="40">
        <v>20672.785909999999</v>
      </c>
      <c r="H17" s="40">
        <v>407.21120000000002</v>
      </c>
      <c r="I17" s="40">
        <v>599.56945999999994</v>
      </c>
      <c r="J17" s="40">
        <v>6025.6235099999994</v>
      </c>
      <c r="K17" s="40">
        <v>830.1585</v>
      </c>
      <c r="L17" s="40">
        <v>3849.78575</v>
      </c>
      <c r="M17" s="40">
        <v>14821.974480000001</v>
      </c>
      <c r="N17" s="40">
        <v>6497.3969500000003</v>
      </c>
      <c r="O17" s="40">
        <v>1942.1747</v>
      </c>
      <c r="P17" s="40">
        <v>1684.3158700000001</v>
      </c>
      <c r="Q17" s="40">
        <v>69.087779999999995</v>
      </c>
      <c r="R17" s="40">
        <v>2467.1404700000003</v>
      </c>
      <c r="S17" s="40">
        <v>301.84939000000003</v>
      </c>
      <c r="T17" s="40">
        <v>10029.47366</v>
      </c>
      <c r="U17" s="56">
        <v>994.64670000000001</v>
      </c>
      <c r="V17" s="56">
        <v>4864.4939999999997</v>
      </c>
      <c r="W17" s="56">
        <v>0</v>
      </c>
      <c r="X17" s="56">
        <v>0</v>
      </c>
      <c r="Y17" s="56">
        <v>12.4194</v>
      </c>
      <c r="Z17" s="56">
        <v>0</v>
      </c>
      <c r="AA17" s="56">
        <v>21.77055</v>
      </c>
      <c r="AB17" s="56">
        <v>2308.085</v>
      </c>
      <c r="AC17" s="56">
        <v>0</v>
      </c>
      <c r="AD17" s="56">
        <v>1323.5648500000002</v>
      </c>
      <c r="AE17" s="56">
        <v>4041.9552000000003</v>
      </c>
      <c r="AF17" s="56">
        <v>111.82</v>
      </c>
      <c r="AG17" s="56">
        <v>54809.281170000002</v>
      </c>
      <c r="AH17" s="56">
        <v>39</v>
      </c>
      <c r="AI17" s="56">
        <v>18.841000000000001</v>
      </c>
      <c r="AJ17" s="56">
        <v>1014.8665999999999</v>
      </c>
      <c r="AK17" s="56">
        <v>0</v>
      </c>
      <c r="AL17" s="56">
        <v>0</v>
      </c>
      <c r="AM17" s="56">
        <v>247.44201999999999</v>
      </c>
      <c r="AN17" s="56">
        <v>27.939790000000002</v>
      </c>
      <c r="AO17" s="56">
        <v>10320.51528</v>
      </c>
      <c r="AP17" s="56">
        <v>321.15472999999997</v>
      </c>
      <c r="AQ17" s="56">
        <v>127.848</v>
      </c>
      <c r="AR17" s="56">
        <v>69.993700000000004</v>
      </c>
      <c r="AS17" s="56">
        <v>1141.9161799999999</v>
      </c>
      <c r="AT17" s="56">
        <v>0</v>
      </c>
      <c r="AU17" s="56">
        <v>175</v>
      </c>
      <c r="AV17" s="41">
        <f t="shared" si="0"/>
        <v>240147.32228999995</v>
      </c>
    </row>
    <row r="18" spans="1:48" s="16" customFormat="1" x14ac:dyDescent="0.25">
      <c r="A18" s="2" t="s">
        <v>7</v>
      </c>
      <c r="B18" s="40">
        <v>207.96360000000001</v>
      </c>
      <c r="C18" s="40">
        <v>6827.3004500000006</v>
      </c>
      <c r="D18" s="40">
        <v>2730.2202000000002</v>
      </c>
      <c r="E18" s="40">
        <v>19.626200000000001</v>
      </c>
      <c r="F18" s="40">
        <v>46.8523</v>
      </c>
      <c r="G18" s="40">
        <v>2038.1469500000001</v>
      </c>
      <c r="H18" s="40">
        <v>1.1052</v>
      </c>
      <c r="I18" s="40">
        <v>55.449400000000004</v>
      </c>
      <c r="J18" s="40">
        <v>518.44119000000001</v>
      </c>
      <c r="K18" s="40">
        <v>214.98738</v>
      </c>
      <c r="L18" s="40">
        <v>724.35345999999993</v>
      </c>
      <c r="M18" s="40">
        <v>1678.1885</v>
      </c>
      <c r="N18" s="40">
        <v>1006.96164</v>
      </c>
      <c r="O18" s="40">
        <v>200.85160999999999</v>
      </c>
      <c r="P18" s="40">
        <v>284.02815000000004</v>
      </c>
      <c r="Q18" s="40">
        <v>17.414300000000001</v>
      </c>
      <c r="R18" s="40">
        <v>307.59863999999999</v>
      </c>
      <c r="S18" s="40">
        <v>22.84357</v>
      </c>
      <c r="T18" s="40">
        <v>1487.1963500000002</v>
      </c>
      <c r="U18" s="56">
        <v>132.74379999999999</v>
      </c>
      <c r="V18" s="56">
        <v>306.30177000000003</v>
      </c>
      <c r="W18" s="56">
        <v>0</v>
      </c>
      <c r="X18" s="56">
        <v>0</v>
      </c>
      <c r="Y18" s="56">
        <v>0</v>
      </c>
      <c r="Z18" s="56">
        <v>0</v>
      </c>
      <c r="AA18" s="56">
        <v>1.45865</v>
      </c>
      <c r="AB18" s="56">
        <v>312.40600000000001</v>
      </c>
      <c r="AC18" s="56">
        <v>56.213029999999996</v>
      </c>
      <c r="AD18" s="56">
        <v>89.090450000000004</v>
      </c>
      <c r="AE18" s="56">
        <v>2424.03586</v>
      </c>
      <c r="AF18" s="56">
        <v>14.677</v>
      </c>
      <c r="AG18" s="56">
        <v>6673.1365099999994</v>
      </c>
      <c r="AH18" s="56">
        <v>0</v>
      </c>
      <c r="AI18" s="56">
        <v>0</v>
      </c>
      <c r="AJ18" s="56">
        <v>106.2831</v>
      </c>
      <c r="AK18" s="56">
        <v>0</v>
      </c>
      <c r="AL18" s="56">
        <v>0</v>
      </c>
      <c r="AM18" s="56">
        <v>0</v>
      </c>
      <c r="AN18" s="56">
        <v>0</v>
      </c>
      <c r="AO18" s="56">
        <v>470</v>
      </c>
      <c r="AP18" s="56">
        <v>12</v>
      </c>
      <c r="AQ18" s="56">
        <v>420.54019</v>
      </c>
      <c r="AR18" s="56">
        <v>32</v>
      </c>
      <c r="AS18" s="56">
        <v>193.11589999999998</v>
      </c>
      <c r="AT18" s="56">
        <v>0</v>
      </c>
      <c r="AU18" s="56">
        <v>0</v>
      </c>
      <c r="AV18" s="41">
        <f t="shared" si="0"/>
        <v>29633.531350000005</v>
      </c>
    </row>
    <row r="19" spans="1:48" s="16" customFormat="1" x14ac:dyDescent="0.25">
      <c r="A19" s="2" t="s">
        <v>42</v>
      </c>
      <c r="B19" s="40">
        <v>156.85624999999999</v>
      </c>
      <c r="C19" s="40">
        <v>2503.79495</v>
      </c>
      <c r="D19" s="40">
        <v>1136.02595</v>
      </c>
      <c r="E19" s="40">
        <v>0</v>
      </c>
      <c r="F19" s="40">
        <v>29.50985</v>
      </c>
      <c r="G19" s="40">
        <v>771.30005000000006</v>
      </c>
      <c r="H19" s="40">
        <v>0</v>
      </c>
      <c r="I19" s="40">
        <v>14.71205</v>
      </c>
      <c r="J19" s="40">
        <v>211.51041000000001</v>
      </c>
      <c r="K19" s="40">
        <v>79.60257</v>
      </c>
      <c r="L19" s="40">
        <v>245.88290000000001</v>
      </c>
      <c r="M19" s="40">
        <v>1257.4243600000002</v>
      </c>
      <c r="N19" s="40">
        <v>1096.6043200000001</v>
      </c>
      <c r="O19" s="40">
        <v>245.01373999999998</v>
      </c>
      <c r="P19" s="40">
        <v>195.61679999999998</v>
      </c>
      <c r="Q19" s="40">
        <v>19.080249999999999</v>
      </c>
      <c r="R19" s="40">
        <v>35.106099999999998</v>
      </c>
      <c r="S19" s="40">
        <v>0.59821000000000002</v>
      </c>
      <c r="T19" s="40">
        <v>781.29300000000001</v>
      </c>
      <c r="U19" s="56">
        <v>50.594000000000001</v>
      </c>
      <c r="V19" s="56">
        <v>339.07809000000003</v>
      </c>
      <c r="W19" s="56">
        <v>0</v>
      </c>
      <c r="X19" s="56">
        <v>0</v>
      </c>
      <c r="Y19" s="56">
        <v>67.272750000000002</v>
      </c>
      <c r="Z19" s="56">
        <v>0</v>
      </c>
      <c r="AA19" s="56">
        <v>9.8650000000000002</v>
      </c>
      <c r="AB19" s="56">
        <v>195.11</v>
      </c>
      <c r="AC19" s="56">
        <v>0</v>
      </c>
      <c r="AD19" s="56">
        <v>9.61</v>
      </c>
      <c r="AE19" s="56">
        <v>1521.0093200000001</v>
      </c>
      <c r="AF19" s="56">
        <v>2447.5079999999998</v>
      </c>
      <c r="AG19" s="56">
        <v>5503.2802199999996</v>
      </c>
      <c r="AH19" s="56">
        <v>0</v>
      </c>
      <c r="AI19" s="56">
        <v>0</v>
      </c>
      <c r="AJ19" s="56">
        <v>267.23599999999999</v>
      </c>
      <c r="AK19" s="56">
        <v>0</v>
      </c>
      <c r="AL19" s="56">
        <v>0</v>
      </c>
      <c r="AM19" s="56">
        <v>0</v>
      </c>
      <c r="AN19" s="56">
        <v>0</v>
      </c>
      <c r="AO19" s="56">
        <v>72.8</v>
      </c>
      <c r="AP19" s="56">
        <v>7</v>
      </c>
      <c r="AQ19" s="56">
        <v>0</v>
      </c>
      <c r="AR19" s="56">
        <v>133.25899999999999</v>
      </c>
      <c r="AS19" s="56">
        <v>525.28200000000004</v>
      </c>
      <c r="AT19" s="56">
        <v>0</v>
      </c>
      <c r="AU19" s="56">
        <v>0</v>
      </c>
      <c r="AV19" s="41">
        <f t="shared" si="0"/>
        <v>19928.836139999996</v>
      </c>
    </row>
    <row r="20" spans="1:48" s="16" customFormat="1" x14ac:dyDescent="0.25">
      <c r="A20" s="2" t="s">
        <v>43</v>
      </c>
      <c r="B20" s="40">
        <v>59.299800000000005</v>
      </c>
      <c r="C20" s="40">
        <v>780.00540000000001</v>
      </c>
      <c r="D20" s="40">
        <v>0</v>
      </c>
      <c r="E20" s="40">
        <v>0</v>
      </c>
      <c r="F20" s="40">
        <v>0</v>
      </c>
      <c r="G20" s="40">
        <v>172.89076</v>
      </c>
      <c r="H20" s="40">
        <v>27.527999999999999</v>
      </c>
      <c r="I20" s="40">
        <v>4.7023999999999999</v>
      </c>
      <c r="J20" s="40">
        <v>81.447109999999995</v>
      </c>
      <c r="K20" s="40">
        <v>26.73161</v>
      </c>
      <c r="L20" s="40">
        <v>256.14926000000003</v>
      </c>
      <c r="M20" s="40">
        <v>627.01864</v>
      </c>
      <c r="N20" s="40">
        <v>445.25769000000003</v>
      </c>
      <c r="O20" s="40">
        <v>81.497079999999997</v>
      </c>
      <c r="P20" s="40">
        <v>37.954800000000006</v>
      </c>
      <c r="Q20" s="40">
        <v>4.9613999999999994</v>
      </c>
      <c r="R20" s="40">
        <v>4.8436599999999999</v>
      </c>
      <c r="S20" s="40">
        <v>2.1594499999999996</v>
      </c>
      <c r="T20" s="40">
        <v>429.93379999999996</v>
      </c>
      <c r="U20" s="56">
        <v>69.766000000000005</v>
      </c>
      <c r="V20" s="56">
        <v>100.70725</v>
      </c>
      <c r="W20" s="56">
        <v>0</v>
      </c>
      <c r="X20" s="56">
        <v>0</v>
      </c>
      <c r="Y20" s="56">
        <v>19.190549999999998</v>
      </c>
      <c r="Z20" s="56">
        <v>0</v>
      </c>
      <c r="AA20" s="56">
        <v>2.9198000000000004</v>
      </c>
      <c r="AB20" s="56">
        <v>9</v>
      </c>
      <c r="AC20" s="56">
        <v>28.016349999999999</v>
      </c>
      <c r="AD20" s="56">
        <v>-4.7</v>
      </c>
      <c r="AE20" s="56">
        <v>370.10888</v>
      </c>
      <c r="AF20" s="56">
        <v>360.62900000000002</v>
      </c>
      <c r="AG20" s="56">
        <v>2122.29709</v>
      </c>
      <c r="AH20" s="56">
        <v>0</v>
      </c>
      <c r="AI20" s="56">
        <v>0</v>
      </c>
      <c r="AJ20" s="56">
        <v>11.372999999999999</v>
      </c>
      <c r="AK20" s="56">
        <v>0</v>
      </c>
      <c r="AL20" s="56">
        <v>0</v>
      </c>
      <c r="AM20" s="56">
        <v>0</v>
      </c>
      <c r="AN20" s="56">
        <v>0</v>
      </c>
      <c r="AO20" s="56">
        <v>37.304449999999996</v>
      </c>
      <c r="AP20" s="56">
        <v>0</v>
      </c>
      <c r="AQ20" s="56">
        <v>0</v>
      </c>
      <c r="AR20" s="56">
        <v>39</v>
      </c>
      <c r="AS20" s="56">
        <v>250.28899999999999</v>
      </c>
      <c r="AT20" s="56">
        <v>0</v>
      </c>
      <c r="AU20" s="56">
        <v>0</v>
      </c>
      <c r="AV20" s="41">
        <f t="shared" si="0"/>
        <v>6458.2822299999989</v>
      </c>
    </row>
    <row r="21" spans="1:48" s="16" customFormat="1" x14ac:dyDescent="0.25">
      <c r="A21" s="2" t="s">
        <v>44</v>
      </c>
      <c r="B21" s="40">
        <v>81.540000000000006</v>
      </c>
      <c r="C21" s="40">
        <v>1327.7012500000001</v>
      </c>
      <c r="D21" s="40">
        <v>843.6748</v>
      </c>
      <c r="E21" s="40">
        <v>0</v>
      </c>
      <c r="F21" s="40">
        <v>21.8</v>
      </c>
      <c r="G21" s="40">
        <v>431.23784999999998</v>
      </c>
      <c r="H21" s="40">
        <v>0</v>
      </c>
      <c r="I21" s="40">
        <v>3.59</v>
      </c>
      <c r="J21" s="40">
        <v>202.45704999999998</v>
      </c>
      <c r="K21" s="40">
        <v>46.676300000000005</v>
      </c>
      <c r="L21" s="40">
        <v>266.80754999999999</v>
      </c>
      <c r="M21" s="40">
        <v>834.19854000000009</v>
      </c>
      <c r="N21" s="40">
        <v>1005.1235799999999</v>
      </c>
      <c r="O21" s="40">
        <v>163.87272000000002</v>
      </c>
      <c r="P21" s="40">
        <v>14.586600000000001</v>
      </c>
      <c r="Q21" s="40">
        <v>17.131599999999999</v>
      </c>
      <c r="R21" s="40">
        <v>34.651519999999998</v>
      </c>
      <c r="S21" s="40">
        <v>0</v>
      </c>
      <c r="T21" s="40">
        <v>1049.5670500000001</v>
      </c>
      <c r="U21" s="56">
        <v>0</v>
      </c>
      <c r="V21" s="56">
        <v>231.67929999999998</v>
      </c>
      <c r="W21" s="56">
        <v>0</v>
      </c>
      <c r="X21" s="56">
        <v>0</v>
      </c>
      <c r="Y21" s="56">
        <v>0</v>
      </c>
      <c r="Z21" s="56">
        <v>0</v>
      </c>
      <c r="AA21" s="56">
        <v>10.09826</v>
      </c>
      <c r="AB21" s="56">
        <v>203.06700000000001</v>
      </c>
      <c r="AC21" s="56">
        <v>6.0251299999999999</v>
      </c>
      <c r="AD21" s="56">
        <v>85.041300000000007</v>
      </c>
      <c r="AE21" s="56">
        <v>755.71071999999992</v>
      </c>
      <c r="AF21" s="56">
        <v>0</v>
      </c>
      <c r="AG21" s="56">
        <v>2098.1516099999999</v>
      </c>
      <c r="AH21" s="56">
        <v>0</v>
      </c>
      <c r="AI21" s="56">
        <v>0</v>
      </c>
      <c r="AJ21" s="56">
        <v>62.563000000000002</v>
      </c>
      <c r="AK21" s="56">
        <v>0</v>
      </c>
      <c r="AL21" s="56">
        <v>0</v>
      </c>
      <c r="AM21" s="56">
        <v>0</v>
      </c>
      <c r="AN21" s="56">
        <v>0</v>
      </c>
      <c r="AO21" s="56">
        <v>322.54629999999997</v>
      </c>
      <c r="AP21" s="56">
        <v>0</v>
      </c>
      <c r="AQ21" s="56">
        <v>0</v>
      </c>
      <c r="AR21" s="56">
        <v>38.188929999999999</v>
      </c>
      <c r="AS21" s="56">
        <v>290.00099999999998</v>
      </c>
      <c r="AT21" s="56">
        <v>0</v>
      </c>
      <c r="AU21" s="56">
        <v>0</v>
      </c>
      <c r="AV21" s="41">
        <f t="shared" si="0"/>
        <v>10447.688959999999</v>
      </c>
    </row>
    <row r="22" spans="1:48" s="16" customFormat="1" x14ac:dyDescent="0.25">
      <c r="A22" s="2" t="s">
        <v>8</v>
      </c>
      <c r="B22" s="40">
        <v>25.435700000000001</v>
      </c>
      <c r="C22" s="40">
        <v>719.74115000000006</v>
      </c>
      <c r="D22" s="40">
        <v>502.18415000000005</v>
      </c>
      <c r="E22" s="40">
        <v>0</v>
      </c>
      <c r="F22" s="40">
        <v>0</v>
      </c>
      <c r="G22" s="40">
        <v>233.0652</v>
      </c>
      <c r="H22" s="40">
        <v>0</v>
      </c>
      <c r="I22" s="40">
        <v>1.5527500000000001</v>
      </c>
      <c r="J22" s="40">
        <v>68.743279999999999</v>
      </c>
      <c r="K22" s="40">
        <v>18.4587</v>
      </c>
      <c r="L22" s="40">
        <v>107.43685000000001</v>
      </c>
      <c r="M22" s="40">
        <v>222.74482999999998</v>
      </c>
      <c r="N22" s="40">
        <v>142.54782</v>
      </c>
      <c r="O22" s="40">
        <v>106.21897</v>
      </c>
      <c r="P22" s="40">
        <v>1.1060000000000001</v>
      </c>
      <c r="Q22" s="40">
        <v>23.724799999999998</v>
      </c>
      <c r="R22" s="40">
        <v>930.74300000000005</v>
      </c>
      <c r="S22" s="40">
        <v>4.7890699999999997</v>
      </c>
      <c r="T22" s="40">
        <v>278.28500000000003</v>
      </c>
      <c r="U22" s="56">
        <v>0</v>
      </c>
      <c r="V22" s="56">
        <v>90.938450000000003</v>
      </c>
      <c r="W22" s="56">
        <v>0</v>
      </c>
      <c r="X22" s="56">
        <v>0</v>
      </c>
      <c r="Y22" s="56">
        <v>21.903869999999998</v>
      </c>
      <c r="Z22" s="56">
        <v>0</v>
      </c>
      <c r="AA22" s="56">
        <v>13.98076</v>
      </c>
      <c r="AB22" s="56">
        <v>253.916</v>
      </c>
      <c r="AC22" s="56">
        <v>0</v>
      </c>
      <c r="AD22" s="56">
        <v>19.688599999999997</v>
      </c>
      <c r="AE22" s="56">
        <v>661.23049000000003</v>
      </c>
      <c r="AF22" s="56">
        <v>0.58899999999999997</v>
      </c>
      <c r="AG22" s="56">
        <v>-5.1620299999999997</v>
      </c>
      <c r="AH22" s="56">
        <v>0</v>
      </c>
      <c r="AI22" s="56">
        <v>0</v>
      </c>
      <c r="AJ22" s="56">
        <v>28.806999999999999</v>
      </c>
      <c r="AK22" s="56">
        <v>0</v>
      </c>
      <c r="AL22" s="56">
        <v>0</v>
      </c>
      <c r="AM22" s="56">
        <v>0</v>
      </c>
      <c r="AN22" s="56">
        <v>0</v>
      </c>
      <c r="AO22" s="56">
        <v>0</v>
      </c>
      <c r="AP22" s="56">
        <v>0</v>
      </c>
      <c r="AQ22" s="56">
        <v>1.3603000000000001</v>
      </c>
      <c r="AR22" s="56">
        <v>0</v>
      </c>
      <c r="AS22" s="56">
        <v>5.2830000000000004</v>
      </c>
      <c r="AT22" s="56">
        <v>0</v>
      </c>
      <c r="AU22" s="56">
        <v>0</v>
      </c>
      <c r="AV22" s="41">
        <f t="shared" si="0"/>
        <v>4479.3127100000002</v>
      </c>
    </row>
    <row r="23" spans="1:48" s="16" customFormat="1" x14ac:dyDescent="0.25">
      <c r="A23" s="2" t="s">
        <v>45</v>
      </c>
      <c r="B23" s="40">
        <v>8.6519999999999992</v>
      </c>
      <c r="C23" s="40">
        <v>148.71045000000001</v>
      </c>
      <c r="D23" s="40">
        <v>0</v>
      </c>
      <c r="E23" s="40">
        <v>0</v>
      </c>
      <c r="F23" s="40">
        <v>0</v>
      </c>
      <c r="G23" s="40">
        <v>23.667150000000003</v>
      </c>
      <c r="H23" s="40">
        <v>0</v>
      </c>
      <c r="I23" s="40">
        <v>1.2458499999999999</v>
      </c>
      <c r="J23" s="40">
        <v>7.5646899999999997</v>
      </c>
      <c r="K23" s="40">
        <v>14.516299999999999</v>
      </c>
      <c r="L23" s="40">
        <v>27.241499999999998</v>
      </c>
      <c r="M23" s="40">
        <v>26.642499999999998</v>
      </c>
      <c r="N23" s="40">
        <v>258.27706000000001</v>
      </c>
      <c r="O23" s="40">
        <v>4.4186999999999994</v>
      </c>
      <c r="P23" s="40">
        <v>19.86045</v>
      </c>
      <c r="Q23" s="40">
        <v>1.8672500000000001</v>
      </c>
      <c r="R23" s="40">
        <v>0.10075000000000001</v>
      </c>
      <c r="S23" s="40">
        <v>3.51715</v>
      </c>
      <c r="T23" s="40">
        <v>99.867800000000003</v>
      </c>
      <c r="U23" s="56">
        <v>1</v>
      </c>
      <c r="V23" s="56">
        <v>61.096519999999998</v>
      </c>
      <c r="W23" s="56">
        <v>0</v>
      </c>
      <c r="X23" s="56">
        <v>0</v>
      </c>
      <c r="Y23" s="56">
        <v>0</v>
      </c>
      <c r="Z23" s="56">
        <v>0.9252999999999999</v>
      </c>
      <c r="AA23" s="56">
        <v>0</v>
      </c>
      <c r="AB23" s="56">
        <v>16.452000000000002</v>
      </c>
      <c r="AC23" s="56">
        <v>0.36558999999999997</v>
      </c>
      <c r="AD23" s="56">
        <v>0.15</v>
      </c>
      <c r="AE23" s="56">
        <v>46.295250000000003</v>
      </c>
      <c r="AF23" s="56">
        <v>0</v>
      </c>
      <c r="AG23" s="56">
        <v>106.99087</v>
      </c>
      <c r="AH23" s="56">
        <v>0</v>
      </c>
      <c r="AI23" s="56">
        <v>0</v>
      </c>
      <c r="AJ23" s="56">
        <v>0</v>
      </c>
      <c r="AK23" s="56">
        <v>0</v>
      </c>
      <c r="AL23" s="56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41">
        <f t="shared" si="0"/>
        <v>879.42512999999974</v>
      </c>
    </row>
    <row r="24" spans="1:48" s="16" customFormat="1" x14ac:dyDescent="0.25">
      <c r="A24" s="2" t="s">
        <v>46</v>
      </c>
      <c r="B24" s="40">
        <v>76.8</v>
      </c>
      <c r="C24" s="40">
        <v>1647.8381499999998</v>
      </c>
      <c r="D24" s="40">
        <v>768.03594999999996</v>
      </c>
      <c r="E24" s="40">
        <v>2.0405000000000002</v>
      </c>
      <c r="F24" s="40">
        <v>9.3696000000000002</v>
      </c>
      <c r="G24" s="40">
        <v>516.71254999999996</v>
      </c>
      <c r="H24" s="40">
        <v>0</v>
      </c>
      <c r="I24" s="40">
        <v>17.147749999999998</v>
      </c>
      <c r="J24" s="40">
        <v>184.83831000000001</v>
      </c>
      <c r="K24" s="40">
        <v>108.89697</v>
      </c>
      <c r="L24" s="40">
        <v>277.47336000000001</v>
      </c>
      <c r="M24" s="40">
        <v>650.55678</v>
      </c>
      <c r="N24" s="40">
        <v>493.73435999999998</v>
      </c>
      <c r="O24" s="40">
        <v>53.096779999999995</v>
      </c>
      <c r="P24" s="40">
        <v>44.529600000000002</v>
      </c>
      <c r="Q24" s="40">
        <v>2.1258000000000004</v>
      </c>
      <c r="R24" s="40">
        <v>20.559639999999998</v>
      </c>
      <c r="S24" s="40">
        <v>8.2782999999999998</v>
      </c>
      <c r="T24" s="40">
        <v>698.60115000000008</v>
      </c>
      <c r="U24" s="56">
        <v>100.71594</v>
      </c>
      <c r="V24" s="56">
        <v>268.92523</v>
      </c>
      <c r="W24" s="56">
        <v>0</v>
      </c>
      <c r="X24" s="56">
        <v>0</v>
      </c>
      <c r="Y24" s="56">
        <v>11.366479999999999</v>
      </c>
      <c r="Z24" s="56">
        <v>0</v>
      </c>
      <c r="AA24" s="56">
        <v>8.736930000000001</v>
      </c>
      <c r="AB24" s="56">
        <v>151.68199999999999</v>
      </c>
      <c r="AC24" s="56">
        <v>0</v>
      </c>
      <c r="AD24" s="56">
        <v>36.951000000000001</v>
      </c>
      <c r="AE24" s="56">
        <v>889.20187999999996</v>
      </c>
      <c r="AF24" s="56">
        <v>4.7880000000000003</v>
      </c>
      <c r="AG24" s="56">
        <v>2069.2197999999999</v>
      </c>
      <c r="AH24" s="56">
        <v>0</v>
      </c>
      <c r="AI24" s="56">
        <v>0</v>
      </c>
      <c r="AJ24" s="56">
        <v>132.64099999999999</v>
      </c>
      <c r="AK24" s="56">
        <v>0</v>
      </c>
      <c r="AL24" s="56">
        <v>42.497599999999998</v>
      </c>
      <c r="AM24" s="56">
        <v>0</v>
      </c>
      <c r="AN24" s="56">
        <v>0</v>
      </c>
      <c r="AO24" s="56">
        <v>73.150000000000006</v>
      </c>
      <c r="AP24" s="56">
        <v>0</v>
      </c>
      <c r="AQ24" s="56">
        <v>47</v>
      </c>
      <c r="AR24" s="56">
        <v>159.69999999999999</v>
      </c>
      <c r="AS24" s="56">
        <v>400.59500000000003</v>
      </c>
      <c r="AT24" s="56">
        <v>0</v>
      </c>
      <c r="AU24" s="56">
        <v>226.90089</v>
      </c>
      <c r="AV24" s="41">
        <f t="shared" si="0"/>
        <v>10204.7073</v>
      </c>
    </row>
    <row r="25" spans="1:48" s="16" customFormat="1" x14ac:dyDescent="0.25">
      <c r="A25" s="2" t="s">
        <v>47</v>
      </c>
      <c r="B25" s="40">
        <v>53.122550000000004</v>
      </c>
      <c r="C25" s="40">
        <v>476.86565000000002</v>
      </c>
      <c r="D25" s="40">
        <v>157.68204999999998</v>
      </c>
      <c r="E25" s="40">
        <v>0</v>
      </c>
      <c r="F25" s="40">
        <v>0</v>
      </c>
      <c r="G25" s="40">
        <v>140.65995000000001</v>
      </c>
      <c r="H25" s="40">
        <v>0</v>
      </c>
      <c r="I25" s="40">
        <v>6.4121499999999996</v>
      </c>
      <c r="J25" s="40">
        <v>38.697749999999999</v>
      </c>
      <c r="K25" s="40">
        <v>23.259</v>
      </c>
      <c r="L25" s="40">
        <v>46.960749999999997</v>
      </c>
      <c r="M25" s="40">
        <v>297.91221000000002</v>
      </c>
      <c r="N25" s="40">
        <v>133.17865</v>
      </c>
      <c r="O25" s="40">
        <v>38.798349999999999</v>
      </c>
      <c r="P25" s="40">
        <v>0.53725000000000001</v>
      </c>
      <c r="Q25" s="40">
        <v>2.3488000000000002</v>
      </c>
      <c r="R25" s="40">
        <v>32.938600000000001</v>
      </c>
      <c r="S25" s="40">
        <v>17.934819999999998</v>
      </c>
      <c r="T25" s="40">
        <v>219.19499999999999</v>
      </c>
      <c r="U25" s="56">
        <v>6.3250000000000002</v>
      </c>
      <c r="V25" s="56">
        <v>69.843330000000009</v>
      </c>
      <c r="W25" s="56">
        <v>0</v>
      </c>
      <c r="X25" s="56">
        <v>0</v>
      </c>
      <c r="Y25" s="56">
        <v>0</v>
      </c>
      <c r="Z25" s="56">
        <v>0</v>
      </c>
      <c r="AA25" s="56">
        <v>4.3382500000000004</v>
      </c>
      <c r="AB25" s="56">
        <v>64.962999999999994</v>
      </c>
      <c r="AC25" s="56">
        <v>3.1532499999999999</v>
      </c>
      <c r="AD25" s="56">
        <v>8.3847999999999985</v>
      </c>
      <c r="AE25" s="56">
        <v>367.86859999999996</v>
      </c>
      <c r="AF25" s="56">
        <v>55.851999999999997</v>
      </c>
      <c r="AG25" s="56">
        <v>803.78751999999997</v>
      </c>
      <c r="AH25" s="56">
        <v>0</v>
      </c>
      <c r="AI25" s="56">
        <v>0</v>
      </c>
      <c r="AJ25" s="56">
        <v>5.7949999999999999</v>
      </c>
      <c r="AK25" s="56">
        <v>0</v>
      </c>
      <c r="AL25" s="56">
        <v>0</v>
      </c>
      <c r="AM25" s="56">
        <v>0</v>
      </c>
      <c r="AN25" s="56">
        <v>0</v>
      </c>
      <c r="AO25" s="56">
        <v>42.790150000000004</v>
      </c>
      <c r="AP25" s="56">
        <v>0</v>
      </c>
      <c r="AQ25" s="56">
        <v>0</v>
      </c>
      <c r="AR25" s="56">
        <v>0</v>
      </c>
      <c r="AS25" s="56">
        <v>32.32</v>
      </c>
      <c r="AT25" s="56">
        <v>0</v>
      </c>
      <c r="AU25" s="56">
        <v>0</v>
      </c>
      <c r="AV25" s="41">
        <f t="shared" si="0"/>
        <v>3151.9244299999996</v>
      </c>
    </row>
    <row r="26" spans="1:48" s="16" customFormat="1" x14ac:dyDescent="0.25">
      <c r="A26" s="2" t="s">
        <v>48</v>
      </c>
      <c r="B26" s="40">
        <v>127.22</v>
      </c>
      <c r="C26" s="40">
        <v>2275.7021299999997</v>
      </c>
      <c r="D26" s="40">
        <v>802.23500000000001</v>
      </c>
      <c r="E26" s="40">
        <v>13.519</v>
      </c>
      <c r="F26" s="40">
        <v>34.200150000000001</v>
      </c>
      <c r="G26" s="40">
        <v>686.73910000000001</v>
      </c>
      <c r="H26" s="40">
        <v>0</v>
      </c>
      <c r="I26" s="40">
        <v>19.8919</v>
      </c>
      <c r="J26" s="40">
        <v>354.67977000000002</v>
      </c>
      <c r="K26" s="40">
        <v>135.86648000000002</v>
      </c>
      <c r="L26" s="40">
        <v>224.78295</v>
      </c>
      <c r="M26" s="40">
        <v>1298.30981</v>
      </c>
      <c r="N26" s="40">
        <v>1343.2893600000002</v>
      </c>
      <c r="O26" s="40">
        <v>159.23638</v>
      </c>
      <c r="P26" s="40">
        <v>8.6157500000000002</v>
      </c>
      <c r="Q26" s="40">
        <v>5.7993000000000006</v>
      </c>
      <c r="R26" s="40">
        <v>52.571080000000002</v>
      </c>
      <c r="S26" s="40">
        <v>6.2871000000000006</v>
      </c>
      <c r="T26" s="40">
        <v>1174.828</v>
      </c>
      <c r="U26" s="56">
        <v>79.91</v>
      </c>
      <c r="V26" s="56">
        <v>260.42514999999997</v>
      </c>
      <c r="W26" s="56">
        <v>0</v>
      </c>
      <c r="X26" s="56">
        <v>0</v>
      </c>
      <c r="Y26" s="56">
        <v>0</v>
      </c>
      <c r="Z26" s="56">
        <v>0</v>
      </c>
      <c r="AA26" s="56">
        <v>0.99590000000000001</v>
      </c>
      <c r="AB26" s="56">
        <v>194.32599999999999</v>
      </c>
      <c r="AC26" s="56">
        <v>0</v>
      </c>
      <c r="AD26" s="56">
        <v>55.659800000000004</v>
      </c>
      <c r="AE26" s="56">
        <v>911.90634999999997</v>
      </c>
      <c r="AF26" s="56">
        <v>235.11799999999999</v>
      </c>
      <c r="AG26" s="56">
        <v>2716.8278999999998</v>
      </c>
      <c r="AH26" s="56">
        <v>0</v>
      </c>
      <c r="AI26" s="56">
        <v>0</v>
      </c>
      <c r="AJ26" s="56">
        <v>156.95099999999999</v>
      </c>
      <c r="AK26" s="56">
        <v>0</v>
      </c>
      <c r="AL26" s="56">
        <v>0</v>
      </c>
      <c r="AM26" s="56">
        <v>0</v>
      </c>
      <c r="AN26" s="56">
        <v>0</v>
      </c>
      <c r="AO26" s="56">
        <v>90</v>
      </c>
      <c r="AP26" s="56">
        <v>12</v>
      </c>
      <c r="AQ26" s="56">
        <v>0</v>
      </c>
      <c r="AR26" s="56">
        <v>168.89599999999999</v>
      </c>
      <c r="AS26" s="56">
        <v>488.07600000000002</v>
      </c>
      <c r="AT26" s="56">
        <v>0</v>
      </c>
      <c r="AU26" s="56">
        <v>0</v>
      </c>
      <c r="AV26" s="41">
        <f t="shared" si="0"/>
        <v>14094.865359999996</v>
      </c>
    </row>
    <row r="27" spans="1:48" s="16" customFormat="1" x14ac:dyDescent="0.25">
      <c r="A27" s="2" t="s">
        <v>49</v>
      </c>
      <c r="B27" s="40">
        <v>27.2485</v>
      </c>
      <c r="C27" s="40">
        <v>431.78895</v>
      </c>
      <c r="D27" s="40">
        <v>0</v>
      </c>
      <c r="E27" s="40">
        <v>0</v>
      </c>
      <c r="F27" s="40">
        <v>3.76</v>
      </c>
      <c r="G27" s="40">
        <v>101.2002</v>
      </c>
      <c r="H27" s="40">
        <v>0</v>
      </c>
      <c r="I27" s="40">
        <v>1.1327499999999999</v>
      </c>
      <c r="J27" s="40">
        <v>53.575489999999995</v>
      </c>
      <c r="K27" s="40">
        <v>7.0106000000000002</v>
      </c>
      <c r="L27" s="40">
        <v>62.688499999999998</v>
      </c>
      <c r="M27" s="40">
        <v>295.10523000000001</v>
      </c>
      <c r="N27" s="40">
        <v>153.35664000000003</v>
      </c>
      <c r="O27" s="40">
        <v>30.211569999999998</v>
      </c>
      <c r="P27" s="40">
        <v>7.5536000000000003</v>
      </c>
      <c r="Q27" s="40">
        <v>10.8681</v>
      </c>
      <c r="R27" s="40">
        <v>4.1435000000000004</v>
      </c>
      <c r="S27" s="40">
        <v>0.7</v>
      </c>
      <c r="T27" s="40">
        <v>101.5</v>
      </c>
      <c r="U27" s="56">
        <v>0</v>
      </c>
      <c r="V27" s="56">
        <v>61.198050000000002</v>
      </c>
      <c r="W27" s="56">
        <v>0</v>
      </c>
      <c r="X27" s="56">
        <v>0</v>
      </c>
      <c r="Y27" s="56">
        <v>0</v>
      </c>
      <c r="Z27" s="56">
        <v>0</v>
      </c>
      <c r="AA27" s="56">
        <v>0</v>
      </c>
      <c r="AB27" s="56">
        <v>54.856000000000002</v>
      </c>
      <c r="AC27" s="56">
        <v>2.5947499999999999</v>
      </c>
      <c r="AD27" s="56">
        <v>21.278299999999998</v>
      </c>
      <c r="AE27" s="56">
        <v>362.40371999999996</v>
      </c>
      <c r="AF27" s="56">
        <v>1.847</v>
      </c>
      <c r="AG27" s="56">
        <v>694.91771999999992</v>
      </c>
      <c r="AH27" s="56">
        <v>0</v>
      </c>
      <c r="AI27" s="56">
        <v>0</v>
      </c>
      <c r="AJ27" s="56">
        <v>0</v>
      </c>
      <c r="AK27" s="56">
        <v>0</v>
      </c>
      <c r="AL27" s="56">
        <v>0</v>
      </c>
      <c r="AM27" s="56">
        <v>0</v>
      </c>
      <c r="AN27" s="56">
        <v>0</v>
      </c>
      <c r="AO27" s="56">
        <v>89</v>
      </c>
      <c r="AP27" s="56">
        <v>0</v>
      </c>
      <c r="AQ27" s="56">
        <v>0.49204999999999999</v>
      </c>
      <c r="AR27" s="56">
        <v>12</v>
      </c>
      <c r="AS27" s="56">
        <v>100.2</v>
      </c>
      <c r="AT27" s="56">
        <v>0</v>
      </c>
      <c r="AU27" s="56">
        <v>0</v>
      </c>
      <c r="AV27" s="41">
        <f t="shared" si="0"/>
        <v>2692.6312199999993</v>
      </c>
    </row>
    <row r="28" spans="1:48" s="16" customFormat="1" x14ac:dyDescent="0.25">
      <c r="A28" s="2" t="s">
        <v>50</v>
      </c>
      <c r="B28" s="40">
        <v>33.61</v>
      </c>
      <c r="C28" s="40">
        <v>365.01740000000001</v>
      </c>
      <c r="D28" s="40">
        <v>87.021149999999992</v>
      </c>
      <c r="E28" s="40">
        <v>0</v>
      </c>
      <c r="F28" s="40">
        <v>0</v>
      </c>
      <c r="G28" s="40">
        <v>84.60544999999999</v>
      </c>
      <c r="H28" s="40">
        <v>0</v>
      </c>
      <c r="I28" s="40">
        <v>1.1599999999999999</v>
      </c>
      <c r="J28" s="40">
        <v>34.627319999999997</v>
      </c>
      <c r="K28" s="40">
        <v>18.777009999999997</v>
      </c>
      <c r="L28" s="40">
        <v>59.703699999999998</v>
      </c>
      <c r="M28" s="40">
        <v>313.10894000000002</v>
      </c>
      <c r="N28" s="40">
        <v>216.58548999999999</v>
      </c>
      <c r="O28" s="40">
        <v>73.701850000000007</v>
      </c>
      <c r="P28" s="40">
        <v>17.921500000000002</v>
      </c>
      <c r="Q28" s="40">
        <v>0.30160000000000003</v>
      </c>
      <c r="R28" s="40">
        <v>0.28864999999999996</v>
      </c>
      <c r="S28" s="40">
        <v>0.35039999999999999</v>
      </c>
      <c r="T28" s="40">
        <v>242.86605</v>
      </c>
      <c r="U28" s="56">
        <v>9.6835900000000006</v>
      </c>
      <c r="V28" s="56">
        <v>116.01867</v>
      </c>
      <c r="W28" s="56">
        <v>0</v>
      </c>
      <c r="X28" s="56">
        <v>0</v>
      </c>
      <c r="Y28" s="56">
        <v>16.243950000000002</v>
      </c>
      <c r="Z28" s="56">
        <v>0</v>
      </c>
      <c r="AA28" s="56">
        <v>2.8550200000000001</v>
      </c>
      <c r="AB28" s="56">
        <v>57.427</v>
      </c>
      <c r="AC28" s="56">
        <v>0</v>
      </c>
      <c r="AD28" s="56">
        <v>21.50515</v>
      </c>
      <c r="AE28" s="56">
        <v>952.50434999999993</v>
      </c>
      <c r="AF28" s="56">
        <v>1.972</v>
      </c>
      <c r="AG28" s="56">
        <v>862.12848999999994</v>
      </c>
      <c r="AH28" s="56">
        <v>0</v>
      </c>
      <c r="AI28" s="56">
        <v>0</v>
      </c>
      <c r="AJ28" s="56">
        <v>77.472899999999996</v>
      </c>
      <c r="AK28" s="56">
        <v>0</v>
      </c>
      <c r="AL28" s="56">
        <v>35.124099999999999</v>
      </c>
      <c r="AM28" s="56">
        <v>0</v>
      </c>
      <c r="AN28" s="56">
        <v>0</v>
      </c>
      <c r="AO28" s="56">
        <v>33</v>
      </c>
      <c r="AP28" s="56">
        <v>3</v>
      </c>
      <c r="AQ28" s="56">
        <v>0</v>
      </c>
      <c r="AR28" s="56">
        <v>23.693000000000001</v>
      </c>
      <c r="AS28" s="56">
        <v>121.523</v>
      </c>
      <c r="AT28" s="56">
        <v>0</v>
      </c>
      <c r="AU28" s="56">
        <v>0</v>
      </c>
      <c r="AV28" s="41">
        <f t="shared" si="0"/>
        <v>3883.7977300000007</v>
      </c>
    </row>
    <row r="29" spans="1:48" s="16" customFormat="1" x14ac:dyDescent="0.25">
      <c r="A29" s="2" t="s">
        <v>51</v>
      </c>
      <c r="B29" s="40">
        <v>56.685000000000002</v>
      </c>
      <c r="C29" s="40">
        <v>950.28764999999999</v>
      </c>
      <c r="D29" s="40">
        <v>210.08029999999999</v>
      </c>
      <c r="E29" s="40">
        <v>0</v>
      </c>
      <c r="F29" s="40">
        <v>0</v>
      </c>
      <c r="G29" s="40">
        <v>263.86205000000001</v>
      </c>
      <c r="H29" s="40">
        <v>0</v>
      </c>
      <c r="I29" s="40">
        <v>7.9533500000000004</v>
      </c>
      <c r="J29" s="40">
        <v>45.398269999999997</v>
      </c>
      <c r="K29" s="40">
        <v>84.100700000000003</v>
      </c>
      <c r="L29" s="40">
        <v>241.29179999999999</v>
      </c>
      <c r="M29" s="40">
        <v>1475.3955800000001</v>
      </c>
      <c r="N29" s="40">
        <v>116.06783</v>
      </c>
      <c r="O29" s="40">
        <v>293.76445000000001</v>
      </c>
      <c r="P29" s="40">
        <v>9.9762000000000004</v>
      </c>
      <c r="Q29" s="40">
        <v>0.76029999999999998</v>
      </c>
      <c r="R29" s="40">
        <v>7.3446000000000007</v>
      </c>
      <c r="S29" s="40">
        <v>73.557259999999999</v>
      </c>
      <c r="T29" s="40">
        <v>446.73700000000002</v>
      </c>
      <c r="U29" s="56">
        <v>0</v>
      </c>
      <c r="V29" s="56">
        <v>36.658349999999999</v>
      </c>
      <c r="W29" s="56">
        <v>0</v>
      </c>
      <c r="X29" s="56">
        <v>0</v>
      </c>
      <c r="Y29" s="56">
        <v>0</v>
      </c>
      <c r="Z29" s="56">
        <v>0</v>
      </c>
      <c r="AA29" s="56">
        <v>9.0524900000000006</v>
      </c>
      <c r="AB29" s="56">
        <v>90.430999999999997</v>
      </c>
      <c r="AC29" s="56">
        <v>0</v>
      </c>
      <c r="AD29" s="56">
        <v>21.698</v>
      </c>
      <c r="AE29" s="56">
        <v>1623.6331200000002</v>
      </c>
      <c r="AF29" s="56">
        <v>3155.2420000000002</v>
      </c>
      <c r="AG29" s="56">
        <v>2366.1782000000003</v>
      </c>
      <c r="AH29" s="56">
        <v>0</v>
      </c>
      <c r="AI29" s="56">
        <v>0</v>
      </c>
      <c r="AJ29" s="56">
        <v>60.595999999999997</v>
      </c>
      <c r="AK29" s="56">
        <v>0</v>
      </c>
      <c r="AL29" s="56">
        <v>0</v>
      </c>
      <c r="AM29" s="56">
        <v>0</v>
      </c>
      <c r="AN29" s="56">
        <v>0</v>
      </c>
      <c r="AO29" s="56">
        <v>260.31239999999997</v>
      </c>
      <c r="AP29" s="56">
        <v>0</v>
      </c>
      <c r="AQ29" s="56">
        <v>2.85</v>
      </c>
      <c r="AR29" s="56">
        <v>0</v>
      </c>
      <c r="AS29" s="56">
        <v>21.681000000000001</v>
      </c>
      <c r="AT29" s="56">
        <v>0</v>
      </c>
      <c r="AU29" s="56">
        <v>0</v>
      </c>
      <c r="AV29" s="41">
        <f t="shared" si="0"/>
        <v>11931.5949</v>
      </c>
    </row>
    <row r="30" spans="1:48" s="16" customFormat="1" x14ac:dyDescent="0.25">
      <c r="A30" s="2" t="s">
        <v>52</v>
      </c>
      <c r="B30" s="40">
        <v>88.4</v>
      </c>
      <c r="C30" s="40">
        <v>1677.95055</v>
      </c>
      <c r="D30" s="40">
        <v>1836.018</v>
      </c>
      <c r="E30" s="40">
        <v>0</v>
      </c>
      <c r="F30" s="40">
        <v>0</v>
      </c>
      <c r="G30" s="40">
        <v>807.23694999999998</v>
      </c>
      <c r="H30" s="40">
        <v>0</v>
      </c>
      <c r="I30" s="40">
        <v>7.6950000000000003</v>
      </c>
      <c r="J30" s="40">
        <v>208.28841</v>
      </c>
      <c r="K30" s="40">
        <v>85.680679999999995</v>
      </c>
      <c r="L30" s="40">
        <v>165.37960000000001</v>
      </c>
      <c r="M30" s="40">
        <v>485.37660999999997</v>
      </c>
      <c r="N30" s="40">
        <v>621.50543000000005</v>
      </c>
      <c r="O30" s="40">
        <v>78.190629999999999</v>
      </c>
      <c r="P30" s="40">
        <v>112.66685000000001</v>
      </c>
      <c r="Q30" s="40">
        <v>22.93535</v>
      </c>
      <c r="R30" s="40">
        <v>359.32673</v>
      </c>
      <c r="S30" s="40">
        <v>46.273060000000001</v>
      </c>
      <c r="T30" s="40">
        <v>883.83190999999999</v>
      </c>
      <c r="U30" s="56">
        <v>72.078759999999988</v>
      </c>
      <c r="V30" s="56">
        <v>102.58916000000001</v>
      </c>
      <c r="W30" s="56">
        <v>0</v>
      </c>
      <c r="X30" s="56">
        <v>0</v>
      </c>
      <c r="Y30" s="56">
        <v>0</v>
      </c>
      <c r="Z30" s="56">
        <v>0</v>
      </c>
      <c r="AA30" s="56">
        <v>7.1978999999999997</v>
      </c>
      <c r="AB30" s="56">
        <v>158.06</v>
      </c>
      <c r="AC30" s="56">
        <v>43.994779999999999</v>
      </c>
      <c r="AD30" s="56">
        <v>29.508700000000001</v>
      </c>
      <c r="AE30" s="56">
        <v>1250.8113500000002</v>
      </c>
      <c r="AF30" s="56">
        <v>8.3010000000000002</v>
      </c>
      <c r="AG30" s="56">
        <v>3375.0487799999996</v>
      </c>
      <c r="AH30" s="56">
        <v>0</v>
      </c>
      <c r="AI30" s="56">
        <v>0</v>
      </c>
      <c r="AJ30" s="56">
        <v>37.106499999999997</v>
      </c>
      <c r="AK30" s="56">
        <v>0</v>
      </c>
      <c r="AL30" s="56">
        <v>0</v>
      </c>
      <c r="AM30" s="56">
        <v>0</v>
      </c>
      <c r="AN30" s="56">
        <v>0</v>
      </c>
      <c r="AO30" s="56">
        <v>667.4636999999999</v>
      </c>
      <c r="AP30" s="56">
        <v>0</v>
      </c>
      <c r="AQ30" s="56">
        <v>104.5</v>
      </c>
      <c r="AR30" s="56">
        <v>26.2</v>
      </c>
      <c r="AS30" s="56">
        <v>252.90967999999998</v>
      </c>
      <c r="AT30" s="56">
        <v>0</v>
      </c>
      <c r="AU30" s="56">
        <v>0</v>
      </c>
      <c r="AV30" s="41">
        <f t="shared" si="0"/>
        <v>13622.526070000002</v>
      </c>
    </row>
    <row r="31" spans="1:48" s="16" customFormat="1" x14ac:dyDescent="0.25">
      <c r="A31" s="2" t="s">
        <v>9</v>
      </c>
      <c r="B31" s="40">
        <v>14.56</v>
      </c>
      <c r="C31" s="40">
        <v>79.19371000000001</v>
      </c>
      <c r="D31" s="40">
        <v>0</v>
      </c>
      <c r="E31" s="40">
        <v>0</v>
      </c>
      <c r="F31" s="40">
        <v>0</v>
      </c>
      <c r="G31" s="40">
        <v>19.76221</v>
      </c>
      <c r="H31" s="40">
        <v>0</v>
      </c>
      <c r="I31" s="40">
        <v>0.1</v>
      </c>
      <c r="J31" s="40">
        <v>1.7763499999999999</v>
      </c>
      <c r="K31" s="40">
        <v>10.693950000000001</v>
      </c>
      <c r="L31" s="40">
        <v>14.260350000000001</v>
      </c>
      <c r="M31" s="40">
        <v>43.36195</v>
      </c>
      <c r="N31" s="40">
        <v>105.2877</v>
      </c>
      <c r="O31" s="40">
        <v>6.4623500000000007</v>
      </c>
      <c r="P31" s="40">
        <v>12</v>
      </c>
      <c r="Q31" s="40">
        <v>4.0321999999999996</v>
      </c>
      <c r="R31" s="40">
        <v>0.71429999999999993</v>
      </c>
      <c r="S31" s="40">
        <v>0.19714999999999999</v>
      </c>
      <c r="T31" s="40">
        <v>48.168019999999999</v>
      </c>
      <c r="U31" s="56">
        <v>10.059340000000001</v>
      </c>
      <c r="V31" s="56">
        <v>7.6046700000000005</v>
      </c>
      <c r="W31" s="56">
        <v>0</v>
      </c>
      <c r="X31" s="56">
        <v>0</v>
      </c>
      <c r="Y31" s="56">
        <v>0</v>
      </c>
      <c r="Z31" s="56">
        <v>0</v>
      </c>
      <c r="AA31" s="56">
        <v>0.64384000000000008</v>
      </c>
      <c r="AB31" s="56">
        <v>33.545000000000002</v>
      </c>
      <c r="AC31" s="56">
        <v>4.4499999999999998E-2</v>
      </c>
      <c r="AD31" s="56">
        <v>2.7001999999999997</v>
      </c>
      <c r="AE31" s="56">
        <v>38.665800000000004</v>
      </c>
      <c r="AF31" s="56">
        <v>1.4339999999999999</v>
      </c>
      <c r="AG31" s="56">
        <v>95.539460000000005</v>
      </c>
      <c r="AH31" s="56">
        <v>0</v>
      </c>
      <c r="AI31" s="56">
        <v>0</v>
      </c>
      <c r="AJ31" s="56">
        <v>4.3</v>
      </c>
      <c r="AK31" s="56">
        <v>0</v>
      </c>
      <c r="AL31" s="56">
        <v>0</v>
      </c>
      <c r="AM31" s="56">
        <v>0</v>
      </c>
      <c r="AN31" s="56">
        <v>0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41">
        <f t="shared" si="0"/>
        <v>555.10705000000007</v>
      </c>
    </row>
    <row r="32" spans="1:48" s="16" customFormat="1" x14ac:dyDescent="0.25">
      <c r="A32" s="2" t="s">
        <v>10</v>
      </c>
      <c r="B32" s="40">
        <v>108.48650000000001</v>
      </c>
      <c r="C32" s="40">
        <v>1425.8726000000001</v>
      </c>
      <c r="D32" s="40">
        <v>889.85699999999997</v>
      </c>
      <c r="E32" s="40">
        <v>28.142299999999999</v>
      </c>
      <c r="F32" s="40">
        <v>0</v>
      </c>
      <c r="G32" s="40">
        <v>564.69040000000007</v>
      </c>
      <c r="H32" s="40">
        <v>0</v>
      </c>
      <c r="I32" s="40">
        <v>17.442250000000001</v>
      </c>
      <c r="J32" s="40">
        <v>166.80727999999999</v>
      </c>
      <c r="K32" s="40">
        <v>31.6584</v>
      </c>
      <c r="L32" s="40">
        <v>156.75445000000002</v>
      </c>
      <c r="M32" s="40">
        <v>711.76864</v>
      </c>
      <c r="N32" s="40">
        <v>217.1935</v>
      </c>
      <c r="O32" s="40">
        <v>114.93216000000001</v>
      </c>
      <c r="P32" s="40">
        <v>29.242249999999999</v>
      </c>
      <c r="Q32" s="40">
        <v>77.125550000000004</v>
      </c>
      <c r="R32" s="40">
        <v>65.063550000000006</v>
      </c>
      <c r="S32" s="40">
        <v>0</v>
      </c>
      <c r="T32" s="40">
        <v>325.72500000000002</v>
      </c>
      <c r="U32" s="56">
        <v>39.576000000000001</v>
      </c>
      <c r="V32" s="56">
        <v>271.54349999999999</v>
      </c>
      <c r="W32" s="56">
        <v>0</v>
      </c>
      <c r="X32" s="56">
        <v>0</v>
      </c>
      <c r="Y32" s="56">
        <v>14.984830000000001</v>
      </c>
      <c r="Z32" s="56">
        <v>0</v>
      </c>
      <c r="AA32" s="56">
        <v>0.66985000000000006</v>
      </c>
      <c r="AB32" s="56">
        <v>93.128</v>
      </c>
      <c r="AC32" s="56">
        <v>0</v>
      </c>
      <c r="AD32" s="56">
        <v>28.022599999999997</v>
      </c>
      <c r="AE32" s="56">
        <v>994.19603000000006</v>
      </c>
      <c r="AF32" s="56">
        <v>9.7989999999999995</v>
      </c>
      <c r="AG32" s="56">
        <v>3407.5271699999998</v>
      </c>
      <c r="AH32" s="56">
        <v>0</v>
      </c>
      <c r="AI32" s="56">
        <v>0</v>
      </c>
      <c r="AJ32" s="56">
        <v>169.68095000000002</v>
      </c>
      <c r="AK32" s="56">
        <v>0</v>
      </c>
      <c r="AL32" s="56">
        <v>0</v>
      </c>
      <c r="AM32" s="56">
        <v>0</v>
      </c>
      <c r="AN32" s="56">
        <v>0</v>
      </c>
      <c r="AO32" s="56">
        <v>44</v>
      </c>
      <c r="AP32" s="56">
        <v>0</v>
      </c>
      <c r="AQ32" s="56">
        <v>0</v>
      </c>
      <c r="AR32" s="56">
        <v>58.28</v>
      </c>
      <c r="AS32" s="56">
        <v>26.4</v>
      </c>
      <c r="AT32" s="56">
        <v>0</v>
      </c>
      <c r="AU32" s="56">
        <v>0</v>
      </c>
      <c r="AV32" s="41">
        <f t="shared" si="0"/>
        <v>10088.56976</v>
      </c>
    </row>
    <row r="33" spans="1:48" s="16" customFormat="1" x14ac:dyDescent="0.25">
      <c r="A33" s="2" t="s">
        <v>53</v>
      </c>
      <c r="B33" s="40">
        <v>248.9579</v>
      </c>
      <c r="C33" s="40">
        <v>7272.2177000000001</v>
      </c>
      <c r="D33" s="40">
        <v>3014.6693</v>
      </c>
      <c r="E33" s="40">
        <v>21.391449999999999</v>
      </c>
      <c r="F33" s="40">
        <v>0</v>
      </c>
      <c r="G33" s="40">
        <v>2200.4072999999999</v>
      </c>
      <c r="H33" s="40">
        <v>5.4766499999999994</v>
      </c>
      <c r="I33" s="40">
        <v>75.50515</v>
      </c>
      <c r="J33" s="40">
        <v>622.41383999999994</v>
      </c>
      <c r="K33" s="40">
        <v>389.02428000000003</v>
      </c>
      <c r="L33" s="40">
        <v>919.90605000000005</v>
      </c>
      <c r="M33" s="40">
        <v>2061.5404600000002</v>
      </c>
      <c r="N33" s="40">
        <v>1961.2503700000002</v>
      </c>
      <c r="O33" s="40">
        <v>287.66088000000002</v>
      </c>
      <c r="P33" s="40">
        <v>186.50371999999999</v>
      </c>
      <c r="Q33" s="40">
        <v>78.300370000000001</v>
      </c>
      <c r="R33" s="40">
        <v>101.30258000000001</v>
      </c>
      <c r="S33" s="40">
        <v>3.0444299999999997</v>
      </c>
      <c r="T33" s="40">
        <v>2358.1462000000001</v>
      </c>
      <c r="U33" s="56">
        <v>15.722</v>
      </c>
      <c r="V33" s="56">
        <v>834.06935999999996</v>
      </c>
      <c r="W33" s="56">
        <v>0</v>
      </c>
      <c r="X33" s="56">
        <v>0</v>
      </c>
      <c r="Y33" s="56">
        <v>58.6691</v>
      </c>
      <c r="Z33" s="56">
        <v>0</v>
      </c>
      <c r="AA33" s="56">
        <v>21.973740000000003</v>
      </c>
      <c r="AB33" s="56">
        <v>446.63900000000001</v>
      </c>
      <c r="AC33" s="56">
        <v>18.864259999999998</v>
      </c>
      <c r="AD33" s="56">
        <v>140.18257999999997</v>
      </c>
      <c r="AE33" s="56">
        <v>1293.73595</v>
      </c>
      <c r="AF33" s="56">
        <v>17.401</v>
      </c>
      <c r="AG33" s="56">
        <v>7458.5232500000002</v>
      </c>
      <c r="AH33" s="56">
        <v>0</v>
      </c>
      <c r="AI33" s="56">
        <v>0</v>
      </c>
      <c r="AJ33" s="56">
        <v>251.28899999999999</v>
      </c>
      <c r="AK33" s="56">
        <v>0</v>
      </c>
      <c r="AL33" s="56">
        <v>0</v>
      </c>
      <c r="AM33" s="56">
        <v>0</v>
      </c>
      <c r="AN33" s="56">
        <v>0</v>
      </c>
      <c r="AO33" s="56">
        <v>664</v>
      </c>
      <c r="AP33" s="56">
        <v>18</v>
      </c>
      <c r="AQ33" s="56">
        <v>188.49299999999999</v>
      </c>
      <c r="AR33" s="56">
        <v>333.19</v>
      </c>
      <c r="AS33" s="56">
        <v>855.49149999999997</v>
      </c>
      <c r="AT33" s="56">
        <v>0</v>
      </c>
      <c r="AU33" s="56">
        <v>7</v>
      </c>
      <c r="AV33" s="41">
        <f t="shared" si="0"/>
        <v>34430.962370000001</v>
      </c>
    </row>
    <row r="34" spans="1:48" s="16" customFormat="1" x14ac:dyDescent="0.25">
      <c r="A34" s="2" t="s">
        <v>54</v>
      </c>
      <c r="B34" s="40">
        <v>168.32395000000002</v>
      </c>
      <c r="C34" s="40">
        <v>3742.0245</v>
      </c>
      <c r="D34" s="40">
        <v>1695.5993999999998</v>
      </c>
      <c r="E34" s="40">
        <v>15.188499999999999</v>
      </c>
      <c r="F34" s="40">
        <v>33.025100000000002</v>
      </c>
      <c r="G34" s="40">
        <v>1220.69201</v>
      </c>
      <c r="H34" s="40">
        <v>0</v>
      </c>
      <c r="I34" s="40">
        <v>41.209000000000003</v>
      </c>
      <c r="J34" s="40">
        <v>506.6302</v>
      </c>
      <c r="K34" s="40">
        <v>218.10151999999999</v>
      </c>
      <c r="L34" s="40">
        <v>363.64906000000002</v>
      </c>
      <c r="M34" s="40">
        <v>1127.6717599999999</v>
      </c>
      <c r="N34" s="40">
        <v>1000.4154599999999</v>
      </c>
      <c r="O34" s="40">
        <v>206.91855999999999</v>
      </c>
      <c r="P34" s="40">
        <v>421.33843000000002</v>
      </c>
      <c r="Q34" s="40">
        <v>8.3458500000000004</v>
      </c>
      <c r="R34" s="40">
        <v>129.77010000000001</v>
      </c>
      <c r="S34" s="40">
        <v>94.516270000000006</v>
      </c>
      <c r="T34" s="40">
        <v>848.10135000000002</v>
      </c>
      <c r="U34" s="56">
        <v>41.037999999999997</v>
      </c>
      <c r="V34" s="56">
        <v>596.24711000000002</v>
      </c>
      <c r="W34" s="56">
        <v>0</v>
      </c>
      <c r="X34" s="56">
        <v>0</v>
      </c>
      <c r="Y34" s="56">
        <v>0</v>
      </c>
      <c r="Z34" s="56">
        <v>0</v>
      </c>
      <c r="AA34" s="56">
        <v>14.953580000000001</v>
      </c>
      <c r="AB34" s="56">
        <v>208.953</v>
      </c>
      <c r="AC34" s="56">
        <v>0</v>
      </c>
      <c r="AD34" s="56">
        <v>45.134749999999997</v>
      </c>
      <c r="AE34" s="56">
        <v>1304.8948400000002</v>
      </c>
      <c r="AF34" s="56">
        <v>12.09</v>
      </c>
      <c r="AG34" s="56">
        <v>4965.3941399999994</v>
      </c>
      <c r="AH34" s="56">
        <v>0</v>
      </c>
      <c r="AI34" s="56">
        <v>0</v>
      </c>
      <c r="AJ34" s="56">
        <v>123.89700000000001</v>
      </c>
      <c r="AK34" s="56">
        <v>0</v>
      </c>
      <c r="AL34" s="56">
        <v>0</v>
      </c>
      <c r="AM34" s="56">
        <v>0</v>
      </c>
      <c r="AN34" s="56">
        <v>0</v>
      </c>
      <c r="AO34" s="56">
        <v>296.3</v>
      </c>
      <c r="AP34" s="56">
        <v>0</v>
      </c>
      <c r="AQ34" s="56">
        <v>34</v>
      </c>
      <c r="AR34" s="56">
        <v>149.20645000000002</v>
      </c>
      <c r="AS34" s="56">
        <v>376.54734999999999</v>
      </c>
      <c r="AT34" s="56">
        <v>0</v>
      </c>
      <c r="AU34" s="56">
        <v>0</v>
      </c>
      <c r="AV34" s="41">
        <f t="shared" si="0"/>
        <v>20010.177240000001</v>
      </c>
    </row>
    <row r="35" spans="1:48" s="16" customFormat="1" x14ac:dyDescent="0.25">
      <c r="A35" s="2" t="s">
        <v>55</v>
      </c>
      <c r="B35" s="40">
        <v>110.86024999999999</v>
      </c>
      <c r="C35" s="40">
        <v>2142.0145600000001</v>
      </c>
      <c r="D35" s="40">
        <v>1066.90885</v>
      </c>
      <c r="E35" s="40">
        <v>0</v>
      </c>
      <c r="F35" s="40">
        <v>0</v>
      </c>
      <c r="G35" s="40">
        <v>711.28949999999998</v>
      </c>
      <c r="H35" s="40">
        <v>0</v>
      </c>
      <c r="I35" s="40">
        <v>22.693999999999999</v>
      </c>
      <c r="J35" s="40">
        <v>303.69228000000004</v>
      </c>
      <c r="K35" s="40">
        <v>90.447919999999996</v>
      </c>
      <c r="L35" s="40">
        <v>210.39111</v>
      </c>
      <c r="M35" s="40">
        <v>604.11053000000004</v>
      </c>
      <c r="N35" s="40">
        <v>665.25118999999995</v>
      </c>
      <c r="O35" s="40">
        <v>205.77057000000002</v>
      </c>
      <c r="P35" s="40">
        <v>87.432000000000002</v>
      </c>
      <c r="Q35" s="40">
        <v>27.89705</v>
      </c>
      <c r="R35" s="40">
        <v>21.640499999999999</v>
      </c>
      <c r="S35" s="40">
        <v>20.98762</v>
      </c>
      <c r="T35" s="40">
        <v>889.78430000000003</v>
      </c>
      <c r="U35" s="56">
        <v>147.39395000000002</v>
      </c>
      <c r="V35" s="56">
        <v>103.04454</v>
      </c>
      <c r="W35" s="56">
        <v>0</v>
      </c>
      <c r="X35" s="56">
        <v>0</v>
      </c>
      <c r="Y35" s="56">
        <v>0</v>
      </c>
      <c r="Z35" s="56">
        <v>0</v>
      </c>
      <c r="AA35" s="56">
        <v>1.7101</v>
      </c>
      <c r="AB35" s="56">
        <v>152.25800000000001</v>
      </c>
      <c r="AC35" s="56">
        <v>10.01369</v>
      </c>
      <c r="AD35" s="56">
        <v>6.6749999999999998</v>
      </c>
      <c r="AE35" s="56">
        <v>1041.4958300000001</v>
      </c>
      <c r="AF35" s="56">
        <v>1915.588</v>
      </c>
      <c r="AG35" s="56">
        <v>3914.8957500000001</v>
      </c>
      <c r="AH35" s="56">
        <v>0</v>
      </c>
      <c r="AI35" s="56">
        <v>0</v>
      </c>
      <c r="AJ35" s="56">
        <v>161.92454999999998</v>
      </c>
      <c r="AK35" s="56">
        <v>0</v>
      </c>
      <c r="AL35" s="56">
        <v>0</v>
      </c>
      <c r="AM35" s="56">
        <v>0</v>
      </c>
      <c r="AN35" s="56">
        <v>0</v>
      </c>
      <c r="AO35" s="56">
        <v>40.801400000000001</v>
      </c>
      <c r="AP35" s="56">
        <v>0</v>
      </c>
      <c r="AQ35" s="56">
        <v>53.133000000000003</v>
      </c>
      <c r="AR35" s="56">
        <v>0</v>
      </c>
      <c r="AS35" s="56">
        <v>190.15979999999999</v>
      </c>
      <c r="AT35" s="56">
        <v>0</v>
      </c>
      <c r="AU35" s="56">
        <v>0</v>
      </c>
      <c r="AV35" s="41">
        <f t="shared" si="0"/>
        <v>14920.265839999996</v>
      </c>
    </row>
    <row r="36" spans="1:48" s="16" customFormat="1" x14ac:dyDescent="0.25">
      <c r="A36" s="2" t="s">
        <v>56</v>
      </c>
      <c r="B36" s="40">
        <v>78.790000000000006</v>
      </c>
      <c r="C36" s="40">
        <v>934.3314499999999</v>
      </c>
      <c r="D36" s="40">
        <v>375.65815000000003</v>
      </c>
      <c r="E36" s="40">
        <v>3.7808000000000002</v>
      </c>
      <c r="F36" s="40">
        <v>0</v>
      </c>
      <c r="G36" s="40">
        <v>302.57870000000003</v>
      </c>
      <c r="H36" s="40">
        <v>0</v>
      </c>
      <c r="I36" s="40">
        <v>4.1571000000000007</v>
      </c>
      <c r="J36" s="40">
        <v>132.07228000000001</v>
      </c>
      <c r="K36" s="40">
        <v>64.979240000000004</v>
      </c>
      <c r="L36" s="40">
        <v>129.74432000000002</v>
      </c>
      <c r="M36" s="40">
        <v>378.95890999999995</v>
      </c>
      <c r="N36" s="40">
        <v>331.02873</v>
      </c>
      <c r="O36" s="40">
        <v>161.57757000000001</v>
      </c>
      <c r="P36" s="40">
        <v>246.46467000000001</v>
      </c>
      <c r="Q36" s="40">
        <v>2.0025999999999997</v>
      </c>
      <c r="R36" s="40">
        <v>65.739899999999992</v>
      </c>
      <c r="S36" s="40">
        <v>0.88624999999999998</v>
      </c>
      <c r="T36" s="40">
        <v>518.43399999999997</v>
      </c>
      <c r="U36" s="56">
        <v>29.141999999999999</v>
      </c>
      <c r="V36" s="56">
        <v>135.85667000000001</v>
      </c>
      <c r="W36" s="56">
        <v>3.5659999999999997E-2</v>
      </c>
      <c r="X36" s="56">
        <v>0</v>
      </c>
      <c r="Y36" s="56">
        <v>37.251359999999998</v>
      </c>
      <c r="Z36" s="56">
        <v>0</v>
      </c>
      <c r="AA36" s="56">
        <v>6.695000000000001E-2</v>
      </c>
      <c r="AB36" s="56">
        <v>195.904</v>
      </c>
      <c r="AC36" s="56">
        <v>14.31625</v>
      </c>
      <c r="AD36" s="56">
        <v>30.1951</v>
      </c>
      <c r="AE36" s="56">
        <v>609.65307999999993</v>
      </c>
      <c r="AF36" s="56">
        <v>0</v>
      </c>
      <c r="AG36" s="56">
        <v>1318.85733</v>
      </c>
      <c r="AH36" s="56">
        <v>0</v>
      </c>
      <c r="AI36" s="56">
        <v>0</v>
      </c>
      <c r="AJ36" s="56">
        <v>47.85</v>
      </c>
      <c r="AK36" s="56">
        <v>0</v>
      </c>
      <c r="AL36" s="56">
        <v>0</v>
      </c>
      <c r="AM36" s="56">
        <v>0</v>
      </c>
      <c r="AN36" s="56">
        <v>0</v>
      </c>
      <c r="AO36" s="56">
        <v>563.79999999999995</v>
      </c>
      <c r="AP36" s="56">
        <v>0</v>
      </c>
      <c r="AQ36" s="56">
        <v>25.49</v>
      </c>
      <c r="AR36" s="56">
        <v>52.828000000000003</v>
      </c>
      <c r="AS36" s="56">
        <v>307.80599999999998</v>
      </c>
      <c r="AT36" s="56">
        <v>0</v>
      </c>
      <c r="AU36" s="56">
        <v>0</v>
      </c>
      <c r="AV36" s="41">
        <f t="shared" si="0"/>
        <v>7100.2370700000001</v>
      </c>
    </row>
    <row r="37" spans="1:48" s="16" customFormat="1" x14ac:dyDescent="0.25">
      <c r="A37" s="2" t="s">
        <v>57</v>
      </c>
      <c r="B37" s="40">
        <v>13.2</v>
      </c>
      <c r="C37" s="40">
        <v>53.780629999999995</v>
      </c>
      <c r="D37" s="40">
        <v>0</v>
      </c>
      <c r="E37" s="40">
        <v>0</v>
      </c>
      <c r="F37" s="40">
        <v>1.08</v>
      </c>
      <c r="G37" s="40">
        <v>13.857149999999999</v>
      </c>
      <c r="H37" s="40">
        <v>0</v>
      </c>
      <c r="I37" s="40">
        <v>0.1</v>
      </c>
      <c r="J37" s="40">
        <v>8.33765</v>
      </c>
      <c r="K37" s="40">
        <v>13.986049999999999</v>
      </c>
      <c r="L37" s="40">
        <v>11.421899999999999</v>
      </c>
      <c r="M37" s="40">
        <v>20.273029999999999</v>
      </c>
      <c r="N37" s="40">
        <v>36.9071</v>
      </c>
      <c r="O37" s="40">
        <v>6.5851499999999996</v>
      </c>
      <c r="P37" s="40">
        <v>1.1372500000000001</v>
      </c>
      <c r="Q37" s="40">
        <v>2.0405000000000002</v>
      </c>
      <c r="R37" s="40">
        <v>0</v>
      </c>
      <c r="S37" s="40">
        <v>12.17525</v>
      </c>
      <c r="T37" s="40">
        <v>60.357999999999997</v>
      </c>
      <c r="U37" s="56">
        <v>0</v>
      </c>
      <c r="V37" s="56">
        <v>70.102710000000002</v>
      </c>
      <c r="W37" s="56">
        <v>0</v>
      </c>
      <c r="X37" s="56">
        <v>0</v>
      </c>
      <c r="Y37" s="56">
        <v>0</v>
      </c>
      <c r="Z37" s="56">
        <v>0</v>
      </c>
      <c r="AA37" s="56">
        <v>0</v>
      </c>
      <c r="AB37" s="56">
        <v>14.371</v>
      </c>
      <c r="AC37" s="56">
        <v>27.865770000000001</v>
      </c>
      <c r="AD37" s="56">
        <v>2.5333999999999999</v>
      </c>
      <c r="AE37" s="56">
        <v>59.837800000000001</v>
      </c>
      <c r="AF37" s="56">
        <v>0</v>
      </c>
      <c r="AG37" s="56">
        <v>65.055589999999995</v>
      </c>
      <c r="AH37" s="56">
        <v>0</v>
      </c>
      <c r="AI37" s="56">
        <v>0</v>
      </c>
      <c r="AJ37" s="56">
        <v>0</v>
      </c>
      <c r="AK37" s="56">
        <v>0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41">
        <f t="shared" si="0"/>
        <v>495.00592999999998</v>
      </c>
    </row>
    <row r="38" spans="1:48" s="16" customFormat="1" x14ac:dyDescent="0.25">
      <c r="A38" s="2" t="s">
        <v>58</v>
      </c>
      <c r="B38" s="40">
        <v>100.45010000000001</v>
      </c>
      <c r="C38" s="40">
        <v>1219.59825</v>
      </c>
      <c r="D38" s="40">
        <v>712.08695</v>
      </c>
      <c r="E38" s="40">
        <v>0</v>
      </c>
      <c r="F38" s="40">
        <v>0</v>
      </c>
      <c r="G38" s="40">
        <v>356.47924999999998</v>
      </c>
      <c r="H38" s="40">
        <v>0</v>
      </c>
      <c r="I38" s="40">
        <v>2.85</v>
      </c>
      <c r="J38" s="40">
        <v>103.05758999999999</v>
      </c>
      <c r="K38" s="40">
        <v>27.023949999999999</v>
      </c>
      <c r="L38" s="40">
        <v>150.97864999999999</v>
      </c>
      <c r="M38" s="40">
        <v>326.65323000000001</v>
      </c>
      <c r="N38" s="40">
        <v>279.65051</v>
      </c>
      <c r="O38" s="40">
        <v>115.816</v>
      </c>
      <c r="P38" s="40">
        <v>102.83511</v>
      </c>
      <c r="Q38" s="40">
        <v>8.5802999999999994</v>
      </c>
      <c r="R38" s="40">
        <v>10.591010000000001</v>
      </c>
      <c r="S38" s="40">
        <v>0.48014999999999997</v>
      </c>
      <c r="T38" s="40">
        <v>496.75700000000001</v>
      </c>
      <c r="U38" s="56">
        <v>47.750349999999997</v>
      </c>
      <c r="V38" s="56">
        <v>244.64242000000002</v>
      </c>
      <c r="W38" s="56">
        <v>0</v>
      </c>
      <c r="X38" s="56">
        <v>0</v>
      </c>
      <c r="Y38" s="56">
        <v>69.460800000000006</v>
      </c>
      <c r="Z38" s="56">
        <v>0</v>
      </c>
      <c r="AA38" s="56">
        <v>0.21325</v>
      </c>
      <c r="AB38" s="56">
        <v>118.32299999999999</v>
      </c>
      <c r="AC38" s="56">
        <v>0</v>
      </c>
      <c r="AD38" s="56">
        <v>29.842500000000001</v>
      </c>
      <c r="AE38" s="56">
        <v>451.6268</v>
      </c>
      <c r="AF38" s="56">
        <v>0</v>
      </c>
      <c r="AG38" s="56">
        <v>1465.3357699999999</v>
      </c>
      <c r="AH38" s="56">
        <v>0</v>
      </c>
      <c r="AI38" s="56">
        <v>0</v>
      </c>
      <c r="AJ38" s="56">
        <v>62.430999999999997</v>
      </c>
      <c r="AK38" s="56">
        <v>0</v>
      </c>
      <c r="AL38" s="56">
        <v>0</v>
      </c>
      <c r="AM38" s="56">
        <v>0</v>
      </c>
      <c r="AN38" s="56">
        <v>0</v>
      </c>
      <c r="AO38" s="56">
        <v>174.32165000000001</v>
      </c>
      <c r="AP38" s="56">
        <v>45</v>
      </c>
      <c r="AQ38" s="56">
        <v>13.6</v>
      </c>
      <c r="AR38" s="56">
        <v>76.575690000000009</v>
      </c>
      <c r="AS38" s="56">
        <v>175.852</v>
      </c>
      <c r="AT38" s="56">
        <v>0</v>
      </c>
      <c r="AU38" s="56">
        <v>0</v>
      </c>
      <c r="AV38" s="41">
        <f t="shared" si="0"/>
        <v>6988.8632799999978</v>
      </c>
    </row>
    <row r="39" spans="1:48" s="16" customFormat="1" x14ac:dyDescent="0.25">
      <c r="A39" s="2" t="s">
        <v>11</v>
      </c>
      <c r="B39" s="40">
        <v>265.04245000000003</v>
      </c>
      <c r="C39" s="40">
        <v>28610.557410000001</v>
      </c>
      <c r="D39" s="40">
        <v>2932.2959000000001</v>
      </c>
      <c r="E39" s="40">
        <v>0</v>
      </c>
      <c r="F39" s="40">
        <v>748.56398999999999</v>
      </c>
      <c r="G39" s="40">
        <v>6435.0852300000006</v>
      </c>
      <c r="H39" s="40">
        <v>278.23720000000003</v>
      </c>
      <c r="I39" s="40">
        <v>193.14621</v>
      </c>
      <c r="J39" s="40">
        <v>2181.7432699999999</v>
      </c>
      <c r="K39" s="40">
        <v>597.30304000000001</v>
      </c>
      <c r="L39" s="40">
        <v>2879.3867500000001</v>
      </c>
      <c r="M39" s="40">
        <v>3350.6499100000001</v>
      </c>
      <c r="N39" s="40">
        <v>1636.1316100000001</v>
      </c>
      <c r="O39" s="40">
        <v>685.65231999999992</v>
      </c>
      <c r="P39" s="40">
        <v>513.38553000000002</v>
      </c>
      <c r="Q39" s="40">
        <v>43.721449999999997</v>
      </c>
      <c r="R39" s="40">
        <v>1481.63265</v>
      </c>
      <c r="S39" s="40">
        <v>147.9853</v>
      </c>
      <c r="T39" s="40">
        <v>1803.3873000000001</v>
      </c>
      <c r="U39" s="56">
        <v>188.35900000000001</v>
      </c>
      <c r="V39" s="56">
        <v>1108.73631</v>
      </c>
      <c r="W39" s="56">
        <v>0</v>
      </c>
      <c r="X39" s="56">
        <v>0</v>
      </c>
      <c r="Y39" s="56">
        <v>225.95215999999999</v>
      </c>
      <c r="Z39" s="56">
        <v>-35.325000000000003</v>
      </c>
      <c r="AA39" s="56">
        <v>218.07713000000001</v>
      </c>
      <c r="AB39" s="56">
        <v>244.279</v>
      </c>
      <c r="AC39" s="56">
        <v>8.2986200000000014</v>
      </c>
      <c r="AD39" s="56">
        <v>16.927499999999998</v>
      </c>
      <c r="AE39" s="56">
        <v>2693.3858500000001</v>
      </c>
      <c r="AF39" s="56">
        <v>818.45699999999999</v>
      </c>
      <c r="AG39" s="56">
        <v>13183.283089999999</v>
      </c>
      <c r="AH39" s="56">
        <v>0</v>
      </c>
      <c r="AI39" s="56">
        <v>0</v>
      </c>
      <c r="AJ39" s="56">
        <v>713.17925000000002</v>
      </c>
      <c r="AK39" s="56">
        <v>0</v>
      </c>
      <c r="AL39" s="56">
        <v>0</v>
      </c>
      <c r="AM39" s="56">
        <v>0</v>
      </c>
      <c r="AN39" s="56">
        <v>29.897880000000001</v>
      </c>
      <c r="AO39" s="56">
        <v>1469.5172500000001</v>
      </c>
      <c r="AP39" s="56">
        <v>5.5</v>
      </c>
      <c r="AQ39" s="56">
        <v>0</v>
      </c>
      <c r="AR39" s="56">
        <v>0</v>
      </c>
      <c r="AS39" s="56">
        <v>0</v>
      </c>
      <c r="AT39" s="56">
        <v>0</v>
      </c>
      <c r="AU39" s="56">
        <v>0</v>
      </c>
      <c r="AV39" s="41">
        <f t="shared" si="0"/>
        <v>75672.432560000016</v>
      </c>
    </row>
    <row r="40" spans="1:48" s="16" customFormat="1" x14ac:dyDescent="0.25">
      <c r="A40" s="3" t="s">
        <v>59</v>
      </c>
      <c r="B40" s="40">
        <v>36.821249999999999</v>
      </c>
      <c r="C40" s="40">
        <v>1983.5735</v>
      </c>
      <c r="D40" s="40">
        <v>1141.55978</v>
      </c>
      <c r="E40" s="40">
        <v>0</v>
      </c>
      <c r="F40" s="40">
        <v>16.438800000000001</v>
      </c>
      <c r="G40" s="40">
        <v>669.96163999999999</v>
      </c>
      <c r="H40" s="40">
        <v>30</v>
      </c>
      <c r="I40" s="40">
        <v>9.609</v>
      </c>
      <c r="J40" s="40">
        <v>307.87463000000002</v>
      </c>
      <c r="K40" s="40">
        <v>39.903239999999997</v>
      </c>
      <c r="L40" s="40">
        <v>275.78203999999999</v>
      </c>
      <c r="M40" s="40">
        <v>668.97104999999999</v>
      </c>
      <c r="N40" s="40">
        <v>346.29570000000001</v>
      </c>
      <c r="O40" s="40">
        <v>101.80019</v>
      </c>
      <c r="P40" s="40">
        <v>88.646950000000004</v>
      </c>
      <c r="Q40" s="40">
        <v>22.302349999999997</v>
      </c>
      <c r="R40" s="40">
        <v>124.04722</v>
      </c>
      <c r="S40" s="40">
        <v>49.040199999999999</v>
      </c>
      <c r="T40" s="40">
        <v>855.38126999999997</v>
      </c>
      <c r="U40" s="56">
        <v>111.887</v>
      </c>
      <c r="V40" s="56">
        <v>213.86418</v>
      </c>
      <c r="W40" s="56">
        <v>0</v>
      </c>
      <c r="X40" s="56">
        <v>0</v>
      </c>
      <c r="Y40" s="56">
        <v>19.716549999999998</v>
      </c>
      <c r="Z40" s="56">
        <v>0</v>
      </c>
      <c r="AA40" s="56">
        <v>1.1923499999999998</v>
      </c>
      <c r="AB40" s="56">
        <v>127.80800000000001</v>
      </c>
      <c r="AC40" s="56">
        <v>22.660250000000001</v>
      </c>
      <c r="AD40" s="56">
        <v>29.568000000000001</v>
      </c>
      <c r="AE40" s="56">
        <v>229.70995000000002</v>
      </c>
      <c r="AF40" s="56">
        <v>9.0619999999999994</v>
      </c>
      <c r="AG40" s="56">
        <v>4141.8575799999999</v>
      </c>
      <c r="AH40" s="56">
        <v>20</v>
      </c>
      <c r="AI40" s="56">
        <v>0</v>
      </c>
      <c r="AJ40" s="56">
        <v>95.533050000000003</v>
      </c>
      <c r="AK40" s="56">
        <v>0</v>
      </c>
      <c r="AL40" s="56">
        <v>0</v>
      </c>
      <c r="AM40" s="56">
        <v>0</v>
      </c>
      <c r="AN40" s="56">
        <v>0</v>
      </c>
      <c r="AO40" s="56">
        <v>32</v>
      </c>
      <c r="AP40" s="56">
        <v>0</v>
      </c>
      <c r="AQ40" s="56">
        <v>28.58221</v>
      </c>
      <c r="AR40" s="56">
        <v>41.706199999999995</v>
      </c>
      <c r="AS40" s="56">
        <v>218.11240000000001</v>
      </c>
      <c r="AT40" s="56">
        <v>0</v>
      </c>
      <c r="AU40" s="56">
        <v>0</v>
      </c>
      <c r="AV40" s="41">
        <f t="shared" si="0"/>
        <v>12111.268530000001</v>
      </c>
    </row>
    <row r="41" spans="1:48" s="16" customFormat="1" x14ac:dyDescent="0.25">
      <c r="A41" s="2" t="s">
        <v>60</v>
      </c>
      <c r="B41" s="40">
        <v>248.02085</v>
      </c>
      <c r="C41" s="40">
        <v>5082.33475</v>
      </c>
      <c r="D41" s="40">
        <v>1506.2860000000001</v>
      </c>
      <c r="E41" s="40">
        <v>59.086849999999998</v>
      </c>
      <c r="F41" s="40">
        <v>39.28</v>
      </c>
      <c r="G41" s="40">
        <v>1346.588</v>
      </c>
      <c r="H41" s="40">
        <v>22.05</v>
      </c>
      <c r="I41" s="40">
        <v>24.507400000000001</v>
      </c>
      <c r="J41" s="40">
        <v>639.52742000000001</v>
      </c>
      <c r="K41" s="40">
        <v>351.69099</v>
      </c>
      <c r="L41" s="40">
        <v>794.42210999999998</v>
      </c>
      <c r="M41" s="40">
        <v>2712.89507</v>
      </c>
      <c r="N41" s="40">
        <v>1540.5292299999999</v>
      </c>
      <c r="O41" s="40">
        <v>308.69453000000004</v>
      </c>
      <c r="P41" s="40">
        <v>111.54495</v>
      </c>
      <c r="Q41" s="40">
        <v>3.6474000000000002</v>
      </c>
      <c r="R41" s="40">
        <v>741.66771999999992</v>
      </c>
      <c r="S41" s="40">
        <v>9.6428200000000004</v>
      </c>
      <c r="T41" s="40">
        <v>1501.412</v>
      </c>
      <c r="U41" s="56">
        <v>190.99270000000001</v>
      </c>
      <c r="V41" s="56">
        <v>83.078550000000007</v>
      </c>
      <c r="W41" s="56">
        <v>0</v>
      </c>
      <c r="X41" s="56">
        <v>0</v>
      </c>
      <c r="Y41" s="56">
        <v>27.262930000000001</v>
      </c>
      <c r="Z41" s="56">
        <v>0</v>
      </c>
      <c r="AA41" s="56">
        <v>28.329150000000002</v>
      </c>
      <c r="AB41" s="56">
        <v>314.58600000000001</v>
      </c>
      <c r="AC41" s="56">
        <v>242.51412999999999</v>
      </c>
      <c r="AD41" s="56">
        <v>112.88294999999999</v>
      </c>
      <c r="AE41" s="56">
        <v>4065.6960099999997</v>
      </c>
      <c r="AF41" s="56">
        <v>8052.7629999999999</v>
      </c>
      <c r="AG41" s="56">
        <v>12959.9036</v>
      </c>
      <c r="AH41" s="56">
        <v>0</v>
      </c>
      <c r="AI41" s="56">
        <v>0</v>
      </c>
      <c r="AJ41" s="56">
        <v>183.46876</v>
      </c>
      <c r="AK41" s="56">
        <v>10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56.910150000000002</v>
      </c>
      <c r="AR41" s="56">
        <v>44.113099999999996</v>
      </c>
      <c r="AS41" s="56">
        <v>607.98476000000005</v>
      </c>
      <c r="AT41" s="56">
        <v>0</v>
      </c>
      <c r="AU41" s="56">
        <v>73.067399999999992</v>
      </c>
      <c r="AV41" s="41">
        <f t="shared" si="0"/>
        <v>44097.381280000001</v>
      </c>
    </row>
    <row r="42" spans="1:48" s="16" customFormat="1" x14ac:dyDescent="0.25">
      <c r="A42" s="2" t="s">
        <v>61</v>
      </c>
      <c r="B42" s="40">
        <v>116.09214999999999</v>
      </c>
      <c r="C42" s="40">
        <v>1408.8461000000002</v>
      </c>
      <c r="D42" s="40">
        <v>1036.42615</v>
      </c>
      <c r="E42" s="40">
        <v>0</v>
      </c>
      <c r="F42" s="40">
        <v>10.695</v>
      </c>
      <c r="G42" s="40">
        <v>595.93809999999996</v>
      </c>
      <c r="H42" s="40">
        <v>0</v>
      </c>
      <c r="I42" s="40">
        <v>12.431899999999999</v>
      </c>
      <c r="J42" s="40">
        <v>109.99764</v>
      </c>
      <c r="K42" s="40">
        <v>114.88925</v>
      </c>
      <c r="L42" s="40">
        <v>340.15903000000003</v>
      </c>
      <c r="M42" s="40">
        <v>1088.7933</v>
      </c>
      <c r="N42" s="40">
        <v>469.97064</v>
      </c>
      <c r="O42" s="40">
        <v>96.884439999999998</v>
      </c>
      <c r="P42" s="40">
        <v>56.251239999999996</v>
      </c>
      <c r="Q42" s="40">
        <v>8.3584999999999994</v>
      </c>
      <c r="R42" s="40">
        <v>133.32352</v>
      </c>
      <c r="S42" s="40">
        <v>2.4950000000000001</v>
      </c>
      <c r="T42" s="40">
        <v>435.48040000000003</v>
      </c>
      <c r="U42" s="56">
        <v>51.448999999999998</v>
      </c>
      <c r="V42" s="56">
        <v>157.208</v>
      </c>
      <c r="W42" s="56">
        <v>0</v>
      </c>
      <c r="X42" s="56">
        <v>0</v>
      </c>
      <c r="Y42" s="56">
        <v>47.768519999999995</v>
      </c>
      <c r="Z42" s="56">
        <v>0</v>
      </c>
      <c r="AA42" s="56">
        <v>6.7131300000000005</v>
      </c>
      <c r="AB42" s="56">
        <v>131.93199999999999</v>
      </c>
      <c r="AC42" s="56">
        <v>40.951360000000001</v>
      </c>
      <c r="AD42" s="56">
        <v>45.870550000000001</v>
      </c>
      <c r="AE42" s="56">
        <v>995.81142</v>
      </c>
      <c r="AF42" s="56">
        <v>454.90300000000002</v>
      </c>
      <c r="AG42" s="56">
        <v>3496.3693499999999</v>
      </c>
      <c r="AH42" s="56">
        <v>0</v>
      </c>
      <c r="AI42" s="56">
        <v>0</v>
      </c>
      <c r="AJ42" s="56">
        <v>113.877</v>
      </c>
      <c r="AK42" s="56">
        <v>0</v>
      </c>
      <c r="AL42" s="56">
        <v>0</v>
      </c>
      <c r="AM42" s="56">
        <v>0</v>
      </c>
      <c r="AN42" s="56">
        <v>0</v>
      </c>
      <c r="AO42" s="56">
        <v>68.825500000000005</v>
      </c>
      <c r="AP42" s="56">
        <v>11.2456</v>
      </c>
      <c r="AQ42" s="56">
        <v>81.8</v>
      </c>
      <c r="AR42" s="56">
        <v>44.19</v>
      </c>
      <c r="AS42" s="56">
        <v>56.091000000000001</v>
      </c>
      <c r="AT42" s="56">
        <v>0</v>
      </c>
      <c r="AU42" s="56">
        <v>0</v>
      </c>
      <c r="AV42" s="41">
        <f t="shared" si="0"/>
        <v>11842.03779</v>
      </c>
    </row>
    <row r="43" spans="1:48" s="16" customFormat="1" x14ac:dyDescent="0.25">
      <c r="A43" s="1" t="s">
        <v>62</v>
      </c>
      <c r="B43" s="40">
        <v>101.93695</v>
      </c>
      <c r="C43" s="40">
        <v>1820.6140500000001</v>
      </c>
      <c r="D43" s="40">
        <v>1683.84575</v>
      </c>
      <c r="E43" s="40">
        <v>0</v>
      </c>
      <c r="F43" s="40">
        <v>8.8369999999999997</v>
      </c>
      <c r="G43" s="40">
        <v>757.22799999999995</v>
      </c>
      <c r="H43" s="40">
        <v>0</v>
      </c>
      <c r="I43" s="40">
        <v>23.215199999999999</v>
      </c>
      <c r="J43" s="40">
        <v>216.54979999999998</v>
      </c>
      <c r="K43" s="40">
        <v>120.99855000000001</v>
      </c>
      <c r="L43" s="40">
        <v>180.7089</v>
      </c>
      <c r="M43" s="40">
        <v>524.80106999999998</v>
      </c>
      <c r="N43" s="40">
        <v>795.17984999999999</v>
      </c>
      <c r="O43" s="40">
        <v>123.0757</v>
      </c>
      <c r="P43" s="40">
        <v>73.006350000000012</v>
      </c>
      <c r="Q43" s="40">
        <v>7.1577999999999999</v>
      </c>
      <c r="R43" s="40">
        <v>65.79665</v>
      </c>
      <c r="S43" s="40">
        <v>15.563750000000001</v>
      </c>
      <c r="T43" s="40">
        <v>517.40099999999995</v>
      </c>
      <c r="U43" s="56">
        <v>0.40200000000000002</v>
      </c>
      <c r="V43" s="56">
        <v>154.57160000000002</v>
      </c>
      <c r="W43" s="56">
        <v>0</v>
      </c>
      <c r="X43" s="56">
        <v>0</v>
      </c>
      <c r="Y43" s="56">
        <v>0</v>
      </c>
      <c r="Z43" s="56">
        <v>0</v>
      </c>
      <c r="AA43" s="56">
        <v>10.40006</v>
      </c>
      <c r="AB43" s="56">
        <v>148.30199999999999</v>
      </c>
      <c r="AC43" s="56">
        <v>104.37577999999999</v>
      </c>
      <c r="AD43" s="56">
        <v>54.766300000000001</v>
      </c>
      <c r="AE43" s="56">
        <v>1037.38555</v>
      </c>
      <c r="AF43" s="56">
        <v>8.0030000000000001</v>
      </c>
      <c r="AG43" s="56">
        <v>3395.4288500000002</v>
      </c>
      <c r="AH43" s="56">
        <v>0</v>
      </c>
      <c r="AI43" s="56">
        <v>0</v>
      </c>
      <c r="AJ43" s="56">
        <v>18.483000000000001</v>
      </c>
      <c r="AK43" s="56">
        <v>0</v>
      </c>
      <c r="AL43" s="56">
        <v>0</v>
      </c>
      <c r="AM43" s="56">
        <v>0</v>
      </c>
      <c r="AN43" s="56">
        <v>0</v>
      </c>
      <c r="AO43" s="56">
        <v>0</v>
      </c>
      <c r="AP43" s="56">
        <v>0</v>
      </c>
      <c r="AQ43" s="56">
        <v>441.47490000000005</v>
      </c>
      <c r="AR43" s="56">
        <v>117.64125</v>
      </c>
      <c r="AS43" s="56">
        <v>500.34199999999998</v>
      </c>
      <c r="AT43" s="56">
        <v>0</v>
      </c>
      <c r="AU43" s="56">
        <v>0</v>
      </c>
      <c r="AV43" s="41">
        <f t="shared" si="0"/>
        <v>13027.492660000002</v>
      </c>
    </row>
    <row r="44" spans="1:48" s="16" customFormat="1" x14ac:dyDescent="0.25">
      <c r="A44" s="2" t="s">
        <v>63</v>
      </c>
      <c r="B44" s="40">
        <v>63.146000000000001</v>
      </c>
      <c r="C44" s="40">
        <v>1039.0207</v>
      </c>
      <c r="D44" s="40">
        <v>784.10769999999991</v>
      </c>
      <c r="E44" s="40">
        <v>0</v>
      </c>
      <c r="F44" s="40">
        <v>0</v>
      </c>
      <c r="G44" s="40">
        <v>385.77770000000004</v>
      </c>
      <c r="H44" s="40">
        <v>0</v>
      </c>
      <c r="I44" s="40">
        <v>4.5643000000000002</v>
      </c>
      <c r="J44" s="40">
        <v>167.65052</v>
      </c>
      <c r="K44" s="40">
        <v>15.290239999999999</v>
      </c>
      <c r="L44" s="40">
        <v>251.99793</v>
      </c>
      <c r="M44" s="40">
        <v>351.46055999999999</v>
      </c>
      <c r="N44" s="40">
        <v>202.93110999999999</v>
      </c>
      <c r="O44" s="40">
        <v>113.65567999999999</v>
      </c>
      <c r="P44" s="40">
        <v>48.790750000000003</v>
      </c>
      <c r="Q44" s="40">
        <v>43.942680000000003</v>
      </c>
      <c r="R44" s="40">
        <v>-2.7910000000000001E-2</v>
      </c>
      <c r="S44" s="40">
        <v>30.6677</v>
      </c>
      <c r="T44" s="40">
        <v>216.5</v>
      </c>
      <c r="U44" s="56">
        <v>0</v>
      </c>
      <c r="V44" s="56">
        <v>103.27382</v>
      </c>
      <c r="W44" s="56">
        <v>0</v>
      </c>
      <c r="X44" s="56">
        <v>0</v>
      </c>
      <c r="Y44" s="56">
        <v>0</v>
      </c>
      <c r="Z44" s="56">
        <v>0</v>
      </c>
      <c r="AA44" s="56">
        <v>3.9165999999999999</v>
      </c>
      <c r="AB44" s="56">
        <v>58.067</v>
      </c>
      <c r="AC44" s="56">
        <v>110.50146000000001</v>
      </c>
      <c r="AD44" s="56">
        <v>8.2630999999999997</v>
      </c>
      <c r="AE44" s="56">
        <v>829.09470999999996</v>
      </c>
      <c r="AF44" s="56">
        <v>248.09299999999999</v>
      </c>
      <c r="AG44" s="56">
        <v>1971.53097</v>
      </c>
      <c r="AH44" s="56">
        <v>0</v>
      </c>
      <c r="AI44" s="56">
        <v>0</v>
      </c>
      <c r="AJ44" s="56">
        <v>79.900000000000006</v>
      </c>
      <c r="AK44" s="56">
        <v>0</v>
      </c>
      <c r="AL44" s="56">
        <v>0</v>
      </c>
      <c r="AM44" s="56">
        <v>0</v>
      </c>
      <c r="AN44" s="56">
        <v>0</v>
      </c>
      <c r="AO44" s="56">
        <v>7</v>
      </c>
      <c r="AP44" s="56">
        <v>0</v>
      </c>
      <c r="AQ44" s="56">
        <v>44.5</v>
      </c>
      <c r="AR44" s="56">
        <v>46.4358</v>
      </c>
      <c r="AS44" s="56">
        <v>106.8</v>
      </c>
      <c r="AT44" s="56">
        <v>0</v>
      </c>
      <c r="AU44" s="56">
        <v>0</v>
      </c>
      <c r="AV44" s="41">
        <f t="shared" si="0"/>
        <v>7336.8521199999996</v>
      </c>
    </row>
    <row r="45" spans="1:48" s="16" customFormat="1" x14ac:dyDescent="0.25">
      <c r="A45" s="2" t="s">
        <v>64</v>
      </c>
      <c r="B45" s="40">
        <v>28.49</v>
      </c>
      <c r="C45" s="40">
        <v>220.87565000000001</v>
      </c>
      <c r="D45" s="40">
        <v>0</v>
      </c>
      <c r="E45" s="40">
        <v>0</v>
      </c>
      <c r="F45" s="40">
        <v>0</v>
      </c>
      <c r="G45" s="40">
        <v>41.691230000000004</v>
      </c>
      <c r="H45" s="40">
        <v>0</v>
      </c>
      <c r="I45" s="40">
        <v>0.96820000000000006</v>
      </c>
      <c r="J45" s="40">
        <v>14.62077</v>
      </c>
      <c r="K45" s="40">
        <v>4.2465999999999999</v>
      </c>
      <c r="L45" s="40">
        <v>26.131250000000001</v>
      </c>
      <c r="M45" s="40">
        <v>209.79145</v>
      </c>
      <c r="N45" s="40">
        <v>44.182410000000004</v>
      </c>
      <c r="O45" s="40">
        <v>25.85548</v>
      </c>
      <c r="P45" s="40">
        <v>4.3574999999999999</v>
      </c>
      <c r="Q45" s="40">
        <v>0.25789999999999996</v>
      </c>
      <c r="R45" s="40">
        <v>46.732289999999999</v>
      </c>
      <c r="S45" s="40">
        <v>1.8894000000000002</v>
      </c>
      <c r="T45" s="40">
        <v>80.489999999999995</v>
      </c>
      <c r="U45" s="56">
        <v>77.375699999999995</v>
      </c>
      <c r="V45" s="56">
        <v>60.667650000000002</v>
      </c>
      <c r="W45" s="56">
        <v>0</v>
      </c>
      <c r="X45" s="56">
        <v>0</v>
      </c>
      <c r="Y45" s="56">
        <v>0.24005000000000001</v>
      </c>
      <c r="Z45" s="56">
        <v>0</v>
      </c>
      <c r="AA45" s="56">
        <v>0.80874000000000001</v>
      </c>
      <c r="AB45" s="56">
        <v>35.271000000000001</v>
      </c>
      <c r="AC45" s="56">
        <v>1.55725</v>
      </c>
      <c r="AD45" s="56">
        <v>15.119299999999999</v>
      </c>
      <c r="AE45" s="56">
        <v>735.26792</v>
      </c>
      <c r="AF45" s="56">
        <v>1.5149999999999999</v>
      </c>
      <c r="AG45" s="56">
        <v>686.24092000000007</v>
      </c>
      <c r="AH45" s="56">
        <v>0</v>
      </c>
      <c r="AI45" s="56">
        <v>0</v>
      </c>
      <c r="AJ45" s="56">
        <v>27.832000000000001</v>
      </c>
      <c r="AK45" s="56">
        <v>0</v>
      </c>
      <c r="AL45" s="56">
        <v>0</v>
      </c>
      <c r="AM45" s="56">
        <v>0</v>
      </c>
      <c r="AN45" s="56">
        <v>0.72</v>
      </c>
      <c r="AO45" s="56">
        <v>12</v>
      </c>
      <c r="AP45" s="56">
        <v>0</v>
      </c>
      <c r="AQ45" s="56">
        <v>0</v>
      </c>
      <c r="AR45" s="56">
        <v>0</v>
      </c>
      <c r="AS45" s="56">
        <v>43.974699999999999</v>
      </c>
      <c r="AT45" s="56">
        <v>0</v>
      </c>
      <c r="AU45" s="56">
        <v>0</v>
      </c>
      <c r="AV45" s="41">
        <f t="shared" si="0"/>
        <v>2449.1703600000001</v>
      </c>
    </row>
    <row r="46" spans="1:48" s="16" customFormat="1" x14ac:dyDescent="0.25">
      <c r="A46" s="2" t="s">
        <v>65</v>
      </c>
      <c r="B46" s="40">
        <v>6.88</v>
      </c>
      <c r="C46" s="40">
        <v>159.24005</v>
      </c>
      <c r="D46" s="40">
        <v>0</v>
      </c>
      <c r="E46" s="40">
        <v>0</v>
      </c>
      <c r="F46" s="40">
        <v>0</v>
      </c>
      <c r="G46" s="40">
        <v>25.559750000000001</v>
      </c>
      <c r="H46" s="40">
        <v>0</v>
      </c>
      <c r="I46" s="40">
        <v>1.2967</v>
      </c>
      <c r="J46" s="40">
        <v>3.96285</v>
      </c>
      <c r="K46" s="40">
        <v>6.95655</v>
      </c>
      <c r="L46" s="40">
        <v>20.766349999999999</v>
      </c>
      <c r="M46" s="40">
        <v>66.345300000000009</v>
      </c>
      <c r="N46" s="40">
        <v>198.81325000000001</v>
      </c>
      <c r="O46" s="40">
        <v>18.191400000000002</v>
      </c>
      <c r="P46" s="40">
        <v>0.58499999999999996</v>
      </c>
      <c r="Q46" s="40">
        <v>3.5932499999999998</v>
      </c>
      <c r="R46" s="40">
        <v>1.514</v>
      </c>
      <c r="S46" s="40">
        <v>0</v>
      </c>
      <c r="T46" s="40">
        <v>46.546999999999997</v>
      </c>
      <c r="U46" s="56">
        <v>0</v>
      </c>
      <c r="V46" s="56">
        <v>11.005420000000001</v>
      </c>
      <c r="W46" s="56">
        <v>0</v>
      </c>
      <c r="X46" s="56">
        <v>0</v>
      </c>
      <c r="Y46" s="56">
        <v>0</v>
      </c>
      <c r="Z46" s="56">
        <v>0</v>
      </c>
      <c r="AA46" s="56">
        <v>1.62262</v>
      </c>
      <c r="AB46" s="56">
        <v>26.244</v>
      </c>
      <c r="AC46" s="56">
        <v>24.135549999999999</v>
      </c>
      <c r="AD46" s="56">
        <v>5.9111000000000002</v>
      </c>
      <c r="AE46" s="56">
        <v>187.16523000000001</v>
      </c>
      <c r="AF46" s="56">
        <v>0.624</v>
      </c>
      <c r="AG46" s="56">
        <v>230.30718999999999</v>
      </c>
      <c r="AH46" s="56">
        <v>0</v>
      </c>
      <c r="AI46" s="56">
        <v>0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10.5</v>
      </c>
      <c r="AR46" s="56">
        <v>0</v>
      </c>
      <c r="AS46" s="56">
        <v>13.654</v>
      </c>
      <c r="AT46" s="56">
        <v>0</v>
      </c>
      <c r="AU46" s="56">
        <v>0</v>
      </c>
      <c r="AV46" s="41">
        <f t="shared" si="0"/>
        <v>1071.42056</v>
      </c>
    </row>
    <row r="47" spans="1:48" s="16" customFormat="1" x14ac:dyDescent="0.25">
      <c r="A47" s="2" t="s">
        <v>66</v>
      </c>
      <c r="B47" s="40">
        <v>111.4675</v>
      </c>
      <c r="C47" s="40">
        <v>2574.55744</v>
      </c>
      <c r="D47" s="40">
        <v>1031.8188499999999</v>
      </c>
      <c r="E47" s="40">
        <v>0</v>
      </c>
      <c r="F47" s="40">
        <v>12.611700000000001</v>
      </c>
      <c r="G47" s="40">
        <v>722.89740000000006</v>
      </c>
      <c r="H47" s="40">
        <v>0</v>
      </c>
      <c r="I47" s="40">
        <v>22.2682</v>
      </c>
      <c r="J47" s="40">
        <v>203.43434999999999</v>
      </c>
      <c r="K47" s="40">
        <v>119.89256</v>
      </c>
      <c r="L47" s="40">
        <v>266.0684</v>
      </c>
      <c r="M47" s="40">
        <v>1235.65211</v>
      </c>
      <c r="N47" s="40">
        <v>1348.29456</v>
      </c>
      <c r="O47" s="40">
        <v>123.37197999999999</v>
      </c>
      <c r="P47" s="40">
        <v>108.69669999999999</v>
      </c>
      <c r="Q47" s="40">
        <v>11.371549999999999</v>
      </c>
      <c r="R47" s="40">
        <v>4.8801999999999994</v>
      </c>
      <c r="S47" s="40">
        <v>0</v>
      </c>
      <c r="T47" s="40">
        <v>1113.0278999999998</v>
      </c>
      <c r="U47" s="56">
        <v>20.367000000000001</v>
      </c>
      <c r="V47" s="56">
        <v>270.60122999999999</v>
      </c>
      <c r="W47" s="56">
        <v>150</v>
      </c>
      <c r="X47" s="56">
        <v>0</v>
      </c>
      <c r="Y47" s="56">
        <v>24.27195</v>
      </c>
      <c r="Z47" s="56">
        <v>0</v>
      </c>
      <c r="AA47" s="56">
        <v>0.65849999999999997</v>
      </c>
      <c r="AB47" s="56">
        <v>320.05399999999997</v>
      </c>
      <c r="AC47" s="56">
        <v>63.482510000000005</v>
      </c>
      <c r="AD47" s="56">
        <v>66.355679999999992</v>
      </c>
      <c r="AE47" s="56">
        <v>1628.0591000000002</v>
      </c>
      <c r="AF47" s="56">
        <v>0</v>
      </c>
      <c r="AG47" s="56">
        <v>4034.9574700000003</v>
      </c>
      <c r="AH47" s="56">
        <v>0</v>
      </c>
      <c r="AI47" s="56">
        <v>0</v>
      </c>
      <c r="AJ47" s="56">
        <v>173.1859</v>
      </c>
      <c r="AK47" s="56">
        <v>0</v>
      </c>
      <c r="AL47" s="56">
        <v>0</v>
      </c>
      <c r="AM47" s="56">
        <v>0</v>
      </c>
      <c r="AN47" s="56">
        <v>0</v>
      </c>
      <c r="AO47" s="56">
        <v>82.729249999999993</v>
      </c>
      <c r="AP47" s="56">
        <v>0</v>
      </c>
      <c r="AQ47" s="56">
        <v>0</v>
      </c>
      <c r="AR47" s="56">
        <v>80.967330000000004</v>
      </c>
      <c r="AS47" s="56">
        <v>569.05600000000004</v>
      </c>
      <c r="AT47" s="56">
        <v>0</v>
      </c>
      <c r="AU47" s="56">
        <v>0</v>
      </c>
      <c r="AV47" s="41">
        <f t="shared" si="0"/>
        <v>16495.057320000004</v>
      </c>
    </row>
    <row r="48" spans="1:48" s="16" customFormat="1" x14ac:dyDescent="0.25">
      <c r="A48" s="2" t="s">
        <v>67</v>
      </c>
      <c r="B48" s="40">
        <v>161.94999999999999</v>
      </c>
      <c r="C48" s="40">
        <v>4642.1282199999996</v>
      </c>
      <c r="D48" s="40">
        <v>2589.9221499999999</v>
      </c>
      <c r="E48" s="40">
        <v>0</v>
      </c>
      <c r="F48" s="40">
        <v>59.902200000000001</v>
      </c>
      <c r="G48" s="40">
        <v>1558.5791000000002</v>
      </c>
      <c r="H48" s="40">
        <v>0</v>
      </c>
      <c r="I48" s="40">
        <v>33.393599999999999</v>
      </c>
      <c r="J48" s="40">
        <v>338.66144000000003</v>
      </c>
      <c r="K48" s="40">
        <v>154.7184</v>
      </c>
      <c r="L48" s="40">
        <v>577.54499999999996</v>
      </c>
      <c r="M48" s="40">
        <v>1767.1214199999999</v>
      </c>
      <c r="N48" s="40">
        <v>1507.3649499999999</v>
      </c>
      <c r="O48" s="40">
        <v>258.48845999999998</v>
      </c>
      <c r="P48" s="40">
        <v>78.061300000000003</v>
      </c>
      <c r="Q48" s="40">
        <v>82.353350000000006</v>
      </c>
      <c r="R48" s="40">
        <v>297.16371999999996</v>
      </c>
      <c r="S48" s="40">
        <v>158.76017999999999</v>
      </c>
      <c r="T48" s="40">
        <v>3254.6820499999999</v>
      </c>
      <c r="U48" s="56">
        <v>0</v>
      </c>
      <c r="V48" s="56">
        <v>1328.8884399999999</v>
      </c>
      <c r="W48" s="56">
        <v>0</v>
      </c>
      <c r="X48" s="56">
        <v>0</v>
      </c>
      <c r="Y48" s="56">
        <v>0</v>
      </c>
      <c r="Z48" s="56">
        <v>0</v>
      </c>
      <c r="AA48" s="56">
        <v>16.232150000000001</v>
      </c>
      <c r="AB48" s="56">
        <v>589.10500000000002</v>
      </c>
      <c r="AC48" s="56">
        <v>59.37585</v>
      </c>
      <c r="AD48" s="56">
        <v>53.295000000000002</v>
      </c>
      <c r="AE48" s="56">
        <v>1897.05935</v>
      </c>
      <c r="AF48" s="56">
        <v>17.809000000000001</v>
      </c>
      <c r="AG48" s="56">
        <v>6764.9648999999999</v>
      </c>
      <c r="AH48" s="56">
        <v>0</v>
      </c>
      <c r="AI48" s="56">
        <v>0</v>
      </c>
      <c r="AJ48" s="56">
        <v>10.375</v>
      </c>
      <c r="AK48" s="56">
        <v>0</v>
      </c>
      <c r="AL48" s="56">
        <v>0</v>
      </c>
      <c r="AM48" s="56">
        <v>0</v>
      </c>
      <c r="AN48" s="56">
        <v>0</v>
      </c>
      <c r="AO48" s="56">
        <v>1034.5</v>
      </c>
      <c r="AP48" s="56">
        <v>0</v>
      </c>
      <c r="AQ48" s="56">
        <v>330</v>
      </c>
      <c r="AR48" s="56">
        <v>291.39999999999998</v>
      </c>
      <c r="AS48" s="56">
        <v>971.25485000000003</v>
      </c>
      <c r="AT48" s="56">
        <v>0</v>
      </c>
      <c r="AU48" s="56">
        <v>0</v>
      </c>
      <c r="AV48" s="41">
        <f t="shared" si="0"/>
        <v>30885.055079999998</v>
      </c>
    </row>
    <row r="49" spans="1:48" s="16" customFormat="1" x14ac:dyDescent="0.25">
      <c r="A49" s="2" t="s">
        <v>68</v>
      </c>
      <c r="B49" s="40">
        <v>36.968300000000006</v>
      </c>
      <c r="C49" s="40">
        <v>610.44560000000001</v>
      </c>
      <c r="D49" s="40">
        <v>359.14134999999999</v>
      </c>
      <c r="E49" s="40">
        <v>0</v>
      </c>
      <c r="F49" s="40">
        <v>23.057749999999999</v>
      </c>
      <c r="G49" s="40">
        <v>194.40404999999998</v>
      </c>
      <c r="H49" s="40">
        <v>0</v>
      </c>
      <c r="I49" s="40">
        <v>19.880749999999999</v>
      </c>
      <c r="J49" s="40">
        <v>75.643950000000004</v>
      </c>
      <c r="K49" s="40">
        <v>14.620649999999999</v>
      </c>
      <c r="L49" s="40">
        <v>171.89760000000001</v>
      </c>
      <c r="M49" s="40">
        <v>269.44097999999997</v>
      </c>
      <c r="N49" s="40">
        <v>252.07747000000001</v>
      </c>
      <c r="O49" s="40">
        <v>74.493210000000005</v>
      </c>
      <c r="P49" s="40">
        <v>11.6999</v>
      </c>
      <c r="Q49" s="40">
        <v>4.5137499999999999</v>
      </c>
      <c r="R49" s="40">
        <v>26.972840000000001</v>
      </c>
      <c r="S49" s="40">
        <v>11.5444</v>
      </c>
      <c r="T49" s="40">
        <v>444.66284999999999</v>
      </c>
      <c r="U49" s="56">
        <v>25.957000000000001</v>
      </c>
      <c r="V49" s="56">
        <v>76.37360000000001</v>
      </c>
      <c r="W49" s="56">
        <v>0</v>
      </c>
      <c r="X49" s="56">
        <v>0</v>
      </c>
      <c r="Y49" s="56">
        <v>89.727809999999991</v>
      </c>
      <c r="Z49" s="56">
        <v>0</v>
      </c>
      <c r="AA49" s="56">
        <v>6.2140200000000005</v>
      </c>
      <c r="AB49" s="56">
        <v>85.215000000000003</v>
      </c>
      <c r="AC49" s="56">
        <v>0</v>
      </c>
      <c r="AD49" s="56">
        <v>13.620899999999999</v>
      </c>
      <c r="AE49" s="56">
        <v>507.24158</v>
      </c>
      <c r="AF49" s="56">
        <v>0</v>
      </c>
      <c r="AG49" s="56">
        <v>1192.3971299999998</v>
      </c>
      <c r="AH49" s="56">
        <v>0</v>
      </c>
      <c r="AI49" s="56">
        <v>0</v>
      </c>
      <c r="AJ49" s="56">
        <v>55.628</v>
      </c>
      <c r="AK49" s="56">
        <v>0</v>
      </c>
      <c r="AL49" s="56">
        <v>0</v>
      </c>
      <c r="AM49" s="56">
        <v>0</v>
      </c>
      <c r="AN49" s="56">
        <v>0</v>
      </c>
      <c r="AO49" s="56">
        <v>55.246400000000001</v>
      </c>
      <c r="AP49" s="56">
        <v>0</v>
      </c>
      <c r="AQ49" s="56">
        <v>16.854749999999999</v>
      </c>
      <c r="AR49" s="56">
        <v>8.1310000000000002</v>
      </c>
      <c r="AS49" s="56">
        <v>166.74100000000001</v>
      </c>
      <c r="AT49" s="56">
        <v>0</v>
      </c>
      <c r="AU49" s="56">
        <v>0</v>
      </c>
      <c r="AV49" s="41">
        <f t="shared" si="0"/>
        <v>4900.8135899999997</v>
      </c>
    </row>
    <row r="50" spans="1:48" s="16" customFormat="1" x14ac:dyDescent="0.25">
      <c r="A50" s="2" t="s">
        <v>69</v>
      </c>
      <c r="B50" s="40">
        <v>131.02500000000001</v>
      </c>
      <c r="C50" s="40">
        <v>4358.8104499999999</v>
      </c>
      <c r="D50" s="40">
        <v>2050.8560000000002</v>
      </c>
      <c r="E50" s="40">
        <v>0</v>
      </c>
      <c r="F50" s="40">
        <v>0</v>
      </c>
      <c r="G50" s="40">
        <v>1162.4923999999999</v>
      </c>
      <c r="H50" s="40">
        <v>0</v>
      </c>
      <c r="I50" s="40">
        <v>19.11355</v>
      </c>
      <c r="J50" s="40">
        <v>331.74466999999999</v>
      </c>
      <c r="K50" s="40">
        <v>73.262429999999995</v>
      </c>
      <c r="L50" s="40">
        <v>219.51194000000001</v>
      </c>
      <c r="M50" s="40">
        <v>1097.7543000000001</v>
      </c>
      <c r="N50" s="40">
        <v>695.72645</v>
      </c>
      <c r="O50" s="40">
        <v>274.85960999999998</v>
      </c>
      <c r="P50" s="40">
        <v>70.999639999999999</v>
      </c>
      <c r="Q50" s="40">
        <v>12.876749999999999</v>
      </c>
      <c r="R50" s="40">
        <v>73.35042</v>
      </c>
      <c r="S50" s="40">
        <v>46.788559999999997</v>
      </c>
      <c r="T50" s="40">
        <v>1567.7948000000001</v>
      </c>
      <c r="U50" s="56">
        <v>145.04086999999998</v>
      </c>
      <c r="V50" s="56">
        <v>343.54127</v>
      </c>
      <c r="W50" s="56">
        <v>0</v>
      </c>
      <c r="X50" s="56">
        <v>0</v>
      </c>
      <c r="Y50" s="56">
        <v>6.8308999999999997</v>
      </c>
      <c r="Z50" s="56">
        <v>0</v>
      </c>
      <c r="AA50" s="56">
        <v>0</v>
      </c>
      <c r="AB50" s="56">
        <v>234.87200000000001</v>
      </c>
      <c r="AC50" s="56">
        <v>69.82911</v>
      </c>
      <c r="AD50" s="56">
        <v>96.856200000000001</v>
      </c>
      <c r="AE50" s="56">
        <v>2335.2760099999996</v>
      </c>
      <c r="AF50" s="56">
        <v>13.015000000000001</v>
      </c>
      <c r="AG50" s="56">
        <v>5236.12565</v>
      </c>
      <c r="AH50" s="56">
        <v>0</v>
      </c>
      <c r="AI50" s="56">
        <v>0</v>
      </c>
      <c r="AJ50" s="56">
        <v>127.324</v>
      </c>
      <c r="AK50" s="56">
        <v>0</v>
      </c>
      <c r="AL50" s="56">
        <v>0</v>
      </c>
      <c r="AM50" s="56">
        <v>0</v>
      </c>
      <c r="AN50" s="56">
        <v>0</v>
      </c>
      <c r="AO50" s="56">
        <v>219.61367999999999</v>
      </c>
      <c r="AP50" s="56">
        <v>67</v>
      </c>
      <c r="AQ50" s="56">
        <v>47.189489999999999</v>
      </c>
      <c r="AR50" s="56">
        <v>116.80369999999999</v>
      </c>
      <c r="AS50" s="56">
        <v>561.85900000000004</v>
      </c>
      <c r="AT50" s="56">
        <v>0</v>
      </c>
      <c r="AU50" s="56">
        <v>0</v>
      </c>
      <c r="AV50" s="41">
        <f t="shared" si="0"/>
        <v>21808.14385</v>
      </c>
    </row>
    <row r="51" spans="1:48" s="16" customFormat="1" x14ac:dyDescent="0.25">
      <c r="A51" s="2" t="s">
        <v>12</v>
      </c>
      <c r="B51" s="40">
        <v>31.09</v>
      </c>
      <c r="C51" s="40">
        <v>320.35015000000004</v>
      </c>
      <c r="D51" s="40">
        <v>0</v>
      </c>
      <c r="E51" s="40">
        <v>0</v>
      </c>
      <c r="F51" s="40">
        <v>21.335049999999999</v>
      </c>
      <c r="G51" s="40">
        <v>67.058850000000007</v>
      </c>
      <c r="H51" s="40">
        <v>0</v>
      </c>
      <c r="I51" s="40">
        <v>0</v>
      </c>
      <c r="J51" s="40">
        <v>25.69632</v>
      </c>
      <c r="K51" s="40">
        <v>2.1036999999999999</v>
      </c>
      <c r="L51" s="40">
        <v>59.108499999999999</v>
      </c>
      <c r="M51" s="40">
        <v>277.51646999999997</v>
      </c>
      <c r="N51" s="40">
        <v>94.280079999999998</v>
      </c>
      <c r="O51" s="40">
        <v>13.401629999999999</v>
      </c>
      <c r="P51" s="40">
        <v>7.0286</v>
      </c>
      <c r="Q51" s="40">
        <v>3.24</v>
      </c>
      <c r="R51" s="40">
        <v>9.9048999999999996</v>
      </c>
      <c r="S51" s="40">
        <v>15.569700000000001</v>
      </c>
      <c r="T51" s="40">
        <v>142.06129999999999</v>
      </c>
      <c r="U51" s="56">
        <v>0</v>
      </c>
      <c r="V51" s="56">
        <v>91.82632000000001</v>
      </c>
      <c r="W51" s="56">
        <v>0</v>
      </c>
      <c r="X51" s="56">
        <v>0</v>
      </c>
      <c r="Y51" s="56">
        <v>0</v>
      </c>
      <c r="Z51" s="56">
        <v>0</v>
      </c>
      <c r="AA51" s="56">
        <v>0</v>
      </c>
      <c r="AB51" s="56">
        <v>47.040999999999997</v>
      </c>
      <c r="AC51" s="56">
        <v>1.31995</v>
      </c>
      <c r="AD51" s="56">
        <v>6.3461999999999996</v>
      </c>
      <c r="AE51" s="56">
        <v>535.75621999999998</v>
      </c>
      <c r="AF51" s="56">
        <v>152.87799999999999</v>
      </c>
      <c r="AG51" s="56">
        <v>971.14178000000004</v>
      </c>
      <c r="AH51" s="56">
        <v>0</v>
      </c>
      <c r="AI51" s="56">
        <v>0</v>
      </c>
      <c r="AJ51" s="56">
        <v>102.79385000000001</v>
      </c>
      <c r="AK51" s="56">
        <v>0</v>
      </c>
      <c r="AL51" s="56">
        <v>0</v>
      </c>
      <c r="AM51" s="56">
        <v>0</v>
      </c>
      <c r="AN51" s="56">
        <v>0</v>
      </c>
      <c r="AO51" s="56">
        <v>0</v>
      </c>
      <c r="AP51" s="56">
        <v>0</v>
      </c>
      <c r="AQ51" s="56">
        <v>12.6</v>
      </c>
      <c r="AR51" s="56">
        <v>0</v>
      </c>
      <c r="AS51" s="56">
        <v>0</v>
      </c>
      <c r="AT51" s="56">
        <v>0</v>
      </c>
      <c r="AU51" s="56">
        <v>0</v>
      </c>
      <c r="AV51" s="41">
        <f t="shared" si="0"/>
        <v>3011.44857</v>
      </c>
    </row>
    <row r="52" spans="1:48" s="16" customFormat="1" x14ac:dyDescent="0.25">
      <c r="A52" s="2" t="s">
        <v>70</v>
      </c>
      <c r="B52" s="40">
        <v>54.45</v>
      </c>
      <c r="C52" s="40">
        <v>730.04515000000004</v>
      </c>
      <c r="D52" s="40">
        <v>2.9185500000000002</v>
      </c>
      <c r="E52" s="40">
        <v>0</v>
      </c>
      <c r="F52" s="40">
        <v>0</v>
      </c>
      <c r="G52" s="40">
        <v>124.14155000000001</v>
      </c>
      <c r="H52" s="40">
        <v>0</v>
      </c>
      <c r="I52" s="40">
        <v>7.0121499999999992</v>
      </c>
      <c r="J52" s="40">
        <v>106.19686999999999</v>
      </c>
      <c r="K52" s="40">
        <v>29.752549999999999</v>
      </c>
      <c r="L52" s="40">
        <v>90.953550000000007</v>
      </c>
      <c r="M52" s="40">
        <v>507.59793999999999</v>
      </c>
      <c r="N52" s="40">
        <v>122.18247</v>
      </c>
      <c r="O52" s="40">
        <v>60.001800000000003</v>
      </c>
      <c r="P52" s="40">
        <v>27.3232</v>
      </c>
      <c r="Q52" s="40">
        <v>2.7089000000000003</v>
      </c>
      <c r="R52" s="40">
        <v>2.2099499999999996</v>
      </c>
      <c r="S52" s="40">
        <v>2.8838000000000004</v>
      </c>
      <c r="T52" s="40">
        <v>347.0788</v>
      </c>
      <c r="U52" s="56">
        <v>14.125</v>
      </c>
      <c r="V52" s="56">
        <v>72.987350000000006</v>
      </c>
      <c r="W52" s="56">
        <v>0</v>
      </c>
      <c r="X52" s="56">
        <v>0</v>
      </c>
      <c r="Y52" s="56">
        <v>0</v>
      </c>
      <c r="Z52" s="56">
        <v>0</v>
      </c>
      <c r="AA52" s="56">
        <v>0</v>
      </c>
      <c r="AB52" s="56">
        <v>69.254999999999995</v>
      </c>
      <c r="AC52" s="56">
        <v>17.531410000000001</v>
      </c>
      <c r="AD52" s="56">
        <v>12.540799999999999</v>
      </c>
      <c r="AE52" s="56">
        <v>1776.5559599999999</v>
      </c>
      <c r="AF52" s="56">
        <v>6.6609999999999996</v>
      </c>
      <c r="AG52" s="56">
        <v>2160.1960099999997</v>
      </c>
      <c r="AH52" s="56">
        <v>0</v>
      </c>
      <c r="AI52" s="56">
        <v>0</v>
      </c>
      <c r="AJ52" s="56">
        <v>51.232699999999994</v>
      </c>
      <c r="AK52" s="56">
        <v>0</v>
      </c>
      <c r="AL52" s="56">
        <v>0</v>
      </c>
      <c r="AM52" s="56">
        <v>0</v>
      </c>
      <c r="AN52" s="56">
        <v>0</v>
      </c>
      <c r="AO52" s="56">
        <v>13</v>
      </c>
      <c r="AP52" s="56">
        <v>0</v>
      </c>
      <c r="AQ52" s="56">
        <v>11</v>
      </c>
      <c r="AR52" s="56">
        <v>17.97</v>
      </c>
      <c r="AS52" s="56">
        <v>203.36370000000002</v>
      </c>
      <c r="AT52" s="56">
        <v>0</v>
      </c>
      <c r="AU52" s="56">
        <v>0</v>
      </c>
      <c r="AV52" s="41">
        <f t="shared" si="0"/>
        <v>6643.8761599999998</v>
      </c>
    </row>
    <row r="53" spans="1:48" s="16" customFormat="1" x14ac:dyDescent="0.25">
      <c r="A53" s="2" t="s">
        <v>71</v>
      </c>
      <c r="B53" s="40">
        <v>39.902999999999999</v>
      </c>
      <c r="C53" s="40">
        <v>219.1584</v>
      </c>
      <c r="D53" s="40">
        <v>0</v>
      </c>
      <c r="E53" s="40">
        <v>0</v>
      </c>
      <c r="F53" s="40">
        <v>0</v>
      </c>
      <c r="G53" s="40">
        <v>53.807600000000001</v>
      </c>
      <c r="H53" s="40">
        <v>0</v>
      </c>
      <c r="I53" s="40">
        <v>0.1</v>
      </c>
      <c r="J53" s="40">
        <v>27.554939999999998</v>
      </c>
      <c r="K53" s="40">
        <v>21.947749999999999</v>
      </c>
      <c r="L53" s="40">
        <v>20.91255</v>
      </c>
      <c r="M53" s="40">
        <v>150.50097</v>
      </c>
      <c r="N53" s="40">
        <v>216.87078</v>
      </c>
      <c r="O53" s="40">
        <v>33.639789999999998</v>
      </c>
      <c r="P53" s="40">
        <v>22</v>
      </c>
      <c r="Q53" s="40">
        <v>0</v>
      </c>
      <c r="R53" s="40">
        <v>100</v>
      </c>
      <c r="S53" s="40">
        <v>25.984360000000002</v>
      </c>
      <c r="T53" s="40">
        <v>76.970600000000005</v>
      </c>
      <c r="U53" s="56">
        <v>4.93825</v>
      </c>
      <c r="V53" s="56">
        <v>64.857709999999997</v>
      </c>
      <c r="W53" s="56">
        <v>0</v>
      </c>
      <c r="X53" s="56">
        <v>0</v>
      </c>
      <c r="Y53" s="56">
        <v>0</v>
      </c>
      <c r="Z53" s="56">
        <v>0</v>
      </c>
      <c r="AA53" s="56">
        <v>2.1153499999999998</v>
      </c>
      <c r="AB53" s="56">
        <v>36.53</v>
      </c>
      <c r="AC53" s="56">
        <v>0.68149999999999999</v>
      </c>
      <c r="AD53" s="56">
        <v>23.46658</v>
      </c>
      <c r="AE53" s="56">
        <v>401.97169000000002</v>
      </c>
      <c r="AF53" s="56">
        <v>0</v>
      </c>
      <c r="AG53" s="56">
        <v>307.72156999999999</v>
      </c>
      <c r="AH53" s="56">
        <v>0</v>
      </c>
      <c r="AI53" s="56">
        <v>0</v>
      </c>
      <c r="AJ53" s="56">
        <v>5.8527500000000003</v>
      </c>
      <c r="AK53" s="56">
        <v>0</v>
      </c>
      <c r="AL53" s="56">
        <v>0</v>
      </c>
      <c r="AM53" s="56">
        <v>0</v>
      </c>
      <c r="AN53" s="56">
        <v>0</v>
      </c>
      <c r="AO53" s="56">
        <v>27</v>
      </c>
      <c r="AP53" s="56">
        <v>0</v>
      </c>
      <c r="AQ53" s="56">
        <v>0</v>
      </c>
      <c r="AR53" s="56">
        <v>42.03342</v>
      </c>
      <c r="AS53" s="56">
        <v>9.5162999999999993</v>
      </c>
      <c r="AT53" s="56">
        <v>0</v>
      </c>
      <c r="AU53" s="56">
        <v>0</v>
      </c>
      <c r="AV53" s="41">
        <f t="shared" si="0"/>
        <v>1936.0358599999997</v>
      </c>
    </row>
    <row r="54" spans="1:48" s="16" customFormat="1" x14ac:dyDescent="0.25">
      <c r="A54" s="2" t="s">
        <v>72</v>
      </c>
      <c r="B54" s="40">
        <v>91.289600000000007</v>
      </c>
      <c r="C54" s="40">
        <v>2527.4309500000004</v>
      </c>
      <c r="D54" s="40">
        <v>1110.23595</v>
      </c>
      <c r="E54" s="40">
        <v>23.785250000000001</v>
      </c>
      <c r="F54" s="40">
        <v>0.94014999999999993</v>
      </c>
      <c r="G54" s="40">
        <v>753.30919999999992</v>
      </c>
      <c r="H54" s="40">
        <v>0</v>
      </c>
      <c r="I54" s="40">
        <v>2.3025000000000002</v>
      </c>
      <c r="J54" s="40">
        <v>179.44179</v>
      </c>
      <c r="K54" s="40">
        <v>91.509399999999999</v>
      </c>
      <c r="L54" s="40">
        <v>246.66775000000001</v>
      </c>
      <c r="M54" s="40">
        <v>529.18191000000002</v>
      </c>
      <c r="N54" s="40">
        <v>394.75963999999999</v>
      </c>
      <c r="O54" s="40">
        <v>129.73629</v>
      </c>
      <c r="P54" s="40">
        <v>96.251149999999996</v>
      </c>
      <c r="Q54" s="40">
        <v>2.0430000000000001</v>
      </c>
      <c r="R54" s="40">
        <v>71.399770000000004</v>
      </c>
      <c r="S54" s="40">
        <v>46.432400000000001</v>
      </c>
      <c r="T54" s="40">
        <v>453.85700000000003</v>
      </c>
      <c r="U54" s="56">
        <v>65.182000000000002</v>
      </c>
      <c r="V54" s="56">
        <v>231.84338</v>
      </c>
      <c r="W54" s="56">
        <v>0</v>
      </c>
      <c r="X54" s="56">
        <v>0</v>
      </c>
      <c r="Y54" s="56">
        <v>0</v>
      </c>
      <c r="Z54" s="56">
        <v>0</v>
      </c>
      <c r="AA54" s="56">
        <v>35.891510000000004</v>
      </c>
      <c r="AB54" s="56">
        <v>91.266000000000005</v>
      </c>
      <c r="AC54" s="56">
        <v>119.53453</v>
      </c>
      <c r="AD54" s="56">
        <v>28.24933</v>
      </c>
      <c r="AE54" s="56">
        <v>725.72493000000009</v>
      </c>
      <c r="AF54" s="56">
        <v>5.29</v>
      </c>
      <c r="AG54" s="56">
        <v>2348.7003999999997</v>
      </c>
      <c r="AH54" s="56">
        <v>0</v>
      </c>
      <c r="AI54" s="56">
        <v>0</v>
      </c>
      <c r="AJ54" s="56">
        <v>137.94499999999999</v>
      </c>
      <c r="AK54" s="56">
        <v>0</v>
      </c>
      <c r="AL54" s="56">
        <v>0</v>
      </c>
      <c r="AM54" s="56">
        <v>0</v>
      </c>
      <c r="AN54" s="56">
        <v>0</v>
      </c>
      <c r="AO54" s="56">
        <v>93.5</v>
      </c>
      <c r="AP54" s="56">
        <v>0</v>
      </c>
      <c r="AQ54" s="56">
        <v>17</v>
      </c>
      <c r="AR54" s="56">
        <v>92.7</v>
      </c>
      <c r="AS54" s="56">
        <v>283.923</v>
      </c>
      <c r="AT54" s="56">
        <v>0</v>
      </c>
      <c r="AU54" s="56">
        <v>0</v>
      </c>
      <c r="AV54" s="41">
        <f t="shared" si="0"/>
        <v>11027.323780000001</v>
      </c>
    </row>
    <row r="55" spans="1:48" s="16" customFormat="1" x14ac:dyDescent="0.25">
      <c r="A55" s="2" t="s">
        <v>13</v>
      </c>
      <c r="B55" s="40">
        <v>48.953499999999998</v>
      </c>
      <c r="C55" s="40">
        <v>895.69090000000006</v>
      </c>
      <c r="D55" s="40">
        <v>753.06600000000003</v>
      </c>
      <c r="E55" s="40">
        <v>0</v>
      </c>
      <c r="F55" s="40">
        <v>17.7</v>
      </c>
      <c r="G55" s="40">
        <v>367.05925000000002</v>
      </c>
      <c r="H55" s="40">
        <v>0</v>
      </c>
      <c r="I55" s="40">
        <v>8.17</v>
      </c>
      <c r="J55" s="40">
        <v>84.223950000000002</v>
      </c>
      <c r="K55" s="40">
        <v>13.950200000000001</v>
      </c>
      <c r="L55" s="40">
        <v>143.26495</v>
      </c>
      <c r="M55" s="40">
        <v>266.77136999999999</v>
      </c>
      <c r="N55" s="40">
        <v>193.84560999999999</v>
      </c>
      <c r="O55" s="40">
        <v>66.379360000000005</v>
      </c>
      <c r="P55" s="40">
        <v>4.5842000000000001</v>
      </c>
      <c r="Q55" s="40">
        <v>9.1582500000000007</v>
      </c>
      <c r="R55" s="40">
        <v>51.057749999999999</v>
      </c>
      <c r="S55" s="40">
        <v>0.8</v>
      </c>
      <c r="T55" s="40">
        <v>487.97465</v>
      </c>
      <c r="U55" s="56">
        <v>0.62120000000000009</v>
      </c>
      <c r="V55" s="56">
        <v>164.45201</v>
      </c>
      <c r="W55" s="56">
        <v>0</v>
      </c>
      <c r="X55" s="56">
        <v>0</v>
      </c>
      <c r="Y55" s="56">
        <v>0</v>
      </c>
      <c r="Z55" s="56">
        <v>0</v>
      </c>
      <c r="AA55" s="56">
        <v>5.3204399999999996</v>
      </c>
      <c r="AB55" s="56">
        <v>69.772999999999996</v>
      </c>
      <c r="AC55" s="56">
        <v>46.518509999999999</v>
      </c>
      <c r="AD55" s="56">
        <v>27.968299999999999</v>
      </c>
      <c r="AE55" s="56">
        <v>534.27324999999996</v>
      </c>
      <c r="AF55" s="56">
        <v>2.581</v>
      </c>
      <c r="AG55" s="56">
        <v>1482.79721</v>
      </c>
      <c r="AH55" s="56">
        <v>0</v>
      </c>
      <c r="AI55" s="56">
        <v>0</v>
      </c>
      <c r="AJ55" s="56">
        <v>29.5078</v>
      </c>
      <c r="AK55" s="56">
        <v>0</v>
      </c>
      <c r="AL55" s="56">
        <v>0</v>
      </c>
      <c r="AM55" s="56">
        <v>0</v>
      </c>
      <c r="AN55" s="56">
        <v>0</v>
      </c>
      <c r="AO55" s="56">
        <v>22</v>
      </c>
      <c r="AP55" s="56">
        <v>0</v>
      </c>
      <c r="AQ55" s="56">
        <v>1.2</v>
      </c>
      <c r="AR55" s="56">
        <v>0</v>
      </c>
      <c r="AS55" s="56">
        <v>6.21875</v>
      </c>
      <c r="AT55" s="56">
        <v>0</v>
      </c>
      <c r="AU55" s="56">
        <v>21</v>
      </c>
      <c r="AV55" s="41">
        <f t="shared" si="0"/>
        <v>5826.88141</v>
      </c>
    </row>
    <row r="56" spans="1:48" s="16" customFormat="1" x14ac:dyDescent="0.25">
      <c r="A56" s="2" t="s">
        <v>26</v>
      </c>
      <c r="B56" s="40">
        <v>46.212499999999999</v>
      </c>
      <c r="C56" s="40">
        <v>674.82574999999997</v>
      </c>
      <c r="D56" s="40">
        <v>241.11415</v>
      </c>
      <c r="E56" s="40">
        <v>0</v>
      </c>
      <c r="F56" s="40">
        <v>7.5696000000000003</v>
      </c>
      <c r="G56" s="40">
        <v>217.93460000000002</v>
      </c>
      <c r="H56" s="40">
        <v>0</v>
      </c>
      <c r="I56" s="40">
        <v>1.335</v>
      </c>
      <c r="J56" s="40">
        <v>273.01215000000002</v>
      </c>
      <c r="K56" s="40">
        <v>16.178129999999999</v>
      </c>
      <c r="L56" s="40">
        <v>85.502250000000004</v>
      </c>
      <c r="M56" s="40">
        <v>350.63933000000003</v>
      </c>
      <c r="N56" s="40">
        <v>344.6995</v>
      </c>
      <c r="O56" s="40">
        <v>48.737439999999999</v>
      </c>
      <c r="P56" s="40">
        <v>31.59235</v>
      </c>
      <c r="Q56" s="40">
        <v>7.5406000000000004</v>
      </c>
      <c r="R56" s="40">
        <v>0.10195</v>
      </c>
      <c r="S56" s="40">
        <v>0</v>
      </c>
      <c r="T56" s="40">
        <v>146.36876999999998</v>
      </c>
      <c r="U56" s="56">
        <v>0</v>
      </c>
      <c r="V56" s="56">
        <v>59.712160000000004</v>
      </c>
      <c r="W56" s="56">
        <v>0</v>
      </c>
      <c r="X56" s="56">
        <v>0</v>
      </c>
      <c r="Y56" s="56">
        <v>0</v>
      </c>
      <c r="Z56" s="56">
        <v>0</v>
      </c>
      <c r="AA56" s="56">
        <v>4.5836099999999993</v>
      </c>
      <c r="AB56" s="56">
        <v>137.245</v>
      </c>
      <c r="AC56" s="56">
        <v>6.0122</v>
      </c>
      <c r="AD56" s="56">
        <v>29.5487</v>
      </c>
      <c r="AE56" s="56">
        <v>268.54076000000003</v>
      </c>
      <c r="AF56" s="56">
        <v>0</v>
      </c>
      <c r="AG56" s="56">
        <v>651.22802999999999</v>
      </c>
      <c r="AH56" s="56">
        <v>0</v>
      </c>
      <c r="AI56" s="56">
        <v>0</v>
      </c>
      <c r="AJ56" s="56">
        <v>100.81105000000001</v>
      </c>
      <c r="AK56" s="56">
        <v>0</v>
      </c>
      <c r="AL56" s="56">
        <v>0</v>
      </c>
      <c r="AM56" s="56">
        <v>0</v>
      </c>
      <c r="AN56" s="56">
        <v>0</v>
      </c>
      <c r="AO56" s="56">
        <v>56</v>
      </c>
      <c r="AP56" s="56">
        <v>0</v>
      </c>
      <c r="AQ56" s="56">
        <v>0</v>
      </c>
      <c r="AR56" s="56">
        <v>11.7</v>
      </c>
      <c r="AS56" s="56">
        <v>0</v>
      </c>
      <c r="AT56" s="56">
        <v>0</v>
      </c>
      <c r="AU56" s="56">
        <v>0</v>
      </c>
      <c r="AV56" s="41">
        <f t="shared" si="0"/>
        <v>3818.7455799999993</v>
      </c>
    </row>
    <row r="57" spans="1:48" s="16" customFormat="1" ht="12.75" customHeight="1" x14ac:dyDescent="0.25">
      <c r="A57" s="2" t="s">
        <v>73</v>
      </c>
      <c r="B57" s="40">
        <v>5.0599999999999996</v>
      </c>
      <c r="C57" s="40">
        <v>44.768900000000002</v>
      </c>
      <c r="D57" s="40">
        <v>0</v>
      </c>
      <c r="E57" s="40">
        <v>0</v>
      </c>
      <c r="F57" s="40">
        <v>0</v>
      </c>
      <c r="G57" s="40">
        <v>7.7181999999999995</v>
      </c>
      <c r="H57" s="40">
        <v>0</v>
      </c>
      <c r="I57" s="40">
        <v>0.3</v>
      </c>
      <c r="J57" s="40">
        <v>2.33175</v>
      </c>
      <c r="K57" s="40">
        <v>2.9843000000000002</v>
      </c>
      <c r="L57" s="40">
        <v>4.2568000000000001</v>
      </c>
      <c r="M57" s="40">
        <v>13.54055</v>
      </c>
      <c r="N57" s="40">
        <v>35.823949999999996</v>
      </c>
      <c r="O57" s="40">
        <v>2.7576000000000001</v>
      </c>
      <c r="P57" s="40">
        <v>0</v>
      </c>
      <c r="Q57" s="40">
        <v>0.24265</v>
      </c>
      <c r="R57" s="40">
        <v>6.5272500000000004</v>
      </c>
      <c r="S57" s="40">
        <v>7.1106499999999997</v>
      </c>
      <c r="T57" s="40">
        <v>14.198</v>
      </c>
      <c r="U57" s="56">
        <v>0</v>
      </c>
      <c r="V57" s="56">
        <v>11.56283</v>
      </c>
      <c r="W57" s="56">
        <v>0</v>
      </c>
      <c r="X57" s="56">
        <v>0</v>
      </c>
      <c r="Y57" s="56">
        <v>0.8052999999999999</v>
      </c>
      <c r="Z57" s="56">
        <v>0</v>
      </c>
      <c r="AA57" s="56">
        <v>0</v>
      </c>
      <c r="AB57" s="56">
        <v>14.353</v>
      </c>
      <c r="AC57" s="56">
        <v>4.7066999999999997</v>
      </c>
      <c r="AD57" s="56">
        <v>0.2</v>
      </c>
      <c r="AE57" s="56">
        <v>13.09905</v>
      </c>
      <c r="AF57" s="56">
        <v>0.20899999999999999</v>
      </c>
      <c r="AG57" s="56">
        <v>80.161289999999994</v>
      </c>
      <c r="AH57" s="56">
        <v>0</v>
      </c>
      <c r="AI57" s="56">
        <v>0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41">
        <f t="shared" si="0"/>
        <v>272.71776999999997</v>
      </c>
    </row>
    <row r="58" spans="1:48" s="16" customFormat="1" x14ac:dyDescent="0.25">
      <c r="A58" s="2" t="s">
        <v>14</v>
      </c>
      <c r="B58" s="40">
        <v>477.1807</v>
      </c>
      <c r="C58" s="40">
        <v>21521.797129999999</v>
      </c>
      <c r="D58" s="40">
        <v>6102.7597500000002</v>
      </c>
      <c r="E58" s="40">
        <v>0</v>
      </c>
      <c r="F58" s="40">
        <v>259.03370000000001</v>
      </c>
      <c r="G58" s="40">
        <v>5486.0539500000004</v>
      </c>
      <c r="H58" s="40">
        <v>304.53479999999996</v>
      </c>
      <c r="I58" s="40">
        <v>330.14610999999996</v>
      </c>
      <c r="J58" s="40">
        <v>1685.07203</v>
      </c>
      <c r="K58" s="40">
        <v>261.27296000000001</v>
      </c>
      <c r="L58" s="40">
        <v>1951.6626799999999</v>
      </c>
      <c r="M58" s="40">
        <v>3768.1772099999998</v>
      </c>
      <c r="N58" s="40">
        <v>2435.6463900000003</v>
      </c>
      <c r="O58" s="40">
        <v>903.07854000000009</v>
      </c>
      <c r="P58" s="40">
        <v>328.80518000000001</v>
      </c>
      <c r="Q58" s="40">
        <v>4.6329500000000001</v>
      </c>
      <c r="R58" s="40">
        <v>578.48271999999997</v>
      </c>
      <c r="S58" s="40">
        <v>21.228150000000003</v>
      </c>
      <c r="T58" s="40">
        <v>4609.1738399999995</v>
      </c>
      <c r="U58" s="56">
        <v>632.45140000000004</v>
      </c>
      <c r="V58" s="56">
        <v>1837.7402500000001</v>
      </c>
      <c r="W58" s="56">
        <v>0</v>
      </c>
      <c r="X58" s="56">
        <v>0</v>
      </c>
      <c r="Y58" s="56">
        <v>0</v>
      </c>
      <c r="Z58" s="56">
        <v>0</v>
      </c>
      <c r="AA58" s="56">
        <v>0</v>
      </c>
      <c r="AB58" s="56">
        <v>1016.331</v>
      </c>
      <c r="AC58" s="56">
        <v>105.60513</v>
      </c>
      <c r="AD58" s="56">
        <v>211.79229999999998</v>
      </c>
      <c r="AE58" s="56">
        <v>4030.9709600000001</v>
      </c>
      <c r="AF58" s="56">
        <v>46.296999999999997</v>
      </c>
      <c r="AG58" s="56">
        <v>20916.65336</v>
      </c>
      <c r="AH58" s="56">
        <v>0</v>
      </c>
      <c r="AI58" s="56">
        <v>0</v>
      </c>
      <c r="AJ58" s="56">
        <v>624.96500000000003</v>
      </c>
      <c r="AK58" s="56">
        <v>0</v>
      </c>
      <c r="AL58" s="56">
        <v>0</v>
      </c>
      <c r="AM58" s="56">
        <v>0</v>
      </c>
      <c r="AN58" s="56">
        <v>0</v>
      </c>
      <c r="AO58" s="56">
        <v>1180.2</v>
      </c>
      <c r="AP58" s="56">
        <v>777.51099999999997</v>
      </c>
      <c r="AQ58" s="56">
        <v>528.47752000000003</v>
      </c>
      <c r="AR58" s="56">
        <v>168.6</v>
      </c>
      <c r="AS58" s="56">
        <v>1220.4000000000001</v>
      </c>
      <c r="AT58" s="56">
        <v>0</v>
      </c>
      <c r="AU58" s="56">
        <v>0</v>
      </c>
      <c r="AV58" s="41">
        <f t="shared" si="0"/>
        <v>84326.733710000015</v>
      </c>
    </row>
    <row r="59" spans="1:48" s="16" customFormat="1" x14ac:dyDescent="0.25">
      <c r="A59" s="2" t="s">
        <v>28</v>
      </c>
      <c r="B59" s="40">
        <v>136.08935</v>
      </c>
      <c r="C59" s="40">
        <v>5525.4986399999998</v>
      </c>
      <c r="D59" s="40">
        <v>2695.1094500000004</v>
      </c>
      <c r="E59" s="40">
        <v>0</v>
      </c>
      <c r="F59" s="40">
        <v>26.930150000000001</v>
      </c>
      <c r="G59" s="40">
        <v>1522.1066499999999</v>
      </c>
      <c r="H59" s="40">
        <v>0</v>
      </c>
      <c r="I59" s="40">
        <v>32.956050000000005</v>
      </c>
      <c r="J59" s="40">
        <v>527.57713999999999</v>
      </c>
      <c r="K59" s="40">
        <v>155.35782999999998</v>
      </c>
      <c r="L59" s="40">
        <v>406.69966999999997</v>
      </c>
      <c r="M59" s="40">
        <v>2523.8055299999996</v>
      </c>
      <c r="N59" s="40">
        <v>811.78503000000001</v>
      </c>
      <c r="O59" s="40">
        <v>173.91710999999998</v>
      </c>
      <c r="P59" s="40">
        <v>134.87013000000002</v>
      </c>
      <c r="Q59" s="40">
        <v>11.270700000000001</v>
      </c>
      <c r="R59" s="40">
        <v>208.78845000000001</v>
      </c>
      <c r="S59" s="40">
        <v>1.5051600000000001</v>
      </c>
      <c r="T59" s="40">
        <v>1011.235</v>
      </c>
      <c r="U59" s="56">
        <v>199.58635000000001</v>
      </c>
      <c r="V59" s="56">
        <v>425.78894000000003</v>
      </c>
      <c r="W59" s="56">
        <v>0</v>
      </c>
      <c r="X59" s="56">
        <v>3.85216</v>
      </c>
      <c r="Y59" s="56">
        <v>171.61466000000001</v>
      </c>
      <c r="Z59" s="56">
        <v>0</v>
      </c>
      <c r="AA59" s="56">
        <v>18.323240000000002</v>
      </c>
      <c r="AB59" s="56">
        <v>300.59800000000001</v>
      </c>
      <c r="AC59" s="56">
        <v>135.14722</v>
      </c>
      <c r="AD59" s="56">
        <v>77.364199999999997</v>
      </c>
      <c r="AE59" s="56">
        <v>1470.3088</v>
      </c>
      <c r="AF59" s="56">
        <v>17.716999999999999</v>
      </c>
      <c r="AG59" s="56">
        <v>7521.6467999999995</v>
      </c>
      <c r="AH59" s="56">
        <v>0</v>
      </c>
      <c r="AI59" s="56">
        <v>0</v>
      </c>
      <c r="AJ59" s="56">
        <v>396.80200000000002</v>
      </c>
      <c r="AK59" s="56">
        <v>0</v>
      </c>
      <c r="AL59" s="56">
        <v>282.81720000000001</v>
      </c>
      <c r="AM59" s="56">
        <v>0</v>
      </c>
      <c r="AN59" s="56">
        <v>0</v>
      </c>
      <c r="AO59" s="56">
        <v>568.28334999999993</v>
      </c>
      <c r="AP59" s="56">
        <v>0</v>
      </c>
      <c r="AQ59" s="56">
        <v>22.009450000000001</v>
      </c>
      <c r="AR59" s="56">
        <v>34.484250000000003</v>
      </c>
      <c r="AS59" s="56">
        <v>104.285</v>
      </c>
      <c r="AT59" s="56">
        <v>0</v>
      </c>
      <c r="AU59" s="56">
        <v>0</v>
      </c>
      <c r="AV59" s="41">
        <f t="shared" si="0"/>
        <v>27656.130660000003</v>
      </c>
    </row>
    <row r="60" spans="1:48" s="16" customFormat="1" x14ac:dyDescent="0.25">
      <c r="A60" s="2" t="s">
        <v>29</v>
      </c>
      <c r="B60" s="40">
        <v>1265.8326499999998</v>
      </c>
      <c r="C60" s="40">
        <v>104096.52800000001</v>
      </c>
      <c r="D60" s="40">
        <v>22725.808649999999</v>
      </c>
      <c r="E60" s="40">
        <v>0</v>
      </c>
      <c r="F60" s="40">
        <v>1619.8411000000001</v>
      </c>
      <c r="G60" s="40">
        <v>25645.2042</v>
      </c>
      <c r="H60" s="40">
        <v>465.44125000000003</v>
      </c>
      <c r="I60" s="40">
        <v>930.41543000000001</v>
      </c>
      <c r="J60" s="40">
        <v>10050.47185</v>
      </c>
      <c r="K60" s="40">
        <v>3106.9695899999997</v>
      </c>
      <c r="L60" s="40">
        <v>12468.95406</v>
      </c>
      <c r="M60" s="40">
        <v>29284.075530000002</v>
      </c>
      <c r="N60" s="40">
        <v>16711.38481</v>
      </c>
      <c r="O60" s="40">
        <v>2895.9506900000001</v>
      </c>
      <c r="P60" s="40">
        <v>5797.0642400000006</v>
      </c>
      <c r="Q60" s="40">
        <v>111.89113</v>
      </c>
      <c r="R60" s="40">
        <v>6049.1176999999998</v>
      </c>
      <c r="S60" s="40">
        <v>1713.66155</v>
      </c>
      <c r="T60" s="40">
        <v>17796.692370000001</v>
      </c>
      <c r="U60" s="56">
        <v>640.75788</v>
      </c>
      <c r="V60" s="56">
        <v>11502.279259999999</v>
      </c>
      <c r="W60" s="56">
        <v>2.0187400000000002</v>
      </c>
      <c r="X60" s="56">
        <v>527.97160999999994</v>
      </c>
      <c r="Y60" s="56">
        <v>2335.54405</v>
      </c>
      <c r="Z60" s="56">
        <v>0</v>
      </c>
      <c r="AA60" s="56">
        <v>495.86421000000001</v>
      </c>
      <c r="AB60" s="56">
        <v>2620.4349999999999</v>
      </c>
      <c r="AC60" s="56">
        <v>6.95146</v>
      </c>
      <c r="AD60" s="56">
        <v>1772.5381499999999</v>
      </c>
      <c r="AE60" s="56">
        <v>24334.83857</v>
      </c>
      <c r="AF60" s="56">
        <v>30980.632000000001</v>
      </c>
      <c r="AG60" s="56">
        <v>141618.40846000001</v>
      </c>
      <c r="AH60" s="56">
        <v>0</v>
      </c>
      <c r="AI60" s="56">
        <v>0</v>
      </c>
      <c r="AJ60" s="56">
        <v>2217.8142799999996</v>
      </c>
      <c r="AK60" s="56">
        <v>0</v>
      </c>
      <c r="AL60" s="56">
        <v>0</v>
      </c>
      <c r="AM60" s="56">
        <v>0</v>
      </c>
      <c r="AN60" s="56">
        <v>0</v>
      </c>
      <c r="AO60" s="56">
        <v>2104.1000099999997</v>
      </c>
      <c r="AP60" s="56">
        <v>36.654919999999997</v>
      </c>
      <c r="AQ60" s="56">
        <v>229.68782000000002</v>
      </c>
      <c r="AR60" s="56">
        <v>53.420449999999995</v>
      </c>
      <c r="AS60" s="56">
        <v>789.1</v>
      </c>
      <c r="AT60" s="56">
        <v>0</v>
      </c>
      <c r="AU60" s="56">
        <v>127.27472999999999</v>
      </c>
      <c r="AV60" s="41">
        <f t="shared" si="0"/>
        <v>485131.59639999998</v>
      </c>
    </row>
    <row r="61" spans="1:48" s="16" customFormat="1" x14ac:dyDescent="0.25">
      <c r="A61" s="2" t="s">
        <v>74</v>
      </c>
      <c r="B61" s="40">
        <v>34.283000000000001</v>
      </c>
      <c r="C61" s="40">
        <v>1054.47705</v>
      </c>
      <c r="D61" s="40">
        <v>665.54230000000007</v>
      </c>
      <c r="E61" s="40">
        <v>0</v>
      </c>
      <c r="F61" s="40">
        <v>0.2</v>
      </c>
      <c r="G61" s="40">
        <v>377.65042999999997</v>
      </c>
      <c r="H61" s="40">
        <v>0</v>
      </c>
      <c r="I61" s="40">
        <v>3.6104499999999997</v>
      </c>
      <c r="J61" s="40">
        <v>120.18678999999999</v>
      </c>
      <c r="K61" s="40">
        <v>54.300739999999998</v>
      </c>
      <c r="L61" s="40">
        <v>88.834130000000002</v>
      </c>
      <c r="M61" s="40">
        <v>401.35649999999998</v>
      </c>
      <c r="N61" s="40">
        <v>225.51469</v>
      </c>
      <c r="O61" s="40">
        <v>19.404259999999997</v>
      </c>
      <c r="P61" s="40">
        <v>37.388949999999994</v>
      </c>
      <c r="Q61" s="40">
        <v>3.8266</v>
      </c>
      <c r="R61" s="40">
        <v>344.47159999999997</v>
      </c>
      <c r="S61" s="40">
        <v>15.73785</v>
      </c>
      <c r="T61" s="40">
        <v>395.80599999999998</v>
      </c>
      <c r="U61" s="56">
        <v>134.99700000000001</v>
      </c>
      <c r="V61" s="56">
        <v>187.60065</v>
      </c>
      <c r="W61" s="56">
        <v>0</v>
      </c>
      <c r="X61" s="56">
        <v>0</v>
      </c>
      <c r="Y61" s="56">
        <v>0</v>
      </c>
      <c r="Z61" s="56">
        <v>0</v>
      </c>
      <c r="AA61" s="56">
        <v>3.9140199999999998</v>
      </c>
      <c r="AB61" s="56">
        <v>64.11</v>
      </c>
      <c r="AC61" s="56">
        <v>55.212480000000006</v>
      </c>
      <c r="AD61" s="56">
        <v>43.906500000000001</v>
      </c>
      <c r="AE61" s="56">
        <v>702.08627000000001</v>
      </c>
      <c r="AF61" s="56">
        <v>4.0999999999999996</v>
      </c>
      <c r="AG61" s="56">
        <v>1529.4623000000001</v>
      </c>
      <c r="AH61" s="56">
        <v>0</v>
      </c>
      <c r="AI61" s="56">
        <v>0</v>
      </c>
      <c r="AJ61" s="56">
        <v>98.852999999999994</v>
      </c>
      <c r="AK61" s="56">
        <v>0</v>
      </c>
      <c r="AL61" s="56">
        <v>0</v>
      </c>
      <c r="AM61" s="56">
        <v>0</v>
      </c>
      <c r="AN61" s="56">
        <v>0</v>
      </c>
      <c r="AO61" s="56">
        <v>71.5</v>
      </c>
      <c r="AP61" s="56">
        <v>0</v>
      </c>
      <c r="AQ61" s="56">
        <v>59.741999999999997</v>
      </c>
      <c r="AR61" s="56">
        <v>46.698500000000003</v>
      </c>
      <c r="AS61" s="56">
        <v>131.90600000000001</v>
      </c>
      <c r="AT61" s="56">
        <v>37.307300000000005</v>
      </c>
      <c r="AU61" s="56">
        <v>0</v>
      </c>
      <c r="AV61" s="41">
        <f t="shared" si="0"/>
        <v>7013.987360000001</v>
      </c>
    </row>
    <row r="62" spans="1:48" s="16" customFormat="1" x14ac:dyDescent="0.25">
      <c r="A62" s="2" t="s">
        <v>75</v>
      </c>
      <c r="B62" s="40">
        <v>111.06</v>
      </c>
      <c r="C62" s="40">
        <v>2013.2211000000002</v>
      </c>
      <c r="D62" s="40">
        <v>397.1037</v>
      </c>
      <c r="E62" s="40">
        <v>3.0385</v>
      </c>
      <c r="F62" s="40">
        <v>0</v>
      </c>
      <c r="G62" s="40">
        <v>534.36709999999994</v>
      </c>
      <c r="H62" s="40">
        <v>0.19644999999999999</v>
      </c>
      <c r="I62" s="40">
        <v>19.039549999999998</v>
      </c>
      <c r="J62" s="40">
        <v>143.13173</v>
      </c>
      <c r="K62" s="40">
        <v>36.085610000000003</v>
      </c>
      <c r="L62" s="40">
        <v>191.87786</v>
      </c>
      <c r="M62" s="40">
        <v>527.37651000000005</v>
      </c>
      <c r="N62" s="40">
        <v>771.61447999999996</v>
      </c>
      <c r="O62" s="40">
        <v>148.17417</v>
      </c>
      <c r="P62" s="40">
        <v>37.311540000000001</v>
      </c>
      <c r="Q62" s="40">
        <v>9.9338999999999995</v>
      </c>
      <c r="R62" s="40">
        <v>41.445279999999997</v>
      </c>
      <c r="S62" s="40">
        <v>0.1</v>
      </c>
      <c r="T62" s="40">
        <v>671.36426000000006</v>
      </c>
      <c r="U62" s="56">
        <v>17.084</v>
      </c>
      <c r="V62" s="56">
        <v>270.96271999999999</v>
      </c>
      <c r="W62" s="56">
        <v>0</v>
      </c>
      <c r="X62" s="56">
        <v>0</v>
      </c>
      <c r="Y62" s="56">
        <v>21.528500000000001</v>
      </c>
      <c r="Z62" s="56">
        <v>0</v>
      </c>
      <c r="AA62" s="56">
        <v>11.77952</v>
      </c>
      <c r="AB62" s="56">
        <v>286.44499999999999</v>
      </c>
      <c r="AC62" s="56">
        <v>299.40179000000001</v>
      </c>
      <c r="AD62" s="56">
        <v>74.813399999999987</v>
      </c>
      <c r="AE62" s="56">
        <v>3096.6319199999998</v>
      </c>
      <c r="AF62" s="56">
        <v>0</v>
      </c>
      <c r="AG62" s="56">
        <v>3321.1962999999996</v>
      </c>
      <c r="AH62" s="56">
        <v>0</v>
      </c>
      <c r="AI62" s="56">
        <v>0</v>
      </c>
      <c r="AJ62" s="56">
        <v>139.6046</v>
      </c>
      <c r="AK62" s="56">
        <v>0</v>
      </c>
      <c r="AL62" s="56">
        <v>0</v>
      </c>
      <c r="AM62" s="56">
        <v>0</v>
      </c>
      <c r="AN62" s="56">
        <v>0</v>
      </c>
      <c r="AO62" s="56">
        <v>234.80804999999998</v>
      </c>
      <c r="AP62" s="56">
        <v>0</v>
      </c>
      <c r="AQ62" s="56">
        <v>0</v>
      </c>
      <c r="AR62" s="56">
        <v>80.5</v>
      </c>
      <c r="AS62" s="56">
        <v>381.18965000000003</v>
      </c>
      <c r="AT62" s="56">
        <v>0</v>
      </c>
      <c r="AU62" s="56">
        <v>0</v>
      </c>
      <c r="AV62" s="41">
        <f t="shared" si="0"/>
        <v>13892.387189999999</v>
      </c>
    </row>
    <row r="63" spans="1:48" s="16" customFormat="1" x14ac:dyDescent="0.25">
      <c r="A63" s="2" t="s">
        <v>76</v>
      </c>
      <c r="B63" s="40">
        <v>52.429749999999999</v>
      </c>
      <c r="C63" s="40">
        <v>1062.91355</v>
      </c>
      <c r="D63" s="40">
        <v>594.85294999999996</v>
      </c>
      <c r="E63" s="40">
        <v>0</v>
      </c>
      <c r="F63" s="40">
        <v>17.809999999999999</v>
      </c>
      <c r="G63" s="40">
        <v>306.73950000000002</v>
      </c>
      <c r="H63" s="40">
        <v>0</v>
      </c>
      <c r="I63" s="40">
        <v>9.482190000000001</v>
      </c>
      <c r="J63" s="40">
        <v>131.91951</v>
      </c>
      <c r="K63" s="40">
        <v>32.323340000000002</v>
      </c>
      <c r="L63" s="40">
        <v>116.73955000000001</v>
      </c>
      <c r="M63" s="40">
        <v>508.09371000000004</v>
      </c>
      <c r="N63" s="40">
        <v>186.09834000000001</v>
      </c>
      <c r="O63" s="40">
        <v>92.017200000000003</v>
      </c>
      <c r="P63" s="40">
        <v>7.9210000000000003</v>
      </c>
      <c r="Q63" s="40">
        <v>0.72</v>
      </c>
      <c r="R63" s="40">
        <v>22.388120000000001</v>
      </c>
      <c r="S63" s="40">
        <v>2.2220500000000003</v>
      </c>
      <c r="T63" s="40">
        <v>310</v>
      </c>
      <c r="U63" s="56">
        <v>28.8</v>
      </c>
      <c r="V63" s="56">
        <v>29.96</v>
      </c>
      <c r="W63" s="56">
        <v>0</v>
      </c>
      <c r="X63" s="56">
        <v>0</v>
      </c>
      <c r="Y63" s="56">
        <v>7.5410500000000003</v>
      </c>
      <c r="Z63" s="56">
        <v>0</v>
      </c>
      <c r="AA63" s="56">
        <v>0.73829999999999996</v>
      </c>
      <c r="AB63" s="56">
        <v>83.295000000000002</v>
      </c>
      <c r="AC63" s="56">
        <v>14.829870000000001</v>
      </c>
      <c r="AD63" s="56">
        <v>29.010999999999999</v>
      </c>
      <c r="AE63" s="56">
        <v>950.07153000000005</v>
      </c>
      <c r="AF63" s="56">
        <v>6.7350000000000003</v>
      </c>
      <c r="AG63" s="56">
        <v>2429.7727100000002</v>
      </c>
      <c r="AH63" s="56">
        <v>0</v>
      </c>
      <c r="AI63" s="56">
        <v>0</v>
      </c>
      <c r="AJ63" s="56">
        <v>114.5</v>
      </c>
      <c r="AK63" s="56">
        <v>0</v>
      </c>
      <c r="AL63" s="56">
        <v>0</v>
      </c>
      <c r="AM63" s="56">
        <v>0</v>
      </c>
      <c r="AN63" s="56">
        <v>0</v>
      </c>
      <c r="AO63" s="56">
        <v>10</v>
      </c>
      <c r="AP63" s="56">
        <v>0</v>
      </c>
      <c r="AQ63" s="56">
        <v>10.629049999999999</v>
      </c>
      <c r="AR63" s="56">
        <v>0</v>
      </c>
      <c r="AS63" s="56">
        <v>122.7</v>
      </c>
      <c r="AT63" s="56">
        <v>0</v>
      </c>
      <c r="AU63" s="56">
        <v>0</v>
      </c>
      <c r="AV63" s="41">
        <f t="shared" si="0"/>
        <v>7293.2542699999985</v>
      </c>
    </row>
    <row r="64" spans="1:48" s="16" customFormat="1" x14ac:dyDescent="0.25">
      <c r="A64" s="2" t="s">
        <v>77</v>
      </c>
      <c r="B64" s="40">
        <v>112.83</v>
      </c>
      <c r="C64" s="40">
        <v>1327.7944499999999</v>
      </c>
      <c r="D64" s="40">
        <v>1943.8625</v>
      </c>
      <c r="E64" s="40">
        <v>0</v>
      </c>
      <c r="F64" s="40">
        <v>3.2748000000000004</v>
      </c>
      <c r="G64" s="40">
        <v>726.50824999999998</v>
      </c>
      <c r="H64" s="40">
        <v>0</v>
      </c>
      <c r="I64" s="40">
        <v>5.8486000000000002</v>
      </c>
      <c r="J64" s="40">
        <v>215.88730999999999</v>
      </c>
      <c r="K64" s="40">
        <v>148.08882999999997</v>
      </c>
      <c r="L64" s="40">
        <v>286.04084999999998</v>
      </c>
      <c r="M64" s="40">
        <v>948.59625000000005</v>
      </c>
      <c r="N64" s="40">
        <v>975.09559999999999</v>
      </c>
      <c r="O64" s="40">
        <v>129.02472</v>
      </c>
      <c r="P64" s="40">
        <v>411.63845000000003</v>
      </c>
      <c r="Q64" s="40">
        <v>90.683399999999992</v>
      </c>
      <c r="R64" s="40">
        <v>10.65915</v>
      </c>
      <c r="S64" s="40">
        <v>2.70065</v>
      </c>
      <c r="T64" s="40">
        <v>390.15</v>
      </c>
      <c r="U64" s="56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5.1961000000000004</v>
      </c>
      <c r="AB64" s="56">
        <v>115.13500000000001</v>
      </c>
      <c r="AC64" s="56">
        <v>0</v>
      </c>
      <c r="AD64" s="56">
        <v>30.429299999999998</v>
      </c>
      <c r="AE64" s="56">
        <v>1079.07447</v>
      </c>
      <c r="AF64" s="56">
        <v>2746.0120000000002</v>
      </c>
      <c r="AG64" s="56">
        <v>3500.75668</v>
      </c>
      <c r="AH64" s="56">
        <v>0</v>
      </c>
      <c r="AI64" s="56">
        <v>0</v>
      </c>
      <c r="AJ64" s="56">
        <v>178.011</v>
      </c>
      <c r="AK64" s="56">
        <v>0</v>
      </c>
      <c r="AL64" s="56">
        <v>0</v>
      </c>
      <c r="AM64" s="56">
        <v>0</v>
      </c>
      <c r="AN64" s="56">
        <v>0</v>
      </c>
      <c r="AO64" s="56">
        <v>8</v>
      </c>
      <c r="AP64" s="56">
        <v>409.58890000000002</v>
      </c>
      <c r="AQ64" s="56">
        <v>14.676350000000001</v>
      </c>
      <c r="AR64" s="56">
        <v>0</v>
      </c>
      <c r="AS64" s="56">
        <v>52.369</v>
      </c>
      <c r="AT64" s="56">
        <v>0</v>
      </c>
      <c r="AU64" s="56">
        <v>0</v>
      </c>
      <c r="AV64" s="41">
        <f t="shared" si="0"/>
        <v>15867.932610000003</v>
      </c>
    </row>
    <row r="65" spans="1:48" s="16" customFormat="1" ht="12.75" customHeight="1" x14ac:dyDescent="0.25">
      <c r="A65" s="2" t="s">
        <v>15</v>
      </c>
      <c r="B65" s="40">
        <v>330.66740000000004</v>
      </c>
      <c r="C65" s="40">
        <v>7415.9763800000001</v>
      </c>
      <c r="D65" s="40">
        <v>2707.6477500000001</v>
      </c>
      <c r="E65" s="40">
        <v>4.9591000000000003</v>
      </c>
      <c r="F65" s="40">
        <v>74.505600000000001</v>
      </c>
      <c r="G65" s="40">
        <v>2030.39472</v>
      </c>
      <c r="H65" s="40">
        <v>0</v>
      </c>
      <c r="I65" s="40">
        <v>33.431449999999998</v>
      </c>
      <c r="J65" s="40">
        <v>623.33682999999996</v>
      </c>
      <c r="K65" s="40">
        <v>79.299949999999995</v>
      </c>
      <c r="L65" s="40">
        <v>513.94510000000002</v>
      </c>
      <c r="M65" s="40">
        <v>1829.44559</v>
      </c>
      <c r="N65" s="40">
        <v>644.66692</v>
      </c>
      <c r="O65" s="40">
        <v>512.59084999999993</v>
      </c>
      <c r="P65" s="40">
        <v>604.15413999999998</v>
      </c>
      <c r="Q65" s="40">
        <v>4.2619499999999997</v>
      </c>
      <c r="R65" s="40">
        <v>336.14096000000001</v>
      </c>
      <c r="S65" s="40">
        <v>59.202489999999997</v>
      </c>
      <c r="T65" s="40">
        <v>1396.6600700000001</v>
      </c>
      <c r="U65" s="56">
        <v>54.338000000000001</v>
      </c>
      <c r="V65" s="56">
        <v>681.66485999999998</v>
      </c>
      <c r="W65" s="56">
        <v>0</v>
      </c>
      <c r="X65" s="56">
        <v>0</v>
      </c>
      <c r="Y65" s="56">
        <v>7.9802</v>
      </c>
      <c r="Z65" s="56">
        <v>0</v>
      </c>
      <c r="AA65" s="56">
        <v>5.4614500000000001</v>
      </c>
      <c r="AB65" s="56">
        <v>199.27500000000001</v>
      </c>
      <c r="AC65" s="56">
        <v>36.798319999999997</v>
      </c>
      <c r="AD65" s="56">
        <v>8.8249999999999993</v>
      </c>
      <c r="AE65" s="56">
        <v>2614.4468900000002</v>
      </c>
      <c r="AF65" s="56">
        <v>25.698</v>
      </c>
      <c r="AG65" s="56">
        <v>10425.46106</v>
      </c>
      <c r="AH65" s="56">
        <v>0</v>
      </c>
      <c r="AI65" s="56">
        <v>0</v>
      </c>
      <c r="AJ65" s="56">
        <v>167.34899999999999</v>
      </c>
      <c r="AK65" s="56">
        <v>0</v>
      </c>
      <c r="AL65" s="56">
        <v>0</v>
      </c>
      <c r="AM65" s="56">
        <v>0</v>
      </c>
      <c r="AN65" s="56">
        <v>0</v>
      </c>
      <c r="AO65" s="56">
        <v>79.745999999999995</v>
      </c>
      <c r="AP65" s="56">
        <v>0</v>
      </c>
      <c r="AQ65" s="56">
        <v>0</v>
      </c>
      <c r="AR65" s="56">
        <v>0.56514999999999993</v>
      </c>
      <c r="AS65" s="56">
        <v>2.6560000000000001</v>
      </c>
      <c r="AT65" s="56">
        <v>0</v>
      </c>
      <c r="AU65" s="56">
        <v>0</v>
      </c>
      <c r="AV65" s="41">
        <f t="shared" si="0"/>
        <v>33511.552180000013</v>
      </c>
    </row>
    <row r="66" spans="1:48" s="16" customFormat="1" x14ac:dyDescent="0.25">
      <c r="A66" s="2" t="s">
        <v>78</v>
      </c>
      <c r="B66" s="40">
        <v>71.330649999999991</v>
      </c>
      <c r="C66" s="40">
        <v>1285.1854499999999</v>
      </c>
      <c r="D66" s="40">
        <v>932.19319999999993</v>
      </c>
      <c r="E66" s="40">
        <v>14.611000000000001</v>
      </c>
      <c r="F66" s="40">
        <v>0</v>
      </c>
      <c r="G66" s="40">
        <v>518.31899999999996</v>
      </c>
      <c r="H66" s="40">
        <v>0</v>
      </c>
      <c r="I66" s="40">
        <v>5.0964499999999999</v>
      </c>
      <c r="J66" s="40">
        <v>202.13437999999999</v>
      </c>
      <c r="K66" s="40">
        <v>51.871660000000006</v>
      </c>
      <c r="L66" s="40">
        <v>143.51210999999998</v>
      </c>
      <c r="M66" s="40">
        <v>747.63306999999998</v>
      </c>
      <c r="N66" s="40">
        <v>592.60276999999996</v>
      </c>
      <c r="O66" s="40">
        <v>130.40037000000001</v>
      </c>
      <c r="P66" s="40">
        <v>42.602170000000001</v>
      </c>
      <c r="Q66" s="40">
        <v>3.1843499999999998</v>
      </c>
      <c r="R66" s="40">
        <v>96.62442999999999</v>
      </c>
      <c r="S66" s="40">
        <v>0</v>
      </c>
      <c r="T66" s="40">
        <v>519.46907999999996</v>
      </c>
      <c r="U66" s="56">
        <v>16.415099999999999</v>
      </c>
      <c r="V66" s="56">
        <v>131.20416</v>
      </c>
      <c r="W66" s="56">
        <v>4.5100000000000001E-3</v>
      </c>
      <c r="X66" s="56">
        <v>0</v>
      </c>
      <c r="Y66" s="56">
        <v>13.3032</v>
      </c>
      <c r="Z66" s="56">
        <v>0</v>
      </c>
      <c r="AA66" s="56">
        <v>5.8098100000000006</v>
      </c>
      <c r="AB66" s="56">
        <v>63.929000000000002</v>
      </c>
      <c r="AC66" s="56">
        <v>0</v>
      </c>
      <c r="AD66" s="56">
        <v>21.298299999999998</v>
      </c>
      <c r="AE66" s="56">
        <v>905.09253999999999</v>
      </c>
      <c r="AF66" s="56">
        <v>8.91</v>
      </c>
      <c r="AG66" s="56">
        <v>2596.6548900000003</v>
      </c>
      <c r="AH66" s="56">
        <v>0</v>
      </c>
      <c r="AI66" s="56">
        <v>0</v>
      </c>
      <c r="AJ66" s="56">
        <v>135.15232999999998</v>
      </c>
      <c r="AK66" s="56">
        <v>0</v>
      </c>
      <c r="AL66" s="56">
        <v>0</v>
      </c>
      <c r="AM66" s="56">
        <v>0</v>
      </c>
      <c r="AN66" s="56">
        <v>45.487699999999997</v>
      </c>
      <c r="AO66" s="56">
        <v>235.37947</v>
      </c>
      <c r="AP66" s="56">
        <v>0</v>
      </c>
      <c r="AQ66" s="56">
        <v>83.05364999999999</v>
      </c>
      <c r="AR66" s="56">
        <v>62.526110000000003</v>
      </c>
      <c r="AS66" s="56">
        <v>301.82808</v>
      </c>
      <c r="AT66" s="56">
        <v>0</v>
      </c>
      <c r="AU66" s="56">
        <v>0</v>
      </c>
      <c r="AV66" s="41">
        <f t="shared" si="0"/>
        <v>9982.8189899999998</v>
      </c>
    </row>
    <row r="67" spans="1:48" s="16" customFormat="1" ht="12.75" customHeight="1" x14ac:dyDescent="0.25">
      <c r="A67" s="2" t="s">
        <v>16</v>
      </c>
      <c r="B67" s="40">
        <v>299.90270000000004</v>
      </c>
      <c r="C67" s="40">
        <v>22982.10614</v>
      </c>
      <c r="D67" s="40">
        <v>5687.2046900000005</v>
      </c>
      <c r="E67" s="40">
        <v>52.108150000000002</v>
      </c>
      <c r="F67" s="40">
        <v>6</v>
      </c>
      <c r="G67" s="40">
        <v>5696.3222500000002</v>
      </c>
      <c r="H67" s="40">
        <v>170.28264999999999</v>
      </c>
      <c r="I67" s="40">
        <v>215.10550000000001</v>
      </c>
      <c r="J67" s="40">
        <v>1286.3071100000002</v>
      </c>
      <c r="K67" s="40">
        <v>544.16456999999991</v>
      </c>
      <c r="L67" s="40">
        <v>1709.5004899999999</v>
      </c>
      <c r="M67" s="40">
        <v>5052.6465799999996</v>
      </c>
      <c r="N67" s="40">
        <v>2769.1764600000001</v>
      </c>
      <c r="O67" s="40">
        <v>1347.2639799999999</v>
      </c>
      <c r="P67" s="40">
        <v>352.27184</v>
      </c>
      <c r="Q67" s="40">
        <v>279.86730999999997</v>
      </c>
      <c r="R67" s="40">
        <v>1379.1835000000001</v>
      </c>
      <c r="S67" s="40">
        <v>163.44979000000001</v>
      </c>
      <c r="T67" s="40">
        <v>5553.2761600000003</v>
      </c>
      <c r="U67" s="56">
        <v>969.61077</v>
      </c>
      <c r="V67" s="56">
        <v>2622.36427</v>
      </c>
      <c r="W67" s="56">
        <v>0</v>
      </c>
      <c r="X67" s="56">
        <v>0</v>
      </c>
      <c r="Y67" s="56">
        <v>449.10760999999997</v>
      </c>
      <c r="Z67" s="56">
        <v>293</v>
      </c>
      <c r="AA67" s="56">
        <v>52.857399999999998</v>
      </c>
      <c r="AB67" s="56">
        <v>913.58199999999999</v>
      </c>
      <c r="AC67" s="56">
        <v>299.82306</v>
      </c>
      <c r="AD67" s="56">
        <v>321.1653</v>
      </c>
      <c r="AE67" s="56">
        <v>4886.4026800000001</v>
      </c>
      <c r="AF67" s="56">
        <v>1538.319</v>
      </c>
      <c r="AG67" s="56">
        <v>24404.675920000001</v>
      </c>
      <c r="AH67" s="56">
        <v>0</v>
      </c>
      <c r="AI67" s="56">
        <v>0</v>
      </c>
      <c r="AJ67" s="56">
        <v>832.65188000000001</v>
      </c>
      <c r="AK67" s="56">
        <v>0</v>
      </c>
      <c r="AL67" s="56">
        <v>0</v>
      </c>
      <c r="AM67" s="56">
        <v>0</v>
      </c>
      <c r="AN67" s="56">
        <v>0</v>
      </c>
      <c r="AO67" s="56">
        <v>1816.5</v>
      </c>
      <c r="AP67" s="56">
        <v>3</v>
      </c>
      <c r="AQ67" s="56">
        <v>0</v>
      </c>
      <c r="AR67" s="56">
        <v>467.37584999999996</v>
      </c>
      <c r="AS67" s="56">
        <v>1506.4286499999998</v>
      </c>
      <c r="AT67" s="56">
        <v>0</v>
      </c>
      <c r="AU67" s="56">
        <v>912.56</v>
      </c>
      <c r="AV67" s="41">
        <f t="shared" si="0"/>
        <v>97835.564260000028</v>
      </c>
    </row>
    <row r="68" spans="1:48" s="16" customFormat="1" x14ac:dyDescent="0.25">
      <c r="A68" s="2" t="s">
        <v>79</v>
      </c>
      <c r="B68" s="40">
        <v>25.778849999999998</v>
      </c>
      <c r="C68" s="40">
        <v>490.93720000000002</v>
      </c>
      <c r="D68" s="40">
        <v>0</v>
      </c>
      <c r="E68" s="40">
        <v>0</v>
      </c>
      <c r="F68" s="40">
        <v>0</v>
      </c>
      <c r="G68" s="40">
        <v>110.36676</v>
      </c>
      <c r="H68" s="40">
        <v>0</v>
      </c>
      <c r="I68" s="40">
        <v>4.2319499999999994</v>
      </c>
      <c r="J68" s="40">
        <v>13.23507</v>
      </c>
      <c r="K68" s="40">
        <v>16.27899</v>
      </c>
      <c r="L68" s="40">
        <v>32.66865</v>
      </c>
      <c r="M68" s="40">
        <v>168.66314000000003</v>
      </c>
      <c r="N68" s="40">
        <v>59.924529999999997</v>
      </c>
      <c r="O68" s="40">
        <v>28.674189999999999</v>
      </c>
      <c r="P68" s="40">
        <v>3.8541500000000002</v>
      </c>
      <c r="Q68" s="40">
        <v>2.1471499999999999</v>
      </c>
      <c r="R68" s="40">
        <v>0</v>
      </c>
      <c r="S68" s="40">
        <v>0.5</v>
      </c>
      <c r="T68" s="40">
        <v>152.55452</v>
      </c>
      <c r="U68" s="56">
        <v>6.3627200000000004</v>
      </c>
      <c r="V68" s="56">
        <v>30.549779999999998</v>
      </c>
      <c r="W68" s="56">
        <v>2.2100000000000002E-3</v>
      </c>
      <c r="X68" s="56">
        <v>0</v>
      </c>
      <c r="Y68" s="56">
        <v>0</v>
      </c>
      <c r="Z68" s="56">
        <v>0</v>
      </c>
      <c r="AA68" s="56">
        <v>0</v>
      </c>
      <c r="AB68" s="56">
        <v>39.819000000000003</v>
      </c>
      <c r="AC68" s="56">
        <v>5.2355600000000004</v>
      </c>
      <c r="AD68" s="56">
        <v>5.6487499999999997</v>
      </c>
      <c r="AE68" s="56">
        <v>104.19877000000001</v>
      </c>
      <c r="AF68" s="56">
        <v>0</v>
      </c>
      <c r="AG68" s="56">
        <v>237.86411999999999</v>
      </c>
      <c r="AH68" s="56">
        <v>0</v>
      </c>
      <c r="AI68" s="56">
        <v>0</v>
      </c>
      <c r="AJ68" s="56">
        <v>0</v>
      </c>
      <c r="AK68" s="56">
        <v>0</v>
      </c>
      <c r="AL68" s="56">
        <v>0</v>
      </c>
      <c r="AM68" s="56">
        <v>0</v>
      </c>
      <c r="AN68" s="56">
        <v>0</v>
      </c>
      <c r="AO68" s="56">
        <v>156.6</v>
      </c>
      <c r="AP68" s="56">
        <v>0</v>
      </c>
      <c r="AQ68" s="56">
        <v>0</v>
      </c>
      <c r="AR68" s="56">
        <v>10.295249999999999</v>
      </c>
      <c r="AS68" s="56">
        <v>101.22272</v>
      </c>
      <c r="AT68" s="56">
        <v>0</v>
      </c>
      <c r="AU68" s="56">
        <v>0</v>
      </c>
      <c r="AV68" s="41">
        <f t="shared" ref="AV68:AV108" si="1">SUM(B68:AU68)</f>
        <v>1807.61403</v>
      </c>
    </row>
    <row r="69" spans="1:48" s="16" customFormat="1" x14ac:dyDescent="0.25">
      <c r="A69" s="2" t="s">
        <v>80</v>
      </c>
      <c r="B69" s="40">
        <v>73.16</v>
      </c>
      <c r="C69" s="40">
        <v>972.63465000000008</v>
      </c>
      <c r="D69" s="40">
        <v>0</v>
      </c>
      <c r="E69" s="40">
        <v>0</v>
      </c>
      <c r="F69" s="40">
        <v>0</v>
      </c>
      <c r="G69" s="40">
        <v>225.12715</v>
      </c>
      <c r="H69" s="40">
        <v>0</v>
      </c>
      <c r="I69" s="40">
        <v>38.180750000000003</v>
      </c>
      <c r="J69" s="40">
        <v>54.67407</v>
      </c>
      <c r="K69" s="40">
        <v>39.931370000000001</v>
      </c>
      <c r="L69" s="40">
        <v>178.24688</v>
      </c>
      <c r="M69" s="40">
        <v>483.31622999999996</v>
      </c>
      <c r="N69" s="40">
        <v>550.77832999999998</v>
      </c>
      <c r="O69" s="40">
        <v>128.55479</v>
      </c>
      <c r="P69" s="40">
        <v>5.6342499999999998</v>
      </c>
      <c r="Q69" s="40">
        <v>0</v>
      </c>
      <c r="R69" s="40">
        <v>5.2704300000000002</v>
      </c>
      <c r="S69" s="40">
        <v>8.2898999999999994</v>
      </c>
      <c r="T69" s="40">
        <v>994.00194999999997</v>
      </c>
      <c r="U69" s="56">
        <v>19.520799999999998</v>
      </c>
      <c r="V69" s="56">
        <v>187.44757999999999</v>
      </c>
      <c r="W69" s="56">
        <v>0</v>
      </c>
      <c r="X69" s="56">
        <v>0</v>
      </c>
      <c r="Y69" s="56">
        <v>0</v>
      </c>
      <c r="Z69" s="56">
        <v>0</v>
      </c>
      <c r="AA69" s="56">
        <v>2.6160600000000001</v>
      </c>
      <c r="AB69" s="56">
        <v>123.066</v>
      </c>
      <c r="AC69" s="56">
        <v>4.35595</v>
      </c>
      <c r="AD69" s="56">
        <v>5.4249999999999998</v>
      </c>
      <c r="AE69" s="56">
        <v>1437.88833</v>
      </c>
      <c r="AF69" s="56">
        <v>948.64599999999996</v>
      </c>
      <c r="AG69" s="56">
        <v>2669.6962699999999</v>
      </c>
      <c r="AH69" s="56">
        <v>0</v>
      </c>
      <c r="AI69" s="56">
        <v>0</v>
      </c>
      <c r="AJ69" s="56">
        <v>16.545000000000002</v>
      </c>
      <c r="AK69" s="56">
        <v>0</v>
      </c>
      <c r="AL69" s="56">
        <v>0</v>
      </c>
      <c r="AM69" s="56">
        <v>0</v>
      </c>
      <c r="AN69" s="56">
        <v>0</v>
      </c>
      <c r="AO69" s="56">
        <v>33</v>
      </c>
      <c r="AP69" s="56">
        <v>0</v>
      </c>
      <c r="AQ69" s="56">
        <v>6.3730000000000002</v>
      </c>
      <c r="AR69" s="56">
        <v>85.614999999999995</v>
      </c>
      <c r="AS69" s="56">
        <v>289.92250000000001</v>
      </c>
      <c r="AT69" s="56">
        <v>0</v>
      </c>
      <c r="AU69" s="56">
        <v>0</v>
      </c>
      <c r="AV69" s="41">
        <f t="shared" si="1"/>
        <v>9587.9182399999991</v>
      </c>
    </row>
    <row r="70" spans="1:48" s="16" customFormat="1" x14ac:dyDescent="0.25">
      <c r="A70" s="2" t="s">
        <v>81</v>
      </c>
      <c r="B70" s="40">
        <v>17</v>
      </c>
      <c r="C70" s="40">
        <v>176.44949</v>
      </c>
      <c r="D70" s="40">
        <v>0</v>
      </c>
      <c r="E70" s="40">
        <v>1.1085</v>
      </c>
      <c r="F70" s="40">
        <v>0</v>
      </c>
      <c r="G70" s="40">
        <v>38.209569999999999</v>
      </c>
      <c r="H70" s="40">
        <v>0</v>
      </c>
      <c r="I70" s="40">
        <v>1.5948</v>
      </c>
      <c r="J70" s="40">
        <v>8.7151599999999991</v>
      </c>
      <c r="K70" s="40">
        <v>11.107049999999999</v>
      </c>
      <c r="L70" s="40">
        <v>18.440349999999999</v>
      </c>
      <c r="M70" s="40">
        <v>120.59675</v>
      </c>
      <c r="N70" s="40">
        <v>54.842320000000001</v>
      </c>
      <c r="O70" s="40">
        <v>12.53115</v>
      </c>
      <c r="P70" s="40">
        <v>2.7178</v>
      </c>
      <c r="Q70" s="40">
        <v>0.11</v>
      </c>
      <c r="R70" s="40">
        <v>13.692549999999999</v>
      </c>
      <c r="S70" s="40">
        <v>0</v>
      </c>
      <c r="T70" s="40">
        <v>59.98169</v>
      </c>
      <c r="U70" s="56">
        <v>6.6869700000000005</v>
      </c>
      <c r="V70" s="56">
        <v>16.721240000000002</v>
      </c>
      <c r="W70" s="56">
        <v>0</v>
      </c>
      <c r="X70" s="56">
        <v>0</v>
      </c>
      <c r="Y70" s="56">
        <v>0.35</v>
      </c>
      <c r="Z70" s="56">
        <v>0</v>
      </c>
      <c r="AA70" s="56">
        <v>0</v>
      </c>
      <c r="AB70" s="56">
        <v>21.946999999999999</v>
      </c>
      <c r="AC70" s="56">
        <v>21.823049999999999</v>
      </c>
      <c r="AD70" s="56">
        <v>3.3854000000000002</v>
      </c>
      <c r="AE70" s="56">
        <v>396.70987000000002</v>
      </c>
      <c r="AF70" s="56">
        <v>0</v>
      </c>
      <c r="AG70" s="56">
        <v>386.24496000000005</v>
      </c>
      <c r="AH70" s="56">
        <v>0</v>
      </c>
      <c r="AI70" s="56">
        <v>0</v>
      </c>
      <c r="AJ70" s="56">
        <v>42.562980000000003</v>
      </c>
      <c r="AK70" s="56">
        <v>0</v>
      </c>
      <c r="AL70" s="56">
        <v>0</v>
      </c>
      <c r="AM70" s="56">
        <v>0</v>
      </c>
      <c r="AN70" s="56">
        <v>0.5</v>
      </c>
      <c r="AO70" s="56">
        <v>12.96</v>
      </c>
      <c r="AP70" s="56">
        <v>0</v>
      </c>
      <c r="AQ70" s="56">
        <v>0.96499999999999997</v>
      </c>
      <c r="AR70" s="56">
        <v>11.29162</v>
      </c>
      <c r="AS70" s="56">
        <v>51.944050000000004</v>
      </c>
      <c r="AT70" s="56">
        <v>0</v>
      </c>
      <c r="AU70" s="56">
        <v>0</v>
      </c>
      <c r="AV70" s="41">
        <f t="shared" si="1"/>
        <v>1511.18932</v>
      </c>
    </row>
    <row r="71" spans="1:48" s="16" customFormat="1" x14ac:dyDescent="0.25">
      <c r="A71" s="2" t="s">
        <v>17</v>
      </c>
      <c r="B71" s="40">
        <v>373.18354999999997</v>
      </c>
      <c r="C71" s="40">
        <v>10833.0226</v>
      </c>
      <c r="D71" s="40">
        <v>2657.0027</v>
      </c>
      <c r="E71" s="40">
        <v>19.37895</v>
      </c>
      <c r="F71" s="40">
        <v>24.015999999999998</v>
      </c>
      <c r="G71" s="40">
        <v>3055.9189000000001</v>
      </c>
      <c r="H71" s="40">
        <v>0.68470000000000009</v>
      </c>
      <c r="I71" s="40">
        <v>45.366300000000003</v>
      </c>
      <c r="J71" s="40">
        <v>1462.4913000000001</v>
      </c>
      <c r="K71" s="40">
        <v>183.92829999999998</v>
      </c>
      <c r="L71" s="40">
        <v>586.92005000000006</v>
      </c>
      <c r="M71" s="40">
        <v>2862.70838</v>
      </c>
      <c r="N71" s="40">
        <v>1394.1829399999999</v>
      </c>
      <c r="O71" s="40">
        <v>246.04560000000001</v>
      </c>
      <c r="P71" s="40">
        <v>137.68</v>
      </c>
      <c r="Q71" s="40">
        <v>120.8522</v>
      </c>
      <c r="R71" s="40">
        <v>135.93012999999999</v>
      </c>
      <c r="S71" s="40">
        <v>15.19265</v>
      </c>
      <c r="T71" s="40">
        <v>860.12199999999996</v>
      </c>
      <c r="U71" s="56">
        <v>12.25</v>
      </c>
      <c r="V71" s="56">
        <v>771.67166000000009</v>
      </c>
      <c r="W71" s="56">
        <v>0</v>
      </c>
      <c r="X71" s="56">
        <v>0</v>
      </c>
      <c r="Y71" s="56">
        <v>0</v>
      </c>
      <c r="Z71" s="56">
        <v>0</v>
      </c>
      <c r="AA71" s="56">
        <v>13.068809999999999</v>
      </c>
      <c r="AB71" s="56">
        <v>311.33800000000002</v>
      </c>
      <c r="AC71" s="56">
        <v>53.020580000000002</v>
      </c>
      <c r="AD71" s="56">
        <v>68.505600000000001</v>
      </c>
      <c r="AE71" s="56">
        <v>2677.1017499999998</v>
      </c>
      <c r="AF71" s="56">
        <v>27.548999999999999</v>
      </c>
      <c r="AG71" s="56">
        <v>10152.00676</v>
      </c>
      <c r="AH71" s="56">
        <v>0</v>
      </c>
      <c r="AI71" s="56">
        <v>0</v>
      </c>
      <c r="AJ71" s="56">
        <v>176.696</v>
      </c>
      <c r="AK71" s="56">
        <v>0</v>
      </c>
      <c r="AL71" s="56">
        <v>0</v>
      </c>
      <c r="AM71" s="56">
        <v>0</v>
      </c>
      <c r="AN71" s="56">
        <v>0</v>
      </c>
      <c r="AO71" s="56">
        <v>105.4</v>
      </c>
      <c r="AP71" s="56">
        <v>0</v>
      </c>
      <c r="AQ71" s="56">
        <v>5.6</v>
      </c>
      <c r="AR71" s="56">
        <v>0</v>
      </c>
      <c r="AS71" s="56">
        <v>185</v>
      </c>
      <c r="AT71" s="56">
        <v>0</v>
      </c>
      <c r="AU71" s="56">
        <v>0</v>
      </c>
      <c r="AV71" s="41">
        <f t="shared" si="1"/>
        <v>39573.835410000007</v>
      </c>
    </row>
    <row r="72" spans="1:48" s="16" customFormat="1" x14ac:dyDescent="0.25">
      <c r="A72" s="2" t="s">
        <v>82</v>
      </c>
      <c r="B72" s="40">
        <v>127.35</v>
      </c>
      <c r="C72" s="40">
        <v>2237.0246000000002</v>
      </c>
      <c r="D72" s="40">
        <v>0</v>
      </c>
      <c r="E72" s="40">
        <v>20.575580000000002</v>
      </c>
      <c r="F72" s="40">
        <v>5.3620000000000001</v>
      </c>
      <c r="G72" s="40">
        <v>547.33235000000002</v>
      </c>
      <c r="H72" s="40">
        <v>0</v>
      </c>
      <c r="I72" s="40">
        <v>29.8443</v>
      </c>
      <c r="J72" s="40">
        <v>108.38289</v>
      </c>
      <c r="K72" s="40">
        <v>308.39671999999996</v>
      </c>
      <c r="L72" s="40">
        <v>211.93035</v>
      </c>
      <c r="M72" s="40">
        <v>1529.7321899999999</v>
      </c>
      <c r="N72" s="40">
        <v>1248.4671000000001</v>
      </c>
      <c r="O72" s="40">
        <v>211.19322</v>
      </c>
      <c r="P72" s="40">
        <v>166.30355</v>
      </c>
      <c r="Q72" s="40">
        <v>4.8710500000000003</v>
      </c>
      <c r="R72" s="40">
        <v>290.71196999999995</v>
      </c>
      <c r="S72" s="40">
        <v>47.704550000000005</v>
      </c>
      <c r="T72" s="40">
        <v>813.19130000000007</v>
      </c>
      <c r="U72" s="56">
        <v>63.829949999999997</v>
      </c>
      <c r="V72" s="56">
        <v>150.96204</v>
      </c>
      <c r="W72" s="56">
        <v>0</v>
      </c>
      <c r="X72" s="56">
        <v>0</v>
      </c>
      <c r="Y72" s="56">
        <v>0</v>
      </c>
      <c r="Z72" s="56">
        <v>0</v>
      </c>
      <c r="AA72" s="56">
        <v>5.1673999999999998</v>
      </c>
      <c r="AB72" s="56">
        <v>273.56599999999997</v>
      </c>
      <c r="AC72" s="56">
        <v>56.602150000000002</v>
      </c>
      <c r="AD72" s="56">
        <v>102.19114999999999</v>
      </c>
      <c r="AE72" s="56">
        <v>5200.8467199999996</v>
      </c>
      <c r="AF72" s="56">
        <v>11.433999999999999</v>
      </c>
      <c r="AG72" s="56">
        <v>4958.9511500000008</v>
      </c>
      <c r="AH72" s="56">
        <v>0</v>
      </c>
      <c r="AI72" s="56">
        <v>0</v>
      </c>
      <c r="AJ72" s="56">
        <v>287.63499999999999</v>
      </c>
      <c r="AK72" s="56">
        <v>0</v>
      </c>
      <c r="AL72" s="56">
        <v>0</v>
      </c>
      <c r="AM72" s="56">
        <v>0</v>
      </c>
      <c r="AN72" s="56">
        <v>0</v>
      </c>
      <c r="AO72" s="56">
        <v>323.7</v>
      </c>
      <c r="AP72" s="56">
        <v>0</v>
      </c>
      <c r="AQ72" s="56">
        <v>7.3176499999999995</v>
      </c>
      <c r="AR72" s="56">
        <v>28.215</v>
      </c>
      <c r="AS72" s="56">
        <v>302.16829999999999</v>
      </c>
      <c r="AT72" s="56">
        <v>10.925000000000001</v>
      </c>
      <c r="AU72" s="56">
        <v>0</v>
      </c>
      <c r="AV72" s="41">
        <f t="shared" si="1"/>
        <v>19691.885230000004</v>
      </c>
    </row>
    <row r="73" spans="1:48" s="16" customFormat="1" x14ac:dyDescent="0.25">
      <c r="A73" s="1" t="s">
        <v>18</v>
      </c>
      <c r="B73" s="40">
        <v>91.778449999999992</v>
      </c>
      <c r="C73" s="40">
        <v>2804.6964500000004</v>
      </c>
      <c r="D73" s="40">
        <v>1824.6793500000001</v>
      </c>
      <c r="E73" s="40">
        <v>0</v>
      </c>
      <c r="F73" s="40">
        <v>11.51</v>
      </c>
      <c r="G73" s="40">
        <v>1007.02045</v>
      </c>
      <c r="H73" s="40">
        <v>84.0642</v>
      </c>
      <c r="I73" s="40">
        <v>18.01455</v>
      </c>
      <c r="J73" s="40">
        <v>273.96600000000001</v>
      </c>
      <c r="K73" s="40">
        <v>159.35864999999998</v>
      </c>
      <c r="L73" s="40">
        <v>173.20620000000002</v>
      </c>
      <c r="M73" s="40">
        <v>900.81459999999993</v>
      </c>
      <c r="N73" s="40">
        <v>350.11678000000001</v>
      </c>
      <c r="O73" s="40">
        <v>237.44476999999998</v>
      </c>
      <c r="P73" s="40">
        <v>46.226900000000001</v>
      </c>
      <c r="Q73" s="40">
        <v>40.6494</v>
      </c>
      <c r="R73" s="40">
        <v>388.20309999999995</v>
      </c>
      <c r="S73" s="40">
        <v>0.40600000000000003</v>
      </c>
      <c r="T73" s="40">
        <v>524.79755</v>
      </c>
      <c r="U73" s="56">
        <v>91.16194999999999</v>
      </c>
      <c r="V73" s="56">
        <v>82.3</v>
      </c>
      <c r="W73" s="56">
        <v>0</v>
      </c>
      <c r="X73" s="56">
        <v>0</v>
      </c>
      <c r="Y73" s="56">
        <v>0</v>
      </c>
      <c r="Z73" s="56">
        <v>0</v>
      </c>
      <c r="AA73" s="56">
        <v>13.14067</v>
      </c>
      <c r="AB73" s="56">
        <v>187.39599999999999</v>
      </c>
      <c r="AC73" s="56">
        <v>0</v>
      </c>
      <c r="AD73" s="56">
        <v>30.099499999999999</v>
      </c>
      <c r="AE73" s="56">
        <v>341.85390000000001</v>
      </c>
      <c r="AF73" s="56">
        <v>14.391999999999999</v>
      </c>
      <c r="AG73" s="56">
        <v>6878.1857</v>
      </c>
      <c r="AH73" s="56">
        <v>0</v>
      </c>
      <c r="AI73" s="56">
        <v>0</v>
      </c>
      <c r="AJ73" s="56">
        <v>58.68835</v>
      </c>
      <c r="AK73" s="56">
        <v>0</v>
      </c>
      <c r="AL73" s="56">
        <v>0</v>
      </c>
      <c r="AM73" s="56">
        <v>0</v>
      </c>
      <c r="AN73" s="56">
        <v>0</v>
      </c>
      <c r="AO73" s="56">
        <v>1374</v>
      </c>
      <c r="AP73" s="56">
        <v>0</v>
      </c>
      <c r="AQ73" s="56">
        <v>0</v>
      </c>
      <c r="AR73" s="56">
        <v>82.3</v>
      </c>
      <c r="AS73" s="56">
        <v>674.64784999999995</v>
      </c>
      <c r="AT73" s="56">
        <v>0</v>
      </c>
      <c r="AU73" s="56">
        <v>0</v>
      </c>
      <c r="AV73" s="41">
        <f t="shared" si="1"/>
        <v>18765.119320000002</v>
      </c>
    </row>
    <row r="74" spans="1:48" s="16" customFormat="1" x14ac:dyDescent="0.25">
      <c r="A74" s="2" t="s">
        <v>83</v>
      </c>
      <c r="B74" s="40">
        <v>92.6</v>
      </c>
      <c r="C74" s="40">
        <v>1147.8218999999999</v>
      </c>
      <c r="D74" s="40">
        <v>311.76024999999998</v>
      </c>
      <c r="E74" s="40">
        <v>0</v>
      </c>
      <c r="F74" s="40">
        <v>12.57</v>
      </c>
      <c r="G74" s="40">
        <v>355.04540000000003</v>
      </c>
      <c r="H74" s="40">
        <v>28.854650000000003</v>
      </c>
      <c r="I74" s="40">
        <v>7.4189999999999996</v>
      </c>
      <c r="J74" s="40">
        <v>163.88982000000001</v>
      </c>
      <c r="K74" s="40">
        <v>36.148830000000004</v>
      </c>
      <c r="L74" s="40">
        <v>220.75285</v>
      </c>
      <c r="M74" s="40">
        <v>1030.64986</v>
      </c>
      <c r="N74" s="40">
        <v>689.9585699999999</v>
      </c>
      <c r="O74" s="40">
        <v>193.32039</v>
      </c>
      <c r="P74" s="40">
        <v>15.36985</v>
      </c>
      <c r="Q74" s="40">
        <v>11.617149999999999</v>
      </c>
      <c r="R74" s="40">
        <v>33.649720000000002</v>
      </c>
      <c r="S74" s="40">
        <v>10.263120000000001</v>
      </c>
      <c r="T74" s="40">
        <v>674.52</v>
      </c>
      <c r="U74" s="56">
        <v>86.706000000000003</v>
      </c>
      <c r="V74" s="56">
        <v>271.74990000000003</v>
      </c>
      <c r="W74" s="56">
        <v>0</v>
      </c>
      <c r="X74" s="56">
        <v>0</v>
      </c>
      <c r="Y74" s="56">
        <v>0</v>
      </c>
      <c r="Z74" s="56">
        <v>0</v>
      </c>
      <c r="AA74" s="56">
        <v>0</v>
      </c>
      <c r="AB74" s="56">
        <v>81.230999999999995</v>
      </c>
      <c r="AC74" s="56">
        <v>96.781960000000012</v>
      </c>
      <c r="AD74" s="56">
        <v>25.4757</v>
      </c>
      <c r="AE74" s="56">
        <v>652.46996999999999</v>
      </c>
      <c r="AF74" s="56">
        <v>731.06799999999998</v>
      </c>
      <c r="AG74" s="56">
        <v>2073.2419399999999</v>
      </c>
      <c r="AH74" s="56">
        <v>0</v>
      </c>
      <c r="AI74" s="56">
        <v>0</v>
      </c>
      <c r="AJ74" s="56">
        <v>35.6</v>
      </c>
      <c r="AK74" s="56">
        <v>0</v>
      </c>
      <c r="AL74" s="56">
        <v>0</v>
      </c>
      <c r="AM74" s="56">
        <v>0</v>
      </c>
      <c r="AN74" s="56">
        <v>11</v>
      </c>
      <c r="AO74" s="56">
        <v>191.2</v>
      </c>
      <c r="AP74" s="56">
        <v>10</v>
      </c>
      <c r="AQ74" s="56">
        <v>24.9</v>
      </c>
      <c r="AR74" s="56">
        <v>204.25225</v>
      </c>
      <c r="AS74" s="56">
        <v>610.59500000000003</v>
      </c>
      <c r="AT74" s="56">
        <v>0</v>
      </c>
      <c r="AU74" s="56">
        <v>0</v>
      </c>
      <c r="AV74" s="41">
        <f t="shared" si="1"/>
        <v>10142.483079999998</v>
      </c>
    </row>
    <row r="75" spans="1:48" s="16" customFormat="1" x14ac:dyDescent="0.25">
      <c r="A75" s="2" t="s">
        <v>19</v>
      </c>
      <c r="B75" s="40">
        <v>97.05</v>
      </c>
      <c r="C75" s="40">
        <v>2614.3135000000002</v>
      </c>
      <c r="D75" s="40">
        <v>819.51099999999997</v>
      </c>
      <c r="E75" s="40">
        <v>0</v>
      </c>
      <c r="F75" s="40">
        <v>55.081449999999997</v>
      </c>
      <c r="G75" s="40">
        <v>685.98419999999999</v>
      </c>
      <c r="H75" s="40">
        <v>27.1296</v>
      </c>
      <c r="I75" s="40">
        <v>19.796650000000003</v>
      </c>
      <c r="J75" s="40">
        <v>211.16034999999999</v>
      </c>
      <c r="K75" s="40">
        <v>160.47104000000002</v>
      </c>
      <c r="L75" s="40">
        <v>180.57770000000002</v>
      </c>
      <c r="M75" s="40">
        <v>717.52604000000008</v>
      </c>
      <c r="N75" s="40">
        <v>544.90742</v>
      </c>
      <c r="O75" s="40">
        <v>99.159449999999993</v>
      </c>
      <c r="P75" s="40">
        <v>54.912099999999995</v>
      </c>
      <c r="Q75" s="40">
        <v>13.671040000000001</v>
      </c>
      <c r="R75" s="40">
        <v>298.47944000000001</v>
      </c>
      <c r="S75" s="40">
        <v>7.0028500000000005</v>
      </c>
      <c r="T75" s="40">
        <v>373.44440999999995</v>
      </c>
      <c r="U75" s="56">
        <v>38.504049999999999</v>
      </c>
      <c r="V75" s="56">
        <v>159.81993</v>
      </c>
      <c r="W75" s="56">
        <v>0</v>
      </c>
      <c r="X75" s="56">
        <v>0</v>
      </c>
      <c r="Y75" s="56">
        <v>456.23773</v>
      </c>
      <c r="Z75" s="56">
        <v>0</v>
      </c>
      <c r="AA75" s="56">
        <v>25.2502</v>
      </c>
      <c r="AB75" s="56">
        <v>114.76</v>
      </c>
      <c r="AC75" s="56">
        <v>12.39983</v>
      </c>
      <c r="AD75" s="56">
        <v>33.419699999999999</v>
      </c>
      <c r="AE75" s="56">
        <v>1052.9719</v>
      </c>
      <c r="AF75" s="56">
        <v>16.756</v>
      </c>
      <c r="AG75" s="56">
        <v>4601.2497100000001</v>
      </c>
      <c r="AH75" s="56">
        <v>0</v>
      </c>
      <c r="AI75" s="56">
        <v>0</v>
      </c>
      <c r="AJ75" s="56">
        <v>76.98075</v>
      </c>
      <c r="AK75" s="56">
        <v>0</v>
      </c>
      <c r="AL75" s="56">
        <v>0</v>
      </c>
      <c r="AM75" s="56">
        <v>0</v>
      </c>
      <c r="AN75" s="56">
        <v>0</v>
      </c>
      <c r="AO75" s="56">
        <v>9</v>
      </c>
      <c r="AP75" s="56">
        <v>95.14</v>
      </c>
      <c r="AQ75" s="56">
        <v>21.15</v>
      </c>
      <c r="AR75" s="56">
        <v>2.2111000000000001</v>
      </c>
      <c r="AS75" s="56">
        <v>22.96</v>
      </c>
      <c r="AT75" s="56">
        <v>0</v>
      </c>
      <c r="AU75" s="56">
        <v>0</v>
      </c>
      <c r="AV75" s="41">
        <f t="shared" si="1"/>
        <v>13718.98914</v>
      </c>
    </row>
    <row r="76" spans="1:48" s="16" customFormat="1" x14ac:dyDescent="0.25">
      <c r="A76" s="2" t="s">
        <v>84</v>
      </c>
      <c r="B76" s="40">
        <v>65.349999999999994</v>
      </c>
      <c r="C76" s="40">
        <v>735.39919999999995</v>
      </c>
      <c r="D76" s="40">
        <v>260.26710000000003</v>
      </c>
      <c r="E76" s="40">
        <v>23.447299999999998</v>
      </c>
      <c r="F76" s="40">
        <v>2.5705</v>
      </c>
      <c r="G76" s="40">
        <v>241.40985000000001</v>
      </c>
      <c r="H76" s="40">
        <v>0</v>
      </c>
      <c r="I76" s="40">
        <v>5.3274499999999998</v>
      </c>
      <c r="J76" s="40">
        <v>170.44463000000002</v>
      </c>
      <c r="K76" s="40">
        <v>29.429259999999999</v>
      </c>
      <c r="L76" s="40">
        <v>81.735050000000001</v>
      </c>
      <c r="M76" s="40">
        <v>379.48578999999995</v>
      </c>
      <c r="N76" s="40">
        <v>363.83908000000002</v>
      </c>
      <c r="O76" s="40">
        <v>59.632010000000001</v>
      </c>
      <c r="P76" s="40">
        <v>6.5381999999999998</v>
      </c>
      <c r="Q76" s="40">
        <v>0</v>
      </c>
      <c r="R76" s="40">
        <v>8.9056800000000003</v>
      </c>
      <c r="S76" s="40">
        <v>23.51728</v>
      </c>
      <c r="T76" s="40">
        <v>333.63200000000001</v>
      </c>
      <c r="U76" s="56">
        <v>79.293000000000006</v>
      </c>
      <c r="V76" s="56">
        <v>87.498109999999997</v>
      </c>
      <c r="W76" s="56">
        <v>0</v>
      </c>
      <c r="X76" s="56">
        <v>0</v>
      </c>
      <c r="Y76" s="56">
        <v>0</v>
      </c>
      <c r="Z76" s="56">
        <v>0</v>
      </c>
      <c r="AA76" s="56">
        <v>0</v>
      </c>
      <c r="AB76" s="56">
        <v>60.994999999999997</v>
      </c>
      <c r="AC76" s="56">
        <v>0</v>
      </c>
      <c r="AD76" s="56">
        <v>15.035200000000001</v>
      </c>
      <c r="AE76" s="56">
        <v>592.61043999999993</v>
      </c>
      <c r="AF76" s="56">
        <v>300.084</v>
      </c>
      <c r="AG76" s="56">
        <v>1274.71174</v>
      </c>
      <c r="AH76" s="56">
        <v>0</v>
      </c>
      <c r="AI76" s="56">
        <v>0</v>
      </c>
      <c r="AJ76" s="56">
        <v>122.08</v>
      </c>
      <c r="AK76" s="56">
        <v>0</v>
      </c>
      <c r="AL76" s="56">
        <v>0</v>
      </c>
      <c r="AM76" s="56">
        <v>0</v>
      </c>
      <c r="AN76" s="56">
        <v>0</v>
      </c>
      <c r="AO76" s="56">
        <v>0</v>
      </c>
      <c r="AP76" s="56">
        <v>0</v>
      </c>
      <c r="AQ76" s="56">
        <v>6</v>
      </c>
      <c r="AR76" s="56">
        <v>5.9983399999999998</v>
      </c>
      <c r="AS76" s="56">
        <v>61.755000000000003</v>
      </c>
      <c r="AT76" s="56">
        <v>0</v>
      </c>
      <c r="AU76" s="56">
        <v>0</v>
      </c>
      <c r="AV76" s="41">
        <f t="shared" si="1"/>
        <v>5396.9912099999992</v>
      </c>
    </row>
    <row r="77" spans="1:48" s="16" customFormat="1" x14ac:dyDescent="0.25">
      <c r="A77" s="2" t="s">
        <v>85</v>
      </c>
      <c r="B77" s="40">
        <v>19.852599999999999</v>
      </c>
      <c r="C77" s="40">
        <v>184.4255</v>
      </c>
      <c r="D77" s="40">
        <v>0</v>
      </c>
      <c r="E77" s="40">
        <v>3.78945</v>
      </c>
      <c r="F77" s="40">
        <v>0</v>
      </c>
      <c r="G77" s="40">
        <v>41.72345</v>
      </c>
      <c r="H77" s="40">
        <v>0</v>
      </c>
      <c r="I77" s="40">
        <v>0.52810000000000001</v>
      </c>
      <c r="J77" s="40">
        <v>15.839169999999999</v>
      </c>
      <c r="K77" s="40">
        <v>22.674099999999999</v>
      </c>
      <c r="L77" s="40">
        <v>14.229700000000001</v>
      </c>
      <c r="M77" s="40">
        <v>259.16627999999997</v>
      </c>
      <c r="N77" s="40">
        <v>22.84712</v>
      </c>
      <c r="O77" s="40">
        <v>9.3621499999999997</v>
      </c>
      <c r="P77" s="40">
        <v>3.8983000000000003</v>
      </c>
      <c r="Q77" s="40">
        <v>0.1</v>
      </c>
      <c r="R77" s="40">
        <v>1.6479000000000001</v>
      </c>
      <c r="S77" s="40">
        <v>0.46</v>
      </c>
      <c r="T77" s="40">
        <v>94.29464999999999</v>
      </c>
      <c r="U77" s="56">
        <v>7.8666499999999999</v>
      </c>
      <c r="V77" s="56">
        <v>42.080379999999998</v>
      </c>
      <c r="W77" s="56">
        <v>0</v>
      </c>
      <c r="X77" s="56">
        <v>0</v>
      </c>
      <c r="Y77" s="56">
        <v>0</v>
      </c>
      <c r="Z77" s="56">
        <v>0</v>
      </c>
      <c r="AA77" s="56">
        <v>1.28478</v>
      </c>
      <c r="AB77" s="56">
        <v>19.672999999999998</v>
      </c>
      <c r="AC77" s="56">
        <v>0</v>
      </c>
      <c r="AD77" s="56">
        <v>10.248799999999999</v>
      </c>
      <c r="AE77" s="56">
        <v>166.40783999999999</v>
      </c>
      <c r="AF77" s="56">
        <v>1.252</v>
      </c>
      <c r="AG77" s="56">
        <v>551.50419999999997</v>
      </c>
      <c r="AH77" s="56">
        <v>0</v>
      </c>
      <c r="AI77" s="56">
        <v>0</v>
      </c>
      <c r="AJ77" s="56">
        <v>18.306000000000001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6.6185</v>
      </c>
      <c r="AS77" s="56">
        <v>49.509</v>
      </c>
      <c r="AT77" s="56">
        <v>0</v>
      </c>
      <c r="AU77" s="56">
        <v>0</v>
      </c>
      <c r="AV77" s="41">
        <f t="shared" si="1"/>
        <v>1569.5896200000002</v>
      </c>
    </row>
    <row r="78" spans="1:48" s="16" customFormat="1" x14ac:dyDescent="0.25">
      <c r="A78" s="2" t="s">
        <v>86</v>
      </c>
      <c r="B78" s="40">
        <v>33.159999999999997</v>
      </c>
      <c r="C78" s="40">
        <v>626.34990000000005</v>
      </c>
      <c r="D78" s="40">
        <v>1073.8566000000001</v>
      </c>
      <c r="E78" s="40">
        <v>0</v>
      </c>
      <c r="F78" s="40">
        <v>0</v>
      </c>
      <c r="G78" s="40">
        <v>360.55284999999998</v>
      </c>
      <c r="H78" s="40">
        <v>0</v>
      </c>
      <c r="I78" s="40">
        <v>4.55</v>
      </c>
      <c r="J78" s="40">
        <v>85.769270000000006</v>
      </c>
      <c r="K78" s="40">
        <v>10.97775</v>
      </c>
      <c r="L78" s="40">
        <v>77.561940000000007</v>
      </c>
      <c r="M78" s="40">
        <v>390.78628000000003</v>
      </c>
      <c r="N78" s="40">
        <v>204.18464</v>
      </c>
      <c r="O78" s="40">
        <v>34.270489999999995</v>
      </c>
      <c r="P78" s="40">
        <v>30.324400000000001</v>
      </c>
      <c r="Q78" s="40">
        <v>2.2799999999999998</v>
      </c>
      <c r="R78" s="40">
        <v>0.35114999999999996</v>
      </c>
      <c r="S78" s="40">
        <v>4.9569999999999999</v>
      </c>
      <c r="T78" s="40">
        <v>218.12799999999999</v>
      </c>
      <c r="U78" s="56">
        <v>2.448</v>
      </c>
      <c r="V78" s="56">
        <v>23.685040000000001</v>
      </c>
      <c r="W78" s="56">
        <v>0</v>
      </c>
      <c r="X78" s="56">
        <v>0</v>
      </c>
      <c r="Y78" s="56">
        <v>-0.88500000000000001</v>
      </c>
      <c r="Z78" s="56">
        <v>0</v>
      </c>
      <c r="AA78" s="56">
        <v>6.7099999999999993E-2</v>
      </c>
      <c r="AB78" s="56">
        <v>48.417999999999999</v>
      </c>
      <c r="AC78" s="56">
        <v>7.7008799999999997</v>
      </c>
      <c r="AD78" s="56">
        <v>4.12</v>
      </c>
      <c r="AE78" s="56">
        <v>603.33960000000002</v>
      </c>
      <c r="AF78" s="56">
        <v>1.891</v>
      </c>
      <c r="AG78" s="56">
        <v>866.21511999999996</v>
      </c>
      <c r="AH78" s="56">
        <v>0</v>
      </c>
      <c r="AI78" s="56">
        <v>0</v>
      </c>
      <c r="AJ78" s="56">
        <v>49.712000000000003</v>
      </c>
      <c r="AK78" s="56">
        <v>0</v>
      </c>
      <c r="AL78" s="56">
        <v>0</v>
      </c>
      <c r="AM78" s="56">
        <v>0</v>
      </c>
      <c r="AN78" s="56">
        <v>0</v>
      </c>
      <c r="AO78" s="56">
        <v>62</v>
      </c>
      <c r="AP78" s="56">
        <v>0</v>
      </c>
      <c r="AQ78" s="56">
        <v>0.5</v>
      </c>
      <c r="AR78" s="56">
        <v>0</v>
      </c>
      <c r="AS78" s="56">
        <v>130.13292999999999</v>
      </c>
      <c r="AT78" s="56">
        <v>0</v>
      </c>
      <c r="AU78" s="56">
        <v>0</v>
      </c>
      <c r="AV78" s="41">
        <f t="shared" si="1"/>
        <v>4957.4049400000004</v>
      </c>
    </row>
    <row r="79" spans="1:48" s="16" customFormat="1" x14ac:dyDescent="0.25">
      <c r="A79" s="2" t="s">
        <v>20</v>
      </c>
      <c r="B79" s="40">
        <v>101.74</v>
      </c>
      <c r="C79" s="40">
        <v>1445.0844500000001</v>
      </c>
      <c r="D79" s="40">
        <v>924.79340000000002</v>
      </c>
      <c r="E79" s="40">
        <v>0</v>
      </c>
      <c r="F79" s="40">
        <v>4.9686000000000003</v>
      </c>
      <c r="G79" s="40">
        <v>579.11855000000003</v>
      </c>
      <c r="H79" s="40">
        <v>0</v>
      </c>
      <c r="I79" s="40">
        <v>22.819500000000001</v>
      </c>
      <c r="J79" s="40">
        <v>238.04302999999999</v>
      </c>
      <c r="K79" s="40">
        <v>82.044499999999999</v>
      </c>
      <c r="L79" s="40">
        <v>164.88037</v>
      </c>
      <c r="M79" s="40">
        <v>917.94732999999997</v>
      </c>
      <c r="N79" s="40">
        <v>323.56213000000002</v>
      </c>
      <c r="O79" s="40">
        <v>84.959729999999993</v>
      </c>
      <c r="P79" s="40">
        <v>40.870539999999998</v>
      </c>
      <c r="Q79" s="40">
        <v>0</v>
      </c>
      <c r="R79" s="40">
        <v>24.567550000000001</v>
      </c>
      <c r="S79" s="40">
        <v>0.59120000000000006</v>
      </c>
      <c r="T79" s="40">
        <v>360.40075000000002</v>
      </c>
      <c r="U79" s="56">
        <v>95.364339999999999</v>
      </c>
      <c r="V79" s="56">
        <v>0</v>
      </c>
      <c r="W79" s="56">
        <v>0</v>
      </c>
      <c r="X79" s="56">
        <v>0</v>
      </c>
      <c r="Y79" s="56">
        <v>37.927399999999999</v>
      </c>
      <c r="Z79" s="56">
        <v>0</v>
      </c>
      <c r="AA79" s="56">
        <v>8.8926800000000004</v>
      </c>
      <c r="AB79" s="56">
        <v>161.72200000000001</v>
      </c>
      <c r="AC79" s="56">
        <v>0</v>
      </c>
      <c r="AD79" s="56">
        <v>30.215</v>
      </c>
      <c r="AE79" s="56">
        <v>1127.2949099999998</v>
      </c>
      <c r="AF79" s="56">
        <v>706.399</v>
      </c>
      <c r="AG79" s="56">
        <v>4022.9424800000002</v>
      </c>
      <c r="AH79" s="56">
        <v>0</v>
      </c>
      <c r="AI79" s="56">
        <v>0</v>
      </c>
      <c r="AJ79" s="56">
        <v>51.451039999999999</v>
      </c>
      <c r="AK79" s="56">
        <v>0</v>
      </c>
      <c r="AL79" s="56">
        <v>0</v>
      </c>
      <c r="AM79" s="56">
        <v>0</v>
      </c>
      <c r="AN79" s="56">
        <v>0</v>
      </c>
      <c r="AO79" s="56">
        <v>264.3</v>
      </c>
      <c r="AP79" s="56">
        <v>0</v>
      </c>
      <c r="AQ79" s="56">
        <v>0</v>
      </c>
      <c r="AR79" s="56">
        <v>0</v>
      </c>
      <c r="AS79" s="56">
        <v>11.88495</v>
      </c>
      <c r="AT79" s="56">
        <v>0</v>
      </c>
      <c r="AU79" s="56">
        <v>0</v>
      </c>
      <c r="AV79" s="41">
        <f t="shared" si="1"/>
        <v>11834.785429999998</v>
      </c>
    </row>
    <row r="80" spans="1:48" s="16" customFormat="1" x14ac:dyDescent="0.25">
      <c r="A80" s="2" t="s">
        <v>87</v>
      </c>
      <c r="B80" s="40">
        <v>49.216000000000001</v>
      </c>
      <c r="C80" s="40">
        <v>965.85159999999996</v>
      </c>
      <c r="D80" s="40">
        <v>149.72450000000001</v>
      </c>
      <c r="E80" s="40">
        <v>0</v>
      </c>
      <c r="F80" s="40">
        <v>0</v>
      </c>
      <c r="G80" s="40">
        <v>214.40885</v>
      </c>
      <c r="H80" s="40">
        <v>0</v>
      </c>
      <c r="I80" s="40">
        <v>1.44865</v>
      </c>
      <c r="J80" s="40">
        <v>422.22267999999997</v>
      </c>
      <c r="K80" s="40">
        <v>7.0386000000000006</v>
      </c>
      <c r="L80" s="40">
        <v>126.1665</v>
      </c>
      <c r="M80" s="40">
        <v>230.81759</v>
      </c>
      <c r="N80" s="40">
        <v>426.10701</v>
      </c>
      <c r="O80" s="40">
        <v>68.157420000000002</v>
      </c>
      <c r="P80" s="40">
        <v>19.100450000000002</v>
      </c>
      <c r="Q80" s="40">
        <v>0.42</v>
      </c>
      <c r="R80" s="40">
        <v>14.009729999999999</v>
      </c>
      <c r="S80" s="40">
        <v>2.6</v>
      </c>
      <c r="T80" s="40">
        <v>183.81419</v>
      </c>
      <c r="U80" s="56">
        <v>0</v>
      </c>
      <c r="V80" s="56">
        <v>75.737210000000005</v>
      </c>
      <c r="W80" s="56">
        <v>0.7377999999999999</v>
      </c>
      <c r="X80" s="56">
        <v>0</v>
      </c>
      <c r="Y80" s="56">
        <v>0</v>
      </c>
      <c r="Z80" s="56">
        <v>0.78474999999999995</v>
      </c>
      <c r="AA80" s="56">
        <v>2.8008699999999997</v>
      </c>
      <c r="AB80" s="56">
        <v>124.227</v>
      </c>
      <c r="AC80" s="56">
        <v>2.6320100000000002</v>
      </c>
      <c r="AD80" s="56">
        <v>19.726900000000001</v>
      </c>
      <c r="AE80" s="56">
        <v>281.12078000000002</v>
      </c>
      <c r="AF80" s="56">
        <v>0</v>
      </c>
      <c r="AG80" s="56">
        <v>1216.1371000000001</v>
      </c>
      <c r="AH80" s="56">
        <v>0</v>
      </c>
      <c r="AI80" s="56">
        <v>0</v>
      </c>
      <c r="AJ80" s="56">
        <v>3.3</v>
      </c>
      <c r="AK80" s="56">
        <v>0</v>
      </c>
      <c r="AL80" s="56">
        <v>0</v>
      </c>
      <c r="AM80" s="56">
        <v>0</v>
      </c>
      <c r="AN80" s="56">
        <v>0</v>
      </c>
      <c r="AO80" s="56">
        <v>171.5</v>
      </c>
      <c r="AP80" s="56">
        <v>0</v>
      </c>
      <c r="AQ80" s="56">
        <v>6.3</v>
      </c>
      <c r="AR80" s="56">
        <v>25.303999999999998</v>
      </c>
      <c r="AS80" s="56">
        <v>96.104399999999998</v>
      </c>
      <c r="AT80" s="56">
        <v>0</v>
      </c>
      <c r="AU80" s="56">
        <v>0</v>
      </c>
      <c r="AV80" s="41">
        <f t="shared" si="1"/>
        <v>4907.5165900000011</v>
      </c>
    </row>
    <row r="81" spans="1:48" s="16" customFormat="1" x14ac:dyDescent="0.25">
      <c r="A81" s="2" t="s">
        <v>30</v>
      </c>
      <c r="B81" s="40">
        <v>39.792699999999996</v>
      </c>
      <c r="C81" s="40">
        <v>870.90700000000004</v>
      </c>
      <c r="D81" s="40">
        <v>208.54139999999998</v>
      </c>
      <c r="E81" s="40">
        <v>0</v>
      </c>
      <c r="F81" s="40">
        <v>3.2</v>
      </c>
      <c r="G81" s="40">
        <v>257.33330000000001</v>
      </c>
      <c r="H81" s="40">
        <v>0</v>
      </c>
      <c r="I81" s="40">
        <v>3.5012500000000002</v>
      </c>
      <c r="J81" s="40">
        <v>47.817889999999998</v>
      </c>
      <c r="K81" s="40">
        <v>46.00094</v>
      </c>
      <c r="L81" s="40">
        <v>103.62180000000001</v>
      </c>
      <c r="M81" s="40">
        <v>391.10140000000001</v>
      </c>
      <c r="N81" s="40">
        <v>247.56810000000002</v>
      </c>
      <c r="O81" s="40">
        <v>68.337140000000005</v>
      </c>
      <c r="P81" s="40">
        <v>1.1285499999999999</v>
      </c>
      <c r="Q81" s="40">
        <v>11.144350000000001</v>
      </c>
      <c r="R81" s="40">
        <v>22.28471</v>
      </c>
      <c r="S81" s="40">
        <v>0.1</v>
      </c>
      <c r="T81" s="40">
        <v>277.33509999999995</v>
      </c>
      <c r="U81" s="56">
        <v>50.491</v>
      </c>
      <c r="V81" s="56">
        <v>64.798330000000007</v>
      </c>
      <c r="W81" s="56">
        <v>0</v>
      </c>
      <c r="X81" s="56">
        <v>0</v>
      </c>
      <c r="Y81" s="56">
        <v>0</v>
      </c>
      <c r="Z81" s="56">
        <v>0</v>
      </c>
      <c r="AA81" s="56">
        <v>4.6872199999999999</v>
      </c>
      <c r="AB81" s="56">
        <v>71.108000000000004</v>
      </c>
      <c r="AC81" s="56">
        <v>9.6703500000000009</v>
      </c>
      <c r="AD81" s="56">
        <v>5.35</v>
      </c>
      <c r="AE81" s="56">
        <v>1374.46254</v>
      </c>
      <c r="AF81" s="56">
        <v>7.65</v>
      </c>
      <c r="AG81" s="56">
        <v>1938.1209899999999</v>
      </c>
      <c r="AH81" s="56">
        <v>0</v>
      </c>
      <c r="AI81" s="56">
        <v>0</v>
      </c>
      <c r="AJ81" s="56">
        <v>34.503</v>
      </c>
      <c r="AK81" s="56">
        <v>0</v>
      </c>
      <c r="AL81" s="56">
        <v>0</v>
      </c>
      <c r="AM81" s="56">
        <v>0.4</v>
      </c>
      <c r="AN81" s="56">
        <v>0</v>
      </c>
      <c r="AO81" s="56">
        <v>31.5</v>
      </c>
      <c r="AP81" s="56">
        <v>0</v>
      </c>
      <c r="AQ81" s="56">
        <v>0.53600000000000003</v>
      </c>
      <c r="AR81" s="56">
        <v>0</v>
      </c>
      <c r="AS81" s="56">
        <v>71.667000000000002</v>
      </c>
      <c r="AT81" s="56">
        <v>0</v>
      </c>
      <c r="AU81" s="56">
        <v>11</v>
      </c>
      <c r="AV81" s="41">
        <f t="shared" si="1"/>
        <v>6275.6600599999983</v>
      </c>
    </row>
    <row r="82" spans="1:48" s="16" customFormat="1" x14ac:dyDescent="0.25">
      <c r="A82" s="2" t="s">
        <v>88</v>
      </c>
      <c r="B82" s="40">
        <v>71.025000000000006</v>
      </c>
      <c r="C82" s="40">
        <v>667.8374</v>
      </c>
      <c r="D82" s="40">
        <v>90.895750000000007</v>
      </c>
      <c r="E82" s="40">
        <v>0</v>
      </c>
      <c r="F82" s="40">
        <v>2.88</v>
      </c>
      <c r="G82" s="40">
        <v>154.6902</v>
      </c>
      <c r="H82" s="40">
        <v>0</v>
      </c>
      <c r="I82" s="40">
        <v>0.9</v>
      </c>
      <c r="J82" s="40">
        <v>88.765830000000008</v>
      </c>
      <c r="K82" s="40">
        <v>49.719650000000001</v>
      </c>
      <c r="L82" s="40">
        <v>39.372050000000002</v>
      </c>
      <c r="M82" s="40">
        <v>633.65886</v>
      </c>
      <c r="N82" s="40">
        <v>342.46277000000003</v>
      </c>
      <c r="O82" s="40">
        <v>25.22052</v>
      </c>
      <c r="P82" s="40">
        <v>11.80095</v>
      </c>
      <c r="Q82" s="40">
        <v>7.8048000000000002</v>
      </c>
      <c r="R82" s="40">
        <v>36.686550000000004</v>
      </c>
      <c r="S82" s="40">
        <v>0</v>
      </c>
      <c r="T82" s="40">
        <v>324.887</v>
      </c>
      <c r="U82" s="56">
        <v>66.777000000000001</v>
      </c>
      <c r="V82" s="56">
        <v>63.401739999999997</v>
      </c>
      <c r="W82" s="56">
        <v>0</v>
      </c>
      <c r="X82" s="56">
        <v>0</v>
      </c>
      <c r="Y82" s="56">
        <v>8.3227499999999992</v>
      </c>
      <c r="Z82" s="56">
        <v>0</v>
      </c>
      <c r="AA82" s="56">
        <v>3.7383899999999999</v>
      </c>
      <c r="AB82" s="56">
        <v>67.63239999999999</v>
      </c>
      <c r="AC82" s="56">
        <v>39.63505</v>
      </c>
      <c r="AD82" s="56">
        <v>10.29</v>
      </c>
      <c r="AE82" s="56">
        <v>573.17169999999999</v>
      </c>
      <c r="AF82" s="56">
        <v>268.15300000000002</v>
      </c>
      <c r="AG82" s="56">
        <v>1321.19172</v>
      </c>
      <c r="AH82" s="56">
        <v>0</v>
      </c>
      <c r="AI82" s="56">
        <v>54.020350000000001</v>
      </c>
      <c r="AJ82" s="56">
        <v>12.647</v>
      </c>
      <c r="AK82" s="56">
        <v>0</v>
      </c>
      <c r="AL82" s="56">
        <v>0</v>
      </c>
      <c r="AM82" s="56">
        <v>0</v>
      </c>
      <c r="AN82" s="56">
        <v>0</v>
      </c>
      <c r="AO82" s="56">
        <v>235.154</v>
      </c>
      <c r="AP82" s="56">
        <v>0</v>
      </c>
      <c r="AQ82" s="56">
        <v>37.751750000000001</v>
      </c>
      <c r="AR82" s="56">
        <v>48.667199999999994</v>
      </c>
      <c r="AS82" s="56">
        <v>244.55500000000001</v>
      </c>
      <c r="AT82" s="56">
        <v>0</v>
      </c>
      <c r="AU82" s="56">
        <v>0</v>
      </c>
      <c r="AV82" s="41">
        <f t="shared" si="1"/>
        <v>5603.7163799999989</v>
      </c>
    </row>
    <row r="83" spans="1:48" s="16" customFormat="1" x14ac:dyDescent="0.25">
      <c r="A83" s="2" t="s">
        <v>89</v>
      </c>
      <c r="B83" s="40">
        <v>467.92200000000003</v>
      </c>
      <c r="C83" s="40">
        <v>7932.4641500000007</v>
      </c>
      <c r="D83" s="40">
        <v>1718.2078999999999</v>
      </c>
      <c r="E83" s="40">
        <v>50.023620000000001</v>
      </c>
      <c r="F83" s="40">
        <v>113.98905000000001</v>
      </c>
      <c r="G83" s="40">
        <v>2218.3625499999998</v>
      </c>
      <c r="H83" s="40">
        <v>0</v>
      </c>
      <c r="I83" s="40">
        <v>52.57235</v>
      </c>
      <c r="J83" s="40">
        <v>433.55632000000003</v>
      </c>
      <c r="K83" s="40">
        <v>118.56227</v>
      </c>
      <c r="L83" s="40">
        <v>620.90644999999995</v>
      </c>
      <c r="M83" s="40">
        <v>1838.9870700000001</v>
      </c>
      <c r="N83" s="40">
        <v>935.60064999999997</v>
      </c>
      <c r="O83" s="40">
        <v>372.34853000000004</v>
      </c>
      <c r="P83" s="40">
        <v>64.989249999999998</v>
      </c>
      <c r="Q83" s="40">
        <v>159.60614999999999</v>
      </c>
      <c r="R83" s="40">
        <v>181.57079000000002</v>
      </c>
      <c r="S83" s="40">
        <v>30.761710000000001</v>
      </c>
      <c r="T83" s="40">
        <v>2091.4209500000002</v>
      </c>
      <c r="U83" s="56">
        <v>160.49574999999999</v>
      </c>
      <c r="V83" s="56">
        <v>53.446239999999996</v>
      </c>
      <c r="W83" s="56">
        <v>0</v>
      </c>
      <c r="X83" s="56">
        <v>0</v>
      </c>
      <c r="Y83" s="56">
        <v>116.67755</v>
      </c>
      <c r="Z83" s="56">
        <v>0</v>
      </c>
      <c r="AA83" s="56">
        <v>3.2509999999999999</v>
      </c>
      <c r="AB83" s="56">
        <v>140.976</v>
      </c>
      <c r="AC83" s="56">
        <v>325.76388000000003</v>
      </c>
      <c r="AD83" s="56">
        <v>276.54215000000005</v>
      </c>
      <c r="AE83" s="56">
        <v>1219.0139999999999</v>
      </c>
      <c r="AF83" s="56">
        <v>8640.5069999999996</v>
      </c>
      <c r="AG83" s="56">
        <v>15968.27577</v>
      </c>
      <c r="AH83" s="56">
        <v>0</v>
      </c>
      <c r="AI83" s="56">
        <v>0</v>
      </c>
      <c r="AJ83" s="56">
        <v>666.52805000000001</v>
      </c>
      <c r="AK83" s="56">
        <v>0</v>
      </c>
      <c r="AL83" s="56">
        <v>0</v>
      </c>
      <c r="AM83" s="56">
        <v>171.82794000000001</v>
      </c>
      <c r="AN83" s="56">
        <v>34.242400000000004</v>
      </c>
      <c r="AO83" s="56">
        <v>236.21485000000001</v>
      </c>
      <c r="AP83" s="56">
        <v>0</v>
      </c>
      <c r="AQ83" s="56">
        <v>10</v>
      </c>
      <c r="AR83" s="56">
        <v>53.281109999999998</v>
      </c>
      <c r="AS83" s="56">
        <v>267.85649999999998</v>
      </c>
      <c r="AT83" s="56">
        <v>0</v>
      </c>
      <c r="AU83" s="56">
        <v>0</v>
      </c>
      <c r="AV83" s="41">
        <f t="shared" si="1"/>
        <v>47746.751950000005</v>
      </c>
    </row>
    <row r="84" spans="1:48" s="16" customFormat="1" x14ac:dyDescent="0.25">
      <c r="A84" s="2" t="s">
        <v>90</v>
      </c>
      <c r="B84" s="40">
        <v>52.86495</v>
      </c>
      <c r="C84" s="40">
        <v>502.52295000000004</v>
      </c>
      <c r="D84" s="40">
        <v>146.95625000000001</v>
      </c>
      <c r="E84" s="40">
        <v>0</v>
      </c>
      <c r="F84" s="40">
        <v>0</v>
      </c>
      <c r="G84" s="40">
        <v>118.68539</v>
      </c>
      <c r="H84" s="40">
        <v>0</v>
      </c>
      <c r="I84" s="40">
        <v>1.69295</v>
      </c>
      <c r="J84" s="40">
        <v>48.000809999999994</v>
      </c>
      <c r="K84" s="40">
        <v>17.302589999999999</v>
      </c>
      <c r="L84" s="40">
        <v>37.902749999999997</v>
      </c>
      <c r="M84" s="40">
        <v>152.04695000000001</v>
      </c>
      <c r="N84" s="40">
        <v>74.802700000000002</v>
      </c>
      <c r="O84" s="40">
        <v>55.246699999999997</v>
      </c>
      <c r="P84" s="40">
        <v>7.3826499999999999</v>
      </c>
      <c r="Q84" s="40">
        <v>0.15</v>
      </c>
      <c r="R84" s="40">
        <v>6.2733999999999996</v>
      </c>
      <c r="S84" s="40">
        <v>0</v>
      </c>
      <c r="T84" s="40">
        <v>178.8</v>
      </c>
      <c r="U84" s="56">
        <v>0</v>
      </c>
      <c r="V84" s="56">
        <v>7.2788399999999998</v>
      </c>
      <c r="W84" s="56">
        <v>0</v>
      </c>
      <c r="X84" s="56">
        <v>0</v>
      </c>
      <c r="Y84" s="56">
        <v>0</v>
      </c>
      <c r="Z84" s="56">
        <v>0</v>
      </c>
      <c r="AA84" s="56">
        <v>3.4796900000000002</v>
      </c>
      <c r="AB84" s="56">
        <v>36.412999999999997</v>
      </c>
      <c r="AC84" s="56">
        <v>13.7006</v>
      </c>
      <c r="AD84" s="56">
        <v>6.3064999999999998</v>
      </c>
      <c r="AE84" s="56">
        <v>216.33279000000002</v>
      </c>
      <c r="AF84" s="56">
        <v>0</v>
      </c>
      <c r="AG84" s="56">
        <v>223.012</v>
      </c>
      <c r="AH84" s="56">
        <v>0</v>
      </c>
      <c r="AI84" s="56">
        <v>0</v>
      </c>
      <c r="AJ84" s="56">
        <v>13.8</v>
      </c>
      <c r="AK84" s="56">
        <v>0</v>
      </c>
      <c r="AL84" s="56">
        <v>0</v>
      </c>
      <c r="AM84" s="56">
        <v>0</v>
      </c>
      <c r="AN84" s="56">
        <v>0</v>
      </c>
      <c r="AO84" s="56">
        <v>60.115400000000001</v>
      </c>
      <c r="AP84" s="56">
        <v>0</v>
      </c>
      <c r="AQ84" s="56">
        <v>2.0074999999999998</v>
      </c>
      <c r="AR84" s="56">
        <v>2.7789999999999999</v>
      </c>
      <c r="AS84" s="56">
        <v>95.3</v>
      </c>
      <c r="AT84" s="56">
        <v>0</v>
      </c>
      <c r="AU84" s="56">
        <v>0</v>
      </c>
      <c r="AV84" s="41">
        <f t="shared" si="1"/>
        <v>2081.1563599999995</v>
      </c>
    </row>
    <row r="85" spans="1:48" s="16" customFormat="1" x14ac:dyDescent="0.25">
      <c r="A85" s="2" t="s">
        <v>91</v>
      </c>
      <c r="B85" s="40">
        <v>18.480049999999999</v>
      </c>
      <c r="C85" s="40">
        <v>553.74800000000005</v>
      </c>
      <c r="D85" s="40">
        <v>356.57009999999997</v>
      </c>
      <c r="E85" s="40">
        <v>0</v>
      </c>
      <c r="F85" s="40">
        <v>5.7</v>
      </c>
      <c r="G85" s="40">
        <v>174.5806</v>
      </c>
      <c r="H85" s="40">
        <v>0</v>
      </c>
      <c r="I85" s="40">
        <v>9.6997499999999999</v>
      </c>
      <c r="J85" s="40">
        <v>48.181599999999996</v>
      </c>
      <c r="K85" s="40">
        <v>65.734669999999994</v>
      </c>
      <c r="L85" s="40">
        <v>37.343449999999997</v>
      </c>
      <c r="M85" s="40">
        <v>215.18333999999999</v>
      </c>
      <c r="N85" s="40">
        <v>206.04023000000001</v>
      </c>
      <c r="O85" s="40">
        <v>45.41845</v>
      </c>
      <c r="P85" s="40">
        <v>50.545749999999998</v>
      </c>
      <c r="Q85" s="40">
        <v>1.2967</v>
      </c>
      <c r="R85" s="40">
        <v>6.7867499999999996</v>
      </c>
      <c r="S85" s="40">
        <v>1.17255</v>
      </c>
      <c r="T85" s="40">
        <v>92.304640000000006</v>
      </c>
      <c r="U85" s="56">
        <v>0</v>
      </c>
      <c r="V85" s="56">
        <v>26.997060000000001</v>
      </c>
      <c r="W85" s="56">
        <v>0</v>
      </c>
      <c r="X85" s="56">
        <v>0</v>
      </c>
      <c r="Y85" s="56">
        <v>0</v>
      </c>
      <c r="Z85" s="56">
        <v>0</v>
      </c>
      <c r="AA85" s="56">
        <v>4.1402999999999999</v>
      </c>
      <c r="AB85" s="56">
        <v>46.064</v>
      </c>
      <c r="AC85" s="56">
        <v>31.220400000000001</v>
      </c>
      <c r="AD85" s="56">
        <v>9.9807000000000006</v>
      </c>
      <c r="AE85" s="56">
        <v>458.43258000000003</v>
      </c>
      <c r="AF85" s="56">
        <v>0</v>
      </c>
      <c r="AG85" s="56">
        <v>582.62943000000007</v>
      </c>
      <c r="AH85" s="56">
        <v>0</v>
      </c>
      <c r="AI85" s="56">
        <v>0</v>
      </c>
      <c r="AJ85" s="56">
        <v>22.522650000000002</v>
      </c>
      <c r="AK85" s="56">
        <v>0</v>
      </c>
      <c r="AL85" s="56">
        <v>0</v>
      </c>
      <c r="AM85" s="56">
        <v>0</v>
      </c>
      <c r="AN85" s="56">
        <v>0</v>
      </c>
      <c r="AO85" s="56">
        <v>80</v>
      </c>
      <c r="AP85" s="56">
        <v>0</v>
      </c>
      <c r="AQ85" s="56">
        <v>0.4</v>
      </c>
      <c r="AR85" s="56">
        <v>2.52</v>
      </c>
      <c r="AS85" s="56">
        <v>45.499989999999997</v>
      </c>
      <c r="AT85" s="56">
        <v>0</v>
      </c>
      <c r="AU85" s="56">
        <v>0</v>
      </c>
      <c r="AV85" s="41">
        <f t="shared" si="1"/>
        <v>3199.1937400000002</v>
      </c>
    </row>
    <row r="86" spans="1:48" s="16" customFormat="1" x14ac:dyDescent="0.25">
      <c r="A86" s="2" t="s">
        <v>92</v>
      </c>
      <c r="B86" s="40">
        <v>74.977999999999994</v>
      </c>
      <c r="C86" s="40">
        <v>1106.45685</v>
      </c>
      <c r="D86" s="40">
        <v>1465.6511</v>
      </c>
      <c r="E86" s="40">
        <v>9.0670000000000002</v>
      </c>
      <c r="F86" s="40">
        <v>0</v>
      </c>
      <c r="G86" s="40">
        <v>503.51201000000003</v>
      </c>
      <c r="H86" s="40">
        <v>0</v>
      </c>
      <c r="I86" s="40">
        <v>20.520299999999999</v>
      </c>
      <c r="J86" s="40">
        <v>243.60477</v>
      </c>
      <c r="K86" s="40">
        <v>66.663910000000001</v>
      </c>
      <c r="L86" s="40">
        <v>126.16785</v>
      </c>
      <c r="M86" s="40">
        <v>798.17660999999998</v>
      </c>
      <c r="N86" s="40">
        <v>564.12536</v>
      </c>
      <c r="O86" s="40">
        <v>71.176649999999995</v>
      </c>
      <c r="P86" s="40">
        <v>16.618099999999998</v>
      </c>
      <c r="Q86" s="40">
        <v>0</v>
      </c>
      <c r="R86" s="40">
        <v>53.480199999999996</v>
      </c>
      <c r="S86" s="40">
        <v>2.1049499999999997</v>
      </c>
      <c r="T86" s="40">
        <v>280.52587</v>
      </c>
      <c r="U86" s="56">
        <v>13.845799999999999</v>
      </c>
      <c r="V86" s="56">
        <v>178.446</v>
      </c>
      <c r="W86" s="56">
        <v>0</v>
      </c>
      <c r="X86" s="56">
        <v>0</v>
      </c>
      <c r="Y86" s="56">
        <v>192.18021999999999</v>
      </c>
      <c r="Z86" s="56">
        <v>0</v>
      </c>
      <c r="AA86" s="56">
        <v>0.28675</v>
      </c>
      <c r="AB86" s="56">
        <v>70.353999999999999</v>
      </c>
      <c r="AC86" s="56">
        <v>72.446429999999992</v>
      </c>
      <c r="AD86" s="56">
        <v>16.513900000000003</v>
      </c>
      <c r="AE86" s="56">
        <v>715.80108999999993</v>
      </c>
      <c r="AF86" s="56">
        <v>5.3979999999999997</v>
      </c>
      <c r="AG86" s="56">
        <v>2119.1208700000002</v>
      </c>
      <c r="AH86" s="56">
        <v>0</v>
      </c>
      <c r="AI86" s="56">
        <v>0</v>
      </c>
      <c r="AJ86" s="56">
        <v>50.006620000000005</v>
      </c>
      <c r="AK86" s="56">
        <v>0</v>
      </c>
      <c r="AL86" s="56">
        <v>0</v>
      </c>
      <c r="AM86" s="56">
        <v>0</v>
      </c>
      <c r="AN86" s="56">
        <v>0</v>
      </c>
      <c r="AO86" s="56">
        <v>0</v>
      </c>
      <c r="AP86" s="56">
        <v>0</v>
      </c>
      <c r="AQ86" s="56">
        <v>24</v>
      </c>
      <c r="AR86" s="56">
        <v>0</v>
      </c>
      <c r="AS86" s="56">
        <v>95.947570000000013</v>
      </c>
      <c r="AT86" s="56">
        <v>0</v>
      </c>
      <c r="AU86" s="56">
        <v>0</v>
      </c>
      <c r="AV86" s="41">
        <f t="shared" si="1"/>
        <v>8957.1767800000016</v>
      </c>
    </row>
    <row r="87" spans="1:48" s="16" customFormat="1" x14ac:dyDescent="0.25">
      <c r="A87" s="2" t="s">
        <v>93</v>
      </c>
      <c r="B87" s="40">
        <v>128.92680000000001</v>
      </c>
      <c r="C87" s="40">
        <v>1097.4463000000001</v>
      </c>
      <c r="D87" s="40">
        <v>571.09659999999997</v>
      </c>
      <c r="E87" s="40">
        <v>0</v>
      </c>
      <c r="F87" s="40">
        <v>8</v>
      </c>
      <c r="G87" s="40">
        <v>392.11345</v>
      </c>
      <c r="H87" s="40">
        <v>0</v>
      </c>
      <c r="I87" s="40">
        <v>12.075100000000001</v>
      </c>
      <c r="J87" s="40">
        <v>117.44019999999999</v>
      </c>
      <c r="K87" s="40">
        <v>46.6524</v>
      </c>
      <c r="L87" s="40">
        <v>304.52805000000001</v>
      </c>
      <c r="M87" s="40">
        <v>564.07823999999994</v>
      </c>
      <c r="N87" s="40">
        <v>280.5847</v>
      </c>
      <c r="O87" s="40">
        <v>92.905299999999997</v>
      </c>
      <c r="P87" s="40">
        <v>15.818950000000001</v>
      </c>
      <c r="Q87" s="40">
        <v>14.0959</v>
      </c>
      <c r="R87" s="40">
        <v>9.2859500000000015</v>
      </c>
      <c r="S87" s="40">
        <v>0.70625000000000004</v>
      </c>
      <c r="T87" s="40">
        <v>351.31</v>
      </c>
      <c r="U87" s="56">
        <v>25.06</v>
      </c>
      <c r="V87" s="56">
        <v>45.965559999999996</v>
      </c>
      <c r="W87" s="56">
        <v>0</v>
      </c>
      <c r="X87" s="56">
        <v>0</v>
      </c>
      <c r="Y87" s="56">
        <v>74.513750000000002</v>
      </c>
      <c r="Z87" s="56">
        <v>0</v>
      </c>
      <c r="AA87" s="56">
        <v>6.0039300000000004</v>
      </c>
      <c r="AB87" s="56">
        <v>102.482</v>
      </c>
      <c r="AC87" s="56">
        <v>0</v>
      </c>
      <c r="AD87" s="56">
        <v>38.156500000000001</v>
      </c>
      <c r="AE87" s="56">
        <v>897.61612000000002</v>
      </c>
      <c r="AF87" s="56">
        <v>1904.5429999999999</v>
      </c>
      <c r="AG87" s="56">
        <v>3793.6536099999998</v>
      </c>
      <c r="AH87" s="56">
        <v>0</v>
      </c>
      <c r="AI87" s="56">
        <v>0</v>
      </c>
      <c r="AJ87" s="56">
        <v>75.040000000000006</v>
      </c>
      <c r="AK87" s="56">
        <v>0</v>
      </c>
      <c r="AL87" s="56">
        <v>0</v>
      </c>
      <c r="AM87" s="56">
        <v>0</v>
      </c>
      <c r="AN87" s="56">
        <v>0</v>
      </c>
      <c r="AO87" s="56">
        <v>20</v>
      </c>
      <c r="AP87" s="56">
        <v>0</v>
      </c>
      <c r="AQ87" s="56">
        <v>0</v>
      </c>
      <c r="AR87" s="56">
        <v>19.395</v>
      </c>
      <c r="AS87" s="56">
        <v>235.131</v>
      </c>
      <c r="AT87" s="56">
        <v>0</v>
      </c>
      <c r="AU87" s="56">
        <v>0</v>
      </c>
      <c r="AV87" s="41">
        <f t="shared" si="1"/>
        <v>11244.624659999999</v>
      </c>
    </row>
    <row r="88" spans="1:48" s="16" customFormat="1" ht="12.75" customHeight="1" x14ac:dyDescent="0.25">
      <c r="A88" s="2" t="s">
        <v>94</v>
      </c>
      <c r="B88" s="40">
        <v>17.556000000000001</v>
      </c>
      <c r="C88" s="40">
        <v>286.53122999999999</v>
      </c>
      <c r="D88" s="40">
        <v>266.01830000000001</v>
      </c>
      <c r="E88" s="40">
        <v>0</v>
      </c>
      <c r="F88" s="40">
        <v>5</v>
      </c>
      <c r="G88" s="40">
        <v>114.0102</v>
      </c>
      <c r="H88" s="40">
        <v>0</v>
      </c>
      <c r="I88" s="40">
        <v>1.4678</v>
      </c>
      <c r="J88" s="40">
        <v>47.827030000000001</v>
      </c>
      <c r="K88" s="40">
        <v>5.7839499999999999</v>
      </c>
      <c r="L88" s="40">
        <v>87.149299999999997</v>
      </c>
      <c r="M88" s="40">
        <v>107.76735000000001</v>
      </c>
      <c r="N88" s="40">
        <v>143.92435999999998</v>
      </c>
      <c r="O88" s="40">
        <v>10.5312</v>
      </c>
      <c r="P88" s="40">
        <v>2.1</v>
      </c>
      <c r="Q88" s="40">
        <v>0</v>
      </c>
      <c r="R88" s="40">
        <v>4.5899999999999996E-2</v>
      </c>
      <c r="S88" s="40">
        <v>1.49065</v>
      </c>
      <c r="T88" s="40">
        <v>328.76499999999999</v>
      </c>
      <c r="U88" s="56">
        <v>11.762</v>
      </c>
      <c r="V88" s="56">
        <v>81.675110000000004</v>
      </c>
      <c r="W88" s="56">
        <v>0</v>
      </c>
      <c r="X88" s="56">
        <v>0</v>
      </c>
      <c r="Y88" s="56">
        <v>19.7682</v>
      </c>
      <c r="Z88" s="56">
        <v>0</v>
      </c>
      <c r="AA88" s="56">
        <v>0</v>
      </c>
      <c r="AB88" s="56">
        <v>34.758000000000003</v>
      </c>
      <c r="AC88" s="56">
        <v>6.4278500000000003</v>
      </c>
      <c r="AD88" s="56">
        <v>8.9597000000000016</v>
      </c>
      <c r="AE88" s="56">
        <v>178.73185000000001</v>
      </c>
      <c r="AF88" s="56">
        <v>0</v>
      </c>
      <c r="AG88" s="56">
        <v>500.47403000000003</v>
      </c>
      <c r="AH88" s="56">
        <v>0</v>
      </c>
      <c r="AI88" s="56">
        <v>0</v>
      </c>
      <c r="AJ88" s="56">
        <v>0</v>
      </c>
      <c r="AK88" s="56">
        <v>0</v>
      </c>
      <c r="AL88" s="56">
        <v>0</v>
      </c>
      <c r="AM88" s="56">
        <v>0</v>
      </c>
      <c r="AN88" s="56">
        <v>0</v>
      </c>
      <c r="AO88" s="56">
        <v>58</v>
      </c>
      <c r="AP88" s="56">
        <v>0</v>
      </c>
      <c r="AQ88" s="56">
        <v>0</v>
      </c>
      <c r="AR88" s="56">
        <v>25.339779999999998</v>
      </c>
      <c r="AS88" s="56">
        <v>112.959</v>
      </c>
      <c r="AT88" s="56">
        <v>0</v>
      </c>
      <c r="AU88" s="56">
        <v>0</v>
      </c>
      <c r="AV88" s="41">
        <f t="shared" si="1"/>
        <v>2464.8237899999995</v>
      </c>
    </row>
    <row r="89" spans="1:48" s="16" customFormat="1" x14ac:dyDescent="0.25">
      <c r="A89" s="2" t="s">
        <v>95</v>
      </c>
      <c r="B89" s="40">
        <v>46.33005</v>
      </c>
      <c r="C89" s="40">
        <v>840.30319999999995</v>
      </c>
      <c r="D89" s="40">
        <v>601.96305000000007</v>
      </c>
      <c r="E89" s="40">
        <v>0</v>
      </c>
      <c r="F89" s="40">
        <v>9.2745999999999995</v>
      </c>
      <c r="G89" s="40">
        <v>321.59440000000001</v>
      </c>
      <c r="H89" s="40">
        <v>0</v>
      </c>
      <c r="I89" s="40">
        <v>0.5</v>
      </c>
      <c r="J89" s="40">
        <v>106.00857000000001</v>
      </c>
      <c r="K89" s="40">
        <v>36.891100000000002</v>
      </c>
      <c r="L89" s="40">
        <v>76.08547999999999</v>
      </c>
      <c r="M89" s="40">
        <v>615.56935999999996</v>
      </c>
      <c r="N89" s="40">
        <v>215.67152999999999</v>
      </c>
      <c r="O89" s="40">
        <v>28.94078</v>
      </c>
      <c r="P89" s="40">
        <v>1.92</v>
      </c>
      <c r="Q89" s="40">
        <v>27.857200000000002</v>
      </c>
      <c r="R89" s="40">
        <v>52.881540000000001</v>
      </c>
      <c r="S89" s="40">
        <v>35.122579999999999</v>
      </c>
      <c r="T89" s="40">
        <v>676.35461999999995</v>
      </c>
      <c r="U89" s="56">
        <v>44.37003</v>
      </c>
      <c r="V89" s="56">
        <v>57.599910000000001</v>
      </c>
      <c r="W89" s="56">
        <v>0</v>
      </c>
      <c r="X89" s="56">
        <v>0</v>
      </c>
      <c r="Y89" s="56">
        <v>0</v>
      </c>
      <c r="Z89" s="56">
        <v>0</v>
      </c>
      <c r="AA89" s="56">
        <v>3.5469200000000001</v>
      </c>
      <c r="AB89" s="56">
        <v>63.89</v>
      </c>
      <c r="AC89" s="56">
        <v>6.3852600000000006</v>
      </c>
      <c r="AD89" s="56">
        <v>0</v>
      </c>
      <c r="AE89" s="56">
        <v>623.69277</v>
      </c>
      <c r="AF89" s="56">
        <v>4.25</v>
      </c>
      <c r="AG89" s="56">
        <v>1809.0873899999999</v>
      </c>
      <c r="AH89" s="56">
        <v>0</v>
      </c>
      <c r="AI89" s="56">
        <v>0</v>
      </c>
      <c r="AJ89" s="56">
        <v>75.11439</v>
      </c>
      <c r="AK89" s="56">
        <v>0</v>
      </c>
      <c r="AL89" s="56">
        <v>0</v>
      </c>
      <c r="AM89" s="56">
        <v>0</v>
      </c>
      <c r="AN89" s="56">
        <v>0</v>
      </c>
      <c r="AO89" s="56">
        <v>55</v>
      </c>
      <c r="AP89" s="56">
        <v>0</v>
      </c>
      <c r="AQ89" s="56">
        <v>18</v>
      </c>
      <c r="AR89" s="56">
        <v>27.1831</v>
      </c>
      <c r="AS89" s="56">
        <v>282.77607</v>
      </c>
      <c r="AT89" s="56">
        <v>0</v>
      </c>
      <c r="AU89" s="56">
        <v>0</v>
      </c>
      <c r="AV89" s="41">
        <f t="shared" si="1"/>
        <v>6764.1638999999996</v>
      </c>
    </row>
    <row r="90" spans="1:48" s="16" customFormat="1" x14ac:dyDescent="0.25">
      <c r="A90" s="2" t="s">
        <v>96</v>
      </c>
      <c r="B90" s="40">
        <v>59.285249999999998</v>
      </c>
      <c r="C90" s="40">
        <v>1181.79285</v>
      </c>
      <c r="D90" s="40">
        <v>440.51465000000002</v>
      </c>
      <c r="E90" s="40">
        <v>0</v>
      </c>
      <c r="F90" s="40">
        <v>2.5</v>
      </c>
      <c r="G90" s="40">
        <v>304.99324999999999</v>
      </c>
      <c r="H90" s="40">
        <v>0</v>
      </c>
      <c r="I90" s="40">
        <v>3.8389000000000002</v>
      </c>
      <c r="J90" s="40">
        <v>119.6292</v>
      </c>
      <c r="K90" s="40">
        <v>13.25581</v>
      </c>
      <c r="L90" s="40">
        <v>347.93288000000001</v>
      </c>
      <c r="M90" s="40">
        <v>512.65551000000005</v>
      </c>
      <c r="N90" s="40">
        <v>807.99946</v>
      </c>
      <c r="O90" s="40">
        <v>55.744500000000002</v>
      </c>
      <c r="P90" s="40">
        <v>45.762999999999998</v>
      </c>
      <c r="Q90" s="40">
        <v>1.9812000000000001</v>
      </c>
      <c r="R90" s="40">
        <v>17.304680000000001</v>
      </c>
      <c r="S90" s="40">
        <v>47.020319999999998</v>
      </c>
      <c r="T90" s="40">
        <v>371.27771999999999</v>
      </c>
      <c r="U90" s="56">
        <v>0</v>
      </c>
      <c r="V90" s="56">
        <v>236.37510999999998</v>
      </c>
      <c r="W90" s="56">
        <v>0</v>
      </c>
      <c r="X90" s="56">
        <v>0</v>
      </c>
      <c r="Y90" s="56">
        <v>66.833370000000002</v>
      </c>
      <c r="Z90" s="56">
        <v>163.65</v>
      </c>
      <c r="AA90" s="56">
        <v>15.986840000000001</v>
      </c>
      <c r="AB90" s="56">
        <v>8</v>
      </c>
      <c r="AC90" s="56">
        <v>104.31922999999999</v>
      </c>
      <c r="AD90" s="56">
        <v>30.249200000000002</v>
      </c>
      <c r="AE90" s="56">
        <v>438.01734999999996</v>
      </c>
      <c r="AF90" s="56">
        <v>7.5</v>
      </c>
      <c r="AG90" s="56">
        <v>1218.34025</v>
      </c>
      <c r="AH90" s="56">
        <v>0</v>
      </c>
      <c r="AI90" s="56">
        <v>50</v>
      </c>
      <c r="AJ90" s="56">
        <v>0</v>
      </c>
      <c r="AK90" s="56">
        <v>50</v>
      </c>
      <c r="AL90" s="56">
        <v>0</v>
      </c>
      <c r="AM90" s="56">
        <v>0</v>
      </c>
      <c r="AN90" s="56">
        <v>0</v>
      </c>
      <c r="AO90" s="56">
        <v>508.58459000000005</v>
      </c>
      <c r="AP90" s="56">
        <v>0</v>
      </c>
      <c r="AQ90" s="56">
        <v>19.5</v>
      </c>
      <c r="AR90" s="56">
        <v>45.522449999999999</v>
      </c>
      <c r="AS90" s="56">
        <v>94.449130000000011</v>
      </c>
      <c r="AT90" s="56">
        <v>0</v>
      </c>
      <c r="AU90" s="56">
        <v>0</v>
      </c>
      <c r="AV90" s="41">
        <f t="shared" si="1"/>
        <v>7390.8167000000003</v>
      </c>
    </row>
    <row r="91" spans="1:48" s="16" customFormat="1" x14ac:dyDescent="0.25">
      <c r="A91" s="2" t="s">
        <v>97</v>
      </c>
      <c r="B91" s="40">
        <v>77.95</v>
      </c>
      <c r="C91" s="40">
        <v>1697.4455</v>
      </c>
      <c r="D91" s="40">
        <v>1335.7579499999999</v>
      </c>
      <c r="E91" s="40">
        <v>0</v>
      </c>
      <c r="F91" s="40">
        <v>5.6260500000000002</v>
      </c>
      <c r="G91" s="40">
        <v>555.56544999999994</v>
      </c>
      <c r="H91" s="40">
        <v>0</v>
      </c>
      <c r="I91" s="40">
        <v>33.400309999999998</v>
      </c>
      <c r="J91" s="40">
        <v>203.00447</v>
      </c>
      <c r="K91" s="40">
        <v>56.121139999999997</v>
      </c>
      <c r="L91" s="40">
        <v>273.63587999999999</v>
      </c>
      <c r="M91" s="40">
        <v>818.42618000000004</v>
      </c>
      <c r="N91" s="40">
        <v>334.71772999999996</v>
      </c>
      <c r="O91" s="40">
        <v>54.256839999999997</v>
      </c>
      <c r="P91" s="40">
        <v>184.67959999999999</v>
      </c>
      <c r="Q91" s="40">
        <v>0</v>
      </c>
      <c r="R91" s="40">
        <v>82.683440000000004</v>
      </c>
      <c r="S91" s="40">
        <v>15.3804</v>
      </c>
      <c r="T91" s="40">
        <v>845.19435999999996</v>
      </c>
      <c r="U91" s="56">
        <v>126.7042</v>
      </c>
      <c r="V91" s="56">
        <v>85.19932</v>
      </c>
      <c r="W91" s="56">
        <v>0</v>
      </c>
      <c r="X91" s="56">
        <v>0</v>
      </c>
      <c r="Y91" s="56">
        <v>19.559699999999999</v>
      </c>
      <c r="Z91" s="56">
        <v>0</v>
      </c>
      <c r="AA91" s="56">
        <v>49.106569999999998</v>
      </c>
      <c r="AB91" s="56">
        <v>129.58199999999999</v>
      </c>
      <c r="AC91" s="56">
        <v>62.979860000000002</v>
      </c>
      <c r="AD91" s="56">
        <v>34.163800000000002</v>
      </c>
      <c r="AE91" s="56">
        <v>1161.5313100000001</v>
      </c>
      <c r="AF91" s="56">
        <v>8.1959999999999997</v>
      </c>
      <c r="AG91" s="56">
        <v>2955.3474200000001</v>
      </c>
      <c r="AH91" s="56">
        <v>0</v>
      </c>
      <c r="AI91" s="56">
        <v>0</v>
      </c>
      <c r="AJ91" s="56">
        <v>102.67449999999999</v>
      </c>
      <c r="AK91" s="56">
        <v>0</v>
      </c>
      <c r="AL91" s="56">
        <v>0</v>
      </c>
      <c r="AM91" s="56">
        <v>0</v>
      </c>
      <c r="AN91" s="56">
        <v>0</v>
      </c>
      <c r="AO91" s="56">
        <v>100</v>
      </c>
      <c r="AP91" s="56">
        <v>0</v>
      </c>
      <c r="AQ91" s="56">
        <v>0</v>
      </c>
      <c r="AR91" s="56">
        <v>22.274740000000001</v>
      </c>
      <c r="AS91" s="56">
        <v>102.31699999999999</v>
      </c>
      <c r="AT91" s="56">
        <v>0</v>
      </c>
      <c r="AU91" s="56">
        <v>0</v>
      </c>
      <c r="AV91" s="41">
        <f t="shared" si="1"/>
        <v>11533.48172</v>
      </c>
    </row>
    <row r="92" spans="1:48" s="16" customFormat="1" ht="12.75" customHeight="1" x14ac:dyDescent="0.25">
      <c r="A92" s="2" t="s">
        <v>98</v>
      </c>
      <c r="B92" s="40">
        <v>150.83000000000001</v>
      </c>
      <c r="C92" s="40">
        <v>3293.6178</v>
      </c>
      <c r="D92" s="40">
        <v>2438.252</v>
      </c>
      <c r="E92" s="40">
        <v>15.476150000000001</v>
      </c>
      <c r="F92" s="40">
        <v>0</v>
      </c>
      <c r="G92" s="40">
        <v>1072.4191000000001</v>
      </c>
      <c r="H92" s="40">
        <v>0</v>
      </c>
      <c r="I92" s="40">
        <v>32.12865</v>
      </c>
      <c r="J92" s="40">
        <v>422.22489000000002</v>
      </c>
      <c r="K92" s="40">
        <v>109.94805000000001</v>
      </c>
      <c r="L92" s="40">
        <v>432.26271999999994</v>
      </c>
      <c r="M92" s="40">
        <v>744.10168999999996</v>
      </c>
      <c r="N92" s="40">
        <v>670.90286000000003</v>
      </c>
      <c r="O92" s="40">
        <v>98.902020000000007</v>
      </c>
      <c r="P92" s="40">
        <v>65.608699999999999</v>
      </c>
      <c r="Q92" s="40">
        <v>62.10295</v>
      </c>
      <c r="R92" s="40">
        <v>227.86035000000001</v>
      </c>
      <c r="S92" s="40">
        <v>0</v>
      </c>
      <c r="T92" s="40">
        <v>1092.5558999999998</v>
      </c>
      <c r="U92" s="56">
        <v>117.16354</v>
      </c>
      <c r="V92" s="56">
        <v>363.57209</v>
      </c>
      <c r="W92" s="56">
        <v>0</v>
      </c>
      <c r="X92" s="56">
        <v>0</v>
      </c>
      <c r="Y92" s="56">
        <v>0</v>
      </c>
      <c r="Z92" s="56">
        <v>0</v>
      </c>
      <c r="AA92" s="56">
        <v>9.4714599999999987</v>
      </c>
      <c r="AB92" s="56">
        <v>277.76499999999999</v>
      </c>
      <c r="AC92" s="56">
        <v>19.135870000000001</v>
      </c>
      <c r="AD92" s="56">
        <v>78.554880000000011</v>
      </c>
      <c r="AE92" s="56">
        <v>1790.4969900000001</v>
      </c>
      <c r="AF92" s="56">
        <v>10.56</v>
      </c>
      <c r="AG92" s="56">
        <v>4566.9944599999999</v>
      </c>
      <c r="AH92" s="56">
        <v>0</v>
      </c>
      <c r="AI92" s="56">
        <v>0</v>
      </c>
      <c r="AJ92" s="56">
        <v>6.4124999999999996</v>
      </c>
      <c r="AK92" s="56">
        <v>0</v>
      </c>
      <c r="AL92" s="56">
        <v>0</v>
      </c>
      <c r="AM92" s="56">
        <v>0</v>
      </c>
      <c r="AN92" s="56">
        <v>20</v>
      </c>
      <c r="AO92" s="56">
        <v>608.08000000000004</v>
      </c>
      <c r="AP92" s="56">
        <v>0</v>
      </c>
      <c r="AQ92" s="56">
        <v>0</v>
      </c>
      <c r="AR92" s="56">
        <v>0</v>
      </c>
      <c r="AS92" s="56">
        <v>477.32695000000001</v>
      </c>
      <c r="AT92" s="56">
        <v>0</v>
      </c>
      <c r="AU92" s="56">
        <v>0</v>
      </c>
      <c r="AV92" s="41">
        <f t="shared" si="1"/>
        <v>19274.727569999999</v>
      </c>
    </row>
    <row r="93" spans="1:48" s="16" customFormat="1" x14ac:dyDescent="0.25">
      <c r="A93" s="2" t="s">
        <v>99</v>
      </c>
      <c r="B93" s="40">
        <v>59.675800000000002</v>
      </c>
      <c r="C93" s="40">
        <v>1224.3823</v>
      </c>
      <c r="D93" s="40">
        <v>0</v>
      </c>
      <c r="E93" s="40">
        <v>0</v>
      </c>
      <c r="F93" s="40">
        <v>2.2708499999999998</v>
      </c>
      <c r="G93" s="40">
        <v>273.14509999999996</v>
      </c>
      <c r="H93" s="40">
        <v>0</v>
      </c>
      <c r="I93" s="40">
        <v>7.2969999999999997</v>
      </c>
      <c r="J93" s="40">
        <v>104.74897999999999</v>
      </c>
      <c r="K93" s="40">
        <v>54.717400000000005</v>
      </c>
      <c r="L93" s="40">
        <v>80.459399999999988</v>
      </c>
      <c r="M93" s="40">
        <v>535.70240999999999</v>
      </c>
      <c r="N93" s="40">
        <v>479.00938000000002</v>
      </c>
      <c r="O93" s="40">
        <v>119.485</v>
      </c>
      <c r="P93" s="40">
        <v>18.945650000000001</v>
      </c>
      <c r="Q93" s="40">
        <v>2.6515</v>
      </c>
      <c r="R93" s="40">
        <v>0.14121</v>
      </c>
      <c r="S93" s="40">
        <v>2.7591999999999999</v>
      </c>
      <c r="T93" s="40">
        <v>239.83685</v>
      </c>
      <c r="U93" s="56">
        <v>48.091999999999999</v>
      </c>
      <c r="V93" s="56">
        <v>36.292110000000001</v>
      </c>
      <c r="W93" s="56">
        <v>0</v>
      </c>
      <c r="X93" s="56">
        <v>0</v>
      </c>
      <c r="Y93" s="56">
        <v>0</v>
      </c>
      <c r="Z93" s="56">
        <v>0</v>
      </c>
      <c r="AA93" s="56">
        <v>0.21690000000000001</v>
      </c>
      <c r="AB93" s="56">
        <v>96.188999999999993</v>
      </c>
      <c r="AC93" s="56">
        <v>0</v>
      </c>
      <c r="AD93" s="56">
        <v>31.5379</v>
      </c>
      <c r="AE93" s="56">
        <v>521.15515000000005</v>
      </c>
      <c r="AF93" s="56">
        <v>668.22400000000005</v>
      </c>
      <c r="AG93" s="56">
        <v>1573.2450800000001</v>
      </c>
      <c r="AH93" s="56">
        <v>0</v>
      </c>
      <c r="AI93" s="56">
        <v>10.7</v>
      </c>
      <c r="AJ93" s="56">
        <v>3.4089999999999998</v>
      </c>
      <c r="AK93" s="56">
        <v>0</v>
      </c>
      <c r="AL93" s="56">
        <v>679.58365000000003</v>
      </c>
      <c r="AM93" s="56">
        <v>0</v>
      </c>
      <c r="AN93" s="56">
        <v>0</v>
      </c>
      <c r="AO93" s="56">
        <v>20.61675</v>
      </c>
      <c r="AP93" s="56">
        <v>0</v>
      </c>
      <c r="AQ93" s="56">
        <v>0</v>
      </c>
      <c r="AR93" s="56">
        <v>0</v>
      </c>
      <c r="AS93" s="56">
        <v>0</v>
      </c>
      <c r="AT93" s="56">
        <v>0</v>
      </c>
      <c r="AU93" s="56">
        <v>0</v>
      </c>
      <c r="AV93" s="41">
        <f t="shared" si="1"/>
        <v>6894.4895699999988</v>
      </c>
    </row>
    <row r="94" spans="1:48" s="16" customFormat="1" x14ac:dyDescent="0.25">
      <c r="A94" s="2" t="s">
        <v>590</v>
      </c>
      <c r="B94" s="40">
        <v>58.35</v>
      </c>
      <c r="C94" s="40">
        <v>1713.6067499999999</v>
      </c>
      <c r="D94" s="40">
        <v>1461.7348999999999</v>
      </c>
      <c r="E94" s="40">
        <v>0</v>
      </c>
      <c r="F94" s="40">
        <v>33.647100000000002</v>
      </c>
      <c r="G94" s="40">
        <v>698.1155500000001</v>
      </c>
      <c r="H94" s="40">
        <v>0</v>
      </c>
      <c r="I94" s="40">
        <v>4.4801800000000007</v>
      </c>
      <c r="J94" s="40">
        <v>194.4359</v>
      </c>
      <c r="K94" s="40">
        <v>37.501980000000003</v>
      </c>
      <c r="L94" s="40">
        <v>204.38010999999997</v>
      </c>
      <c r="M94" s="40">
        <v>356.23371000000003</v>
      </c>
      <c r="N94" s="40">
        <v>428.61066</v>
      </c>
      <c r="O94" s="40">
        <v>83.336939999999998</v>
      </c>
      <c r="P94" s="40">
        <v>17.177949999999999</v>
      </c>
      <c r="Q94" s="40">
        <v>44.0015</v>
      </c>
      <c r="R94" s="40">
        <v>34.751249999999999</v>
      </c>
      <c r="S94" s="40">
        <v>18.413349999999998</v>
      </c>
      <c r="T94" s="40">
        <v>425.15530000000001</v>
      </c>
      <c r="U94" s="56">
        <v>23.708299999999998</v>
      </c>
      <c r="V94" s="56">
        <v>48.622920000000001</v>
      </c>
      <c r="W94" s="56">
        <v>0</v>
      </c>
      <c r="X94" s="56">
        <v>0</v>
      </c>
      <c r="Y94" s="56">
        <v>0</v>
      </c>
      <c r="Z94" s="56">
        <v>0</v>
      </c>
      <c r="AA94" s="56">
        <v>7.7900000000000011E-2</v>
      </c>
      <c r="AB94" s="56">
        <v>204.98699999999999</v>
      </c>
      <c r="AC94" s="56">
        <v>253.92580999999998</v>
      </c>
      <c r="AD94" s="56">
        <v>22.995000000000001</v>
      </c>
      <c r="AE94" s="56">
        <v>1781.9888999999998</v>
      </c>
      <c r="AF94" s="56">
        <v>12.534000000000001</v>
      </c>
      <c r="AG94" s="56">
        <v>3739.8190600000003</v>
      </c>
      <c r="AH94" s="56">
        <v>0</v>
      </c>
      <c r="AI94" s="56">
        <v>0</v>
      </c>
      <c r="AJ94" s="56">
        <v>49.445999999999998</v>
      </c>
      <c r="AK94" s="56">
        <v>0</v>
      </c>
      <c r="AL94" s="56">
        <v>0</v>
      </c>
      <c r="AM94" s="56">
        <v>0</v>
      </c>
      <c r="AN94" s="56">
        <v>35.320800000000006</v>
      </c>
      <c r="AO94" s="56">
        <v>174.17</v>
      </c>
      <c r="AP94" s="56">
        <v>0</v>
      </c>
      <c r="AQ94" s="56">
        <v>55.805</v>
      </c>
      <c r="AR94" s="56">
        <v>8.7799999999999994</v>
      </c>
      <c r="AS94" s="56">
        <v>145.26329999999999</v>
      </c>
      <c r="AT94" s="56">
        <v>0</v>
      </c>
      <c r="AU94" s="56">
        <v>180</v>
      </c>
      <c r="AV94" s="41">
        <f t="shared" si="1"/>
        <v>12551.377120000003</v>
      </c>
    </row>
    <row r="95" spans="1:48" s="16" customFormat="1" ht="12.75" customHeight="1" x14ac:dyDescent="0.25">
      <c r="A95" s="4" t="s">
        <v>22</v>
      </c>
      <c r="B95" s="40">
        <v>123.63</v>
      </c>
      <c r="C95" s="40">
        <v>1454.57195</v>
      </c>
      <c r="D95" s="40">
        <v>866.44580000000008</v>
      </c>
      <c r="E95" s="40">
        <v>0</v>
      </c>
      <c r="F95" s="40">
        <v>0</v>
      </c>
      <c r="G95" s="40">
        <v>512.15156000000002</v>
      </c>
      <c r="H95" s="40">
        <v>0</v>
      </c>
      <c r="I95" s="40">
        <v>23.146599999999999</v>
      </c>
      <c r="J95" s="40">
        <v>152.13776000000001</v>
      </c>
      <c r="K95" s="40">
        <v>150.72630999999998</v>
      </c>
      <c r="L95" s="40">
        <v>160.52839</v>
      </c>
      <c r="M95" s="40">
        <v>605.98631</v>
      </c>
      <c r="N95" s="40">
        <v>424.77747999999997</v>
      </c>
      <c r="O95" s="40">
        <v>153.69946999999999</v>
      </c>
      <c r="P95" s="40">
        <v>2.9803500000000001</v>
      </c>
      <c r="Q95" s="40">
        <v>8.7472999999999992</v>
      </c>
      <c r="R95" s="40">
        <v>32.423160000000003</v>
      </c>
      <c r="S95" s="40">
        <v>1.3271500000000001</v>
      </c>
      <c r="T95" s="40">
        <v>715.6</v>
      </c>
      <c r="U95" s="56">
        <v>67.7</v>
      </c>
      <c r="V95" s="56">
        <v>84.166359999999997</v>
      </c>
      <c r="W95" s="56">
        <v>0</v>
      </c>
      <c r="X95" s="56">
        <v>0</v>
      </c>
      <c r="Y95" s="56">
        <v>20.466150000000003</v>
      </c>
      <c r="Z95" s="56">
        <v>0</v>
      </c>
      <c r="AA95" s="56">
        <v>6.9136699999999998</v>
      </c>
      <c r="AB95" s="56">
        <v>125.78100000000001</v>
      </c>
      <c r="AC95" s="56">
        <v>1.1582600000000001</v>
      </c>
      <c r="AD95" s="56">
        <v>45.580400000000004</v>
      </c>
      <c r="AE95" s="56">
        <v>1227.7995700000001</v>
      </c>
      <c r="AF95" s="56">
        <v>140.65299999999999</v>
      </c>
      <c r="AG95" s="56">
        <v>3703.9509900000003</v>
      </c>
      <c r="AH95" s="56">
        <v>0</v>
      </c>
      <c r="AI95" s="56">
        <v>0</v>
      </c>
      <c r="AJ95" s="56">
        <v>179</v>
      </c>
      <c r="AK95" s="56">
        <v>0</v>
      </c>
      <c r="AL95" s="56">
        <v>0</v>
      </c>
      <c r="AM95" s="56">
        <v>0</v>
      </c>
      <c r="AN95" s="56">
        <v>0</v>
      </c>
      <c r="AO95" s="56">
        <v>105.095</v>
      </c>
      <c r="AP95" s="56">
        <v>0</v>
      </c>
      <c r="AQ95" s="56">
        <v>21.450509999999998</v>
      </c>
      <c r="AR95" s="56">
        <v>0</v>
      </c>
      <c r="AS95" s="56">
        <v>6.7</v>
      </c>
      <c r="AT95" s="56">
        <v>0</v>
      </c>
      <c r="AU95" s="56">
        <v>0</v>
      </c>
      <c r="AV95" s="41">
        <f t="shared" si="1"/>
        <v>11125.294500000002</v>
      </c>
    </row>
    <row r="96" spans="1:48" s="16" customFormat="1" x14ac:dyDescent="0.25">
      <c r="A96" s="2" t="s">
        <v>100</v>
      </c>
      <c r="B96" s="40">
        <v>71.4375</v>
      </c>
      <c r="C96" s="40">
        <v>1524.1704999999999</v>
      </c>
      <c r="D96" s="40">
        <v>960.07859999999994</v>
      </c>
      <c r="E96" s="40">
        <v>0</v>
      </c>
      <c r="F96" s="40">
        <v>0</v>
      </c>
      <c r="G96" s="40">
        <v>528.92795000000001</v>
      </c>
      <c r="H96" s="40">
        <v>0</v>
      </c>
      <c r="I96" s="40">
        <v>4.29115</v>
      </c>
      <c r="J96" s="40">
        <v>147.00037</v>
      </c>
      <c r="K96" s="40">
        <v>44.644330000000004</v>
      </c>
      <c r="L96" s="40">
        <v>177.08296999999999</v>
      </c>
      <c r="M96" s="40">
        <v>458.21050000000002</v>
      </c>
      <c r="N96" s="40">
        <v>514.83978000000002</v>
      </c>
      <c r="O96" s="40">
        <v>62.333680000000001</v>
      </c>
      <c r="P96" s="40">
        <v>63.140699999999995</v>
      </c>
      <c r="Q96" s="40">
        <v>36.987519999999996</v>
      </c>
      <c r="R96" s="40">
        <v>108.4365</v>
      </c>
      <c r="S96" s="40">
        <v>24.88278</v>
      </c>
      <c r="T96" s="40">
        <v>718.90330000000006</v>
      </c>
      <c r="U96" s="56">
        <v>6.3845499999999999</v>
      </c>
      <c r="V96" s="56">
        <v>274.44276000000002</v>
      </c>
      <c r="W96" s="56">
        <v>0</v>
      </c>
      <c r="X96" s="56">
        <v>0</v>
      </c>
      <c r="Y96" s="56">
        <v>69.207300000000004</v>
      </c>
      <c r="Z96" s="56">
        <v>0</v>
      </c>
      <c r="AA96" s="56">
        <v>0.45910000000000001</v>
      </c>
      <c r="AB96" s="56">
        <v>229.06800000000001</v>
      </c>
      <c r="AC96" s="56">
        <v>0</v>
      </c>
      <c r="AD96" s="56">
        <v>61.419899999999998</v>
      </c>
      <c r="AE96" s="56">
        <v>1022.32718</v>
      </c>
      <c r="AF96" s="56">
        <v>5.3390000000000004</v>
      </c>
      <c r="AG96" s="56">
        <v>2288.1509700000001</v>
      </c>
      <c r="AH96" s="56">
        <v>0</v>
      </c>
      <c r="AI96" s="56">
        <v>0</v>
      </c>
      <c r="AJ96" s="56">
        <v>76.765550000000005</v>
      </c>
      <c r="AK96" s="56">
        <v>0</v>
      </c>
      <c r="AL96" s="56">
        <v>0</v>
      </c>
      <c r="AM96" s="56">
        <v>0</v>
      </c>
      <c r="AN96" s="56">
        <v>0</v>
      </c>
      <c r="AO96" s="56">
        <v>75</v>
      </c>
      <c r="AP96" s="56">
        <v>0</v>
      </c>
      <c r="AQ96" s="56">
        <v>24.341999999999999</v>
      </c>
      <c r="AR96" s="56">
        <v>10.85918</v>
      </c>
      <c r="AS96" s="56">
        <v>246.92349999999999</v>
      </c>
      <c r="AT96" s="56">
        <v>0</v>
      </c>
      <c r="AU96" s="56">
        <v>0</v>
      </c>
      <c r="AV96" s="41">
        <f t="shared" si="1"/>
        <v>9836.0571200000013</v>
      </c>
    </row>
    <row r="97" spans="1:48" s="16" customFormat="1" ht="12.75" customHeight="1" x14ac:dyDescent="0.25">
      <c r="A97" s="2" t="s">
        <v>101</v>
      </c>
      <c r="B97" s="40">
        <v>95.588949999999997</v>
      </c>
      <c r="C97" s="40">
        <v>1393.71325</v>
      </c>
      <c r="D97" s="40">
        <v>919.59719999999993</v>
      </c>
      <c r="E97" s="40">
        <v>0</v>
      </c>
      <c r="F97" s="40">
        <v>0</v>
      </c>
      <c r="G97" s="40">
        <v>544.62810000000002</v>
      </c>
      <c r="H97" s="40">
        <v>0</v>
      </c>
      <c r="I97" s="40">
        <v>8.75</v>
      </c>
      <c r="J97" s="40">
        <v>338.63231000000002</v>
      </c>
      <c r="K97" s="40">
        <v>34.091050000000003</v>
      </c>
      <c r="L97" s="40">
        <v>90.436600000000013</v>
      </c>
      <c r="M97" s="40">
        <v>703.70152000000007</v>
      </c>
      <c r="N97" s="40">
        <v>599.97930000000008</v>
      </c>
      <c r="O97" s="40">
        <v>129.85338000000002</v>
      </c>
      <c r="P97" s="40">
        <v>48.180949999999996</v>
      </c>
      <c r="Q97" s="40">
        <v>12.416</v>
      </c>
      <c r="R97" s="40">
        <v>30.096709999999998</v>
      </c>
      <c r="S97" s="40">
        <v>0</v>
      </c>
      <c r="T97" s="40">
        <v>493.47579999999999</v>
      </c>
      <c r="U97" s="56">
        <v>12.56765</v>
      </c>
      <c r="V97" s="56">
        <v>115.37267999999999</v>
      </c>
      <c r="W97" s="56">
        <v>0</v>
      </c>
      <c r="X97" s="56">
        <v>0</v>
      </c>
      <c r="Y97" s="56">
        <v>3.9</v>
      </c>
      <c r="Z97" s="56">
        <v>0</v>
      </c>
      <c r="AA97" s="56">
        <v>4.8652199999999999</v>
      </c>
      <c r="AB97" s="56">
        <v>72.915999999999997</v>
      </c>
      <c r="AC97" s="56">
        <v>0</v>
      </c>
      <c r="AD97" s="56">
        <v>15.811999999999999</v>
      </c>
      <c r="AE97" s="56">
        <v>1097.83664</v>
      </c>
      <c r="AF97" s="56">
        <v>962.64099999999996</v>
      </c>
      <c r="AG97" s="56">
        <v>3212.1787799999997</v>
      </c>
      <c r="AH97" s="56">
        <v>0</v>
      </c>
      <c r="AI97" s="56">
        <v>0</v>
      </c>
      <c r="AJ97" s="56">
        <v>158.70945</v>
      </c>
      <c r="AK97" s="56">
        <v>0</v>
      </c>
      <c r="AL97" s="56">
        <v>0</v>
      </c>
      <c r="AM97" s="56">
        <v>0</v>
      </c>
      <c r="AN97" s="56">
        <v>0</v>
      </c>
      <c r="AO97" s="56">
        <v>0</v>
      </c>
      <c r="AP97" s="56">
        <v>0</v>
      </c>
      <c r="AQ97" s="56">
        <v>0</v>
      </c>
      <c r="AR97" s="56">
        <v>0</v>
      </c>
      <c r="AS97" s="56">
        <v>299.52945</v>
      </c>
      <c r="AT97" s="56">
        <v>0</v>
      </c>
      <c r="AU97" s="56">
        <v>0</v>
      </c>
      <c r="AV97" s="41">
        <f t="shared" si="1"/>
        <v>11399.46999</v>
      </c>
    </row>
    <row r="98" spans="1:48" s="16" customFormat="1" x14ac:dyDescent="0.25">
      <c r="A98" s="2" t="s">
        <v>23</v>
      </c>
      <c r="B98" s="40">
        <v>142.86840000000001</v>
      </c>
      <c r="C98" s="40">
        <v>4619.9135500000002</v>
      </c>
      <c r="D98" s="40">
        <v>1964.8643999999999</v>
      </c>
      <c r="E98" s="40">
        <v>0</v>
      </c>
      <c r="F98" s="40">
        <v>30.143000000000001</v>
      </c>
      <c r="G98" s="40">
        <v>1456.6438500000002</v>
      </c>
      <c r="H98" s="40">
        <v>0</v>
      </c>
      <c r="I98" s="40">
        <v>42.02055</v>
      </c>
      <c r="J98" s="40">
        <v>617.52045999999996</v>
      </c>
      <c r="K98" s="40">
        <v>195.71719000000002</v>
      </c>
      <c r="L98" s="40">
        <v>341.95186999999999</v>
      </c>
      <c r="M98" s="40">
        <v>1076.4159500000001</v>
      </c>
      <c r="N98" s="40">
        <v>663.90793999999994</v>
      </c>
      <c r="O98" s="40">
        <v>229.90644</v>
      </c>
      <c r="P98" s="40">
        <v>87.32119999999999</v>
      </c>
      <c r="Q98" s="40">
        <v>18.754049999999999</v>
      </c>
      <c r="R98" s="40">
        <v>85.021640000000005</v>
      </c>
      <c r="S98" s="40">
        <v>0</v>
      </c>
      <c r="T98" s="40">
        <v>1355.69291</v>
      </c>
      <c r="U98" s="56">
        <v>142.79554999999999</v>
      </c>
      <c r="V98" s="56">
        <v>41.169839999999994</v>
      </c>
      <c r="W98" s="56">
        <v>0</v>
      </c>
      <c r="X98" s="56">
        <v>0</v>
      </c>
      <c r="Y98" s="56">
        <v>0</v>
      </c>
      <c r="Z98" s="56">
        <v>0</v>
      </c>
      <c r="AA98" s="56">
        <v>0</v>
      </c>
      <c r="AB98" s="56">
        <v>453.39499999999998</v>
      </c>
      <c r="AC98" s="56">
        <v>0</v>
      </c>
      <c r="AD98" s="56">
        <v>49.3063</v>
      </c>
      <c r="AE98" s="56">
        <v>1424.3272099999999</v>
      </c>
      <c r="AF98" s="56">
        <v>3954.3820000000001</v>
      </c>
      <c r="AG98" s="56">
        <v>9944.6941500000012</v>
      </c>
      <c r="AH98" s="56">
        <v>0</v>
      </c>
      <c r="AI98" s="56">
        <v>0</v>
      </c>
      <c r="AJ98" s="56">
        <v>177.96938</v>
      </c>
      <c r="AK98" s="56">
        <v>0</v>
      </c>
      <c r="AL98" s="56">
        <v>0</v>
      </c>
      <c r="AM98" s="56">
        <v>0</v>
      </c>
      <c r="AN98" s="56">
        <v>0</v>
      </c>
      <c r="AO98" s="56">
        <v>25</v>
      </c>
      <c r="AP98" s="56">
        <v>0</v>
      </c>
      <c r="AQ98" s="56">
        <v>0</v>
      </c>
      <c r="AR98" s="56">
        <v>9.84</v>
      </c>
      <c r="AS98" s="56">
        <v>108.87988</v>
      </c>
      <c r="AT98" s="56">
        <v>0</v>
      </c>
      <c r="AU98" s="56">
        <v>0</v>
      </c>
      <c r="AV98" s="41">
        <f t="shared" si="1"/>
        <v>29260.422710000006</v>
      </c>
    </row>
    <row r="99" spans="1:48" s="16" customFormat="1" x14ac:dyDescent="0.25">
      <c r="A99" s="2" t="s">
        <v>102</v>
      </c>
      <c r="B99" s="40">
        <v>113.74</v>
      </c>
      <c r="C99" s="40">
        <v>2229.17715</v>
      </c>
      <c r="D99" s="40">
        <v>1503.7390500000001</v>
      </c>
      <c r="E99" s="40">
        <v>24.361799999999999</v>
      </c>
      <c r="F99" s="40">
        <v>0</v>
      </c>
      <c r="G99" s="40">
        <v>688.88209999999992</v>
      </c>
      <c r="H99" s="40">
        <v>0</v>
      </c>
      <c r="I99" s="40">
        <v>14.840200000000001</v>
      </c>
      <c r="J99" s="40">
        <v>279.90375</v>
      </c>
      <c r="K99" s="40">
        <v>62.253500000000003</v>
      </c>
      <c r="L99" s="40">
        <v>222.30840000000001</v>
      </c>
      <c r="M99" s="40">
        <v>1193.38075</v>
      </c>
      <c r="N99" s="40">
        <v>700.01882000000001</v>
      </c>
      <c r="O99" s="40">
        <v>187.94279999999998</v>
      </c>
      <c r="P99" s="40">
        <v>45.330449999999999</v>
      </c>
      <c r="Q99" s="40">
        <v>2.7641499999999999</v>
      </c>
      <c r="R99" s="40">
        <v>86.592570000000009</v>
      </c>
      <c r="S99" s="40">
        <v>16.334160000000001</v>
      </c>
      <c r="T99" s="40">
        <v>1022.66635</v>
      </c>
      <c r="U99" s="56">
        <v>163.11920000000001</v>
      </c>
      <c r="V99" s="56">
        <v>188.07333</v>
      </c>
      <c r="W99" s="56">
        <v>0</v>
      </c>
      <c r="X99" s="56">
        <v>0</v>
      </c>
      <c r="Y99" s="56">
        <v>0</v>
      </c>
      <c r="Z99" s="56">
        <v>0</v>
      </c>
      <c r="AA99" s="56">
        <v>8.4707099999999986</v>
      </c>
      <c r="AB99" s="56">
        <v>202.40700000000001</v>
      </c>
      <c r="AC99" s="56">
        <v>27.917110000000001</v>
      </c>
      <c r="AD99" s="56">
        <v>43.444600000000001</v>
      </c>
      <c r="AE99" s="56">
        <v>1478.8448999999998</v>
      </c>
      <c r="AF99" s="56">
        <v>8.4719999999999995</v>
      </c>
      <c r="AG99" s="56">
        <v>4222.0177300000005</v>
      </c>
      <c r="AH99" s="56">
        <v>0</v>
      </c>
      <c r="AI99" s="56">
        <v>0</v>
      </c>
      <c r="AJ99" s="56">
        <v>80.192750000000004</v>
      </c>
      <c r="AK99" s="56">
        <v>0</v>
      </c>
      <c r="AL99" s="56">
        <v>0</v>
      </c>
      <c r="AM99" s="56">
        <v>0</v>
      </c>
      <c r="AN99" s="56">
        <v>0</v>
      </c>
      <c r="AO99" s="56">
        <v>44.5</v>
      </c>
      <c r="AP99" s="56">
        <v>42.5</v>
      </c>
      <c r="AQ99" s="56">
        <v>34.319600000000001</v>
      </c>
      <c r="AR99" s="56">
        <v>12.701649999999999</v>
      </c>
      <c r="AS99" s="56">
        <v>287.70940000000002</v>
      </c>
      <c r="AT99" s="56">
        <v>0</v>
      </c>
      <c r="AU99" s="56">
        <v>0</v>
      </c>
      <c r="AV99" s="41">
        <f t="shared" si="1"/>
        <v>15238.925980000002</v>
      </c>
    </row>
    <row r="100" spans="1:48" s="16" customFormat="1" x14ac:dyDescent="0.25">
      <c r="A100" s="2" t="s">
        <v>24</v>
      </c>
      <c r="B100" s="40">
        <v>74.771649999999994</v>
      </c>
      <c r="C100" s="40">
        <v>1506.8871000000001</v>
      </c>
      <c r="D100" s="40">
        <v>1452.6604</v>
      </c>
      <c r="E100" s="40">
        <v>0</v>
      </c>
      <c r="F100" s="40">
        <v>8.82</v>
      </c>
      <c r="G100" s="40">
        <v>637.65539999999999</v>
      </c>
      <c r="H100" s="40">
        <v>0</v>
      </c>
      <c r="I100" s="40">
        <v>17.069580000000002</v>
      </c>
      <c r="J100" s="40">
        <v>226.64409000000001</v>
      </c>
      <c r="K100" s="40">
        <v>37.559010000000001</v>
      </c>
      <c r="L100" s="40">
        <v>163.05245000000002</v>
      </c>
      <c r="M100" s="40">
        <v>502.27641</v>
      </c>
      <c r="N100" s="40">
        <v>575.69586000000004</v>
      </c>
      <c r="O100" s="40">
        <v>63.925550000000001</v>
      </c>
      <c r="P100" s="40">
        <v>17.058700000000002</v>
      </c>
      <c r="Q100" s="40">
        <v>0.20995</v>
      </c>
      <c r="R100" s="40">
        <v>18.517669999999999</v>
      </c>
      <c r="S100" s="40">
        <v>23.930049999999998</v>
      </c>
      <c r="T100" s="40">
        <v>303.00749999999999</v>
      </c>
      <c r="U100" s="56">
        <v>0</v>
      </c>
      <c r="V100" s="56">
        <v>192.09446</v>
      </c>
      <c r="W100" s="56">
        <v>0</v>
      </c>
      <c r="X100" s="56">
        <v>0</v>
      </c>
      <c r="Y100" s="56">
        <v>8.8454999999999995</v>
      </c>
      <c r="Z100" s="56">
        <v>0</v>
      </c>
      <c r="AA100" s="56">
        <v>0.84810000000000008</v>
      </c>
      <c r="AB100" s="56">
        <v>153.32599999999999</v>
      </c>
      <c r="AC100" s="56">
        <v>10.08136</v>
      </c>
      <c r="AD100" s="56">
        <v>0</v>
      </c>
      <c r="AE100" s="56">
        <v>1076.5131399999998</v>
      </c>
      <c r="AF100" s="56">
        <v>8.0649999999999995</v>
      </c>
      <c r="AG100" s="56">
        <v>3298.5000199999999</v>
      </c>
      <c r="AH100" s="56">
        <v>0</v>
      </c>
      <c r="AI100" s="56">
        <v>0</v>
      </c>
      <c r="AJ100" s="56">
        <v>9.7858000000000001</v>
      </c>
      <c r="AK100" s="56">
        <v>0</v>
      </c>
      <c r="AL100" s="56">
        <v>0</v>
      </c>
      <c r="AM100" s="56">
        <v>0</v>
      </c>
      <c r="AN100" s="56">
        <v>0</v>
      </c>
      <c r="AO100" s="56">
        <v>92.15</v>
      </c>
      <c r="AP100" s="56">
        <v>0</v>
      </c>
      <c r="AQ100" s="56">
        <v>0</v>
      </c>
      <c r="AR100" s="56">
        <v>0</v>
      </c>
      <c r="AS100" s="56">
        <v>0</v>
      </c>
      <c r="AT100" s="56">
        <v>0</v>
      </c>
      <c r="AU100" s="56">
        <v>0</v>
      </c>
      <c r="AV100" s="41">
        <f t="shared" si="1"/>
        <v>10479.95075</v>
      </c>
    </row>
    <row r="101" spans="1:48" s="16" customFormat="1" x14ac:dyDescent="0.25">
      <c r="A101" s="3" t="s">
        <v>103</v>
      </c>
      <c r="B101" s="40">
        <v>94.266000000000005</v>
      </c>
      <c r="C101" s="40">
        <v>2009.0027</v>
      </c>
      <c r="D101" s="40">
        <v>1555.88185</v>
      </c>
      <c r="E101" s="40">
        <v>0</v>
      </c>
      <c r="F101" s="40">
        <v>0</v>
      </c>
      <c r="G101" s="40">
        <v>696.89490000000001</v>
      </c>
      <c r="H101" s="40">
        <v>0</v>
      </c>
      <c r="I101" s="40">
        <v>15.84685</v>
      </c>
      <c r="J101" s="40">
        <v>230.07214000000002</v>
      </c>
      <c r="K101" s="40">
        <v>67.844630000000009</v>
      </c>
      <c r="L101" s="40">
        <v>258.41055</v>
      </c>
      <c r="M101" s="40">
        <v>977.67327</v>
      </c>
      <c r="N101" s="40">
        <v>646.86936000000003</v>
      </c>
      <c r="O101" s="40">
        <v>138.48287999999999</v>
      </c>
      <c r="P101" s="40">
        <v>71.144899999999993</v>
      </c>
      <c r="Q101" s="40">
        <v>63.558810000000001</v>
      </c>
      <c r="R101" s="40">
        <v>223.37709000000001</v>
      </c>
      <c r="S101" s="40">
        <v>7.0236499999999999</v>
      </c>
      <c r="T101" s="40">
        <v>657.02</v>
      </c>
      <c r="U101" s="56">
        <v>51.581000000000003</v>
      </c>
      <c r="V101" s="56">
        <v>84.077950000000001</v>
      </c>
      <c r="W101" s="56">
        <v>0</v>
      </c>
      <c r="X101" s="56">
        <v>0</v>
      </c>
      <c r="Y101" s="56">
        <v>0</v>
      </c>
      <c r="Z101" s="56">
        <v>0</v>
      </c>
      <c r="AA101" s="56">
        <v>12.465309999999999</v>
      </c>
      <c r="AB101" s="56">
        <v>163.97300000000001</v>
      </c>
      <c r="AC101" s="56">
        <v>23.006820000000001</v>
      </c>
      <c r="AD101" s="56">
        <v>39.9101</v>
      </c>
      <c r="AE101" s="56">
        <v>969.9144</v>
      </c>
      <c r="AF101" s="56">
        <v>8.1950000000000003</v>
      </c>
      <c r="AG101" s="56">
        <v>3236.5242599999997</v>
      </c>
      <c r="AH101" s="56">
        <v>0</v>
      </c>
      <c r="AI101" s="56">
        <v>0</v>
      </c>
      <c r="AJ101" s="56">
        <v>284.43200000000002</v>
      </c>
      <c r="AK101" s="56">
        <v>0</v>
      </c>
      <c r="AL101" s="56">
        <v>0</v>
      </c>
      <c r="AM101" s="56">
        <v>0</v>
      </c>
      <c r="AN101" s="56">
        <v>31.2</v>
      </c>
      <c r="AO101" s="56">
        <v>64</v>
      </c>
      <c r="AP101" s="56">
        <v>0</v>
      </c>
      <c r="AQ101" s="56">
        <v>40.398499999999999</v>
      </c>
      <c r="AR101" s="56">
        <v>0</v>
      </c>
      <c r="AS101" s="56">
        <v>0</v>
      </c>
      <c r="AT101" s="56">
        <v>0</v>
      </c>
      <c r="AU101" s="56">
        <v>0</v>
      </c>
      <c r="AV101" s="41">
        <f t="shared" si="1"/>
        <v>12723.047920000001</v>
      </c>
    </row>
    <row r="102" spans="1:48" s="16" customFormat="1" x14ac:dyDescent="0.25">
      <c r="A102" s="2" t="s">
        <v>104</v>
      </c>
      <c r="B102" s="40">
        <v>126.6</v>
      </c>
      <c r="C102" s="40">
        <v>2367.7019</v>
      </c>
      <c r="D102" s="40">
        <v>1058.7579499999999</v>
      </c>
      <c r="E102" s="40">
        <v>0</v>
      </c>
      <c r="F102" s="40">
        <v>0</v>
      </c>
      <c r="G102" s="40">
        <v>772.29425000000003</v>
      </c>
      <c r="H102" s="40">
        <v>29.4</v>
      </c>
      <c r="I102" s="40">
        <v>8.2189999999999994</v>
      </c>
      <c r="J102" s="40">
        <v>219.48354999999998</v>
      </c>
      <c r="K102" s="40">
        <v>40.645690000000002</v>
      </c>
      <c r="L102" s="40">
        <v>345.19592999999998</v>
      </c>
      <c r="M102" s="40">
        <v>1517.74577</v>
      </c>
      <c r="N102" s="40">
        <v>684.32163000000003</v>
      </c>
      <c r="O102" s="40">
        <v>228.26429999999999</v>
      </c>
      <c r="P102" s="40">
        <v>82.783500000000004</v>
      </c>
      <c r="Q102" s="40">
        <v>12.810499999999999</v>
      </c>
      <c r="R102" s="40">
        <v>8.0433000000000003</v>
      </c>
      <c r="S102" s="40">
        <v>2.09945</v>
      </c>
      <c r="T102" s="40">
        <v>842.82470000000001</v>
      </c>
      <c r="U102" s="56">
        <v>123.3562</v>
      </c>
      <c r="V102" s="56">
        <v>188.02235000000002</v>
      </c>
      <c r="W102" s="56">
        <v>17.745740000000001</v>
      </c>
      <c r="X102" s="56">
        <v>0</v>
      </c>
      <c r="Y102" s="56">
        <v>0</v>
      </c>
      <c r="Z102" s="56">
        <v>0</v>
      </c>
      <c r="AA102" s="56">
        <v>10.7683</v>
      </c>
      <c r="AB102" s="56">
        <v>203.416</v>
      </c>
      <c r="AC102" s="56">
        <v>17.078529999999997</v>
      </c>
      <c r="AD102" s="56">
        <v>57.376400000000004</v>
      </c>
      <c r="AE102" s="56">
        <v>1649.42553</v>
      </c>
      <c r="AF102" s="56">
        <v>9.5990000000000002</v>
      </c>
      <c r="AG102" s="56">
        <v>3953.3777400000004</v>
      </c>
      <c r="AH102" s="56">
        <v>0</v>
      </c>
      <c r="AI102" s="56">
        <v>0</v>
      </c>
      <c r="AJ102" s="56">
        <v>64.400000000000006</v>
      </c>
      <c r="AK102" s="56">
        <v>0</v>
      </c>
      <c r="AL102" s="56">
        <v>0</v>
      </c>
      <c r="AM102" s="56">
        <v>0</v>
      </c>
      <c r="AN102" s="56">
        <v>0</v>
      </c>
      <c r="AO102" s="56">
        <v>378.59300000000002</v>
      </c>
      <c r="AP102" s="56">
        <v>0</v>
      </c>
      <c r="AQ102" s="56">
        <v>0</v>
      </c>
      <c r="AR102" s="56">
        <v>58.853300000000004</v>
      </c>
      <c r="AS102" s="56">
        <v>451.7747</v>
      </c>
      <c r="AT102" s="56">
        <v>0</v>
      </c>
      <c r="AU102" s="56">
        <v>0</v>
      </c>
      <c r="AV102" s="41">
        <f t="shared" si="1"/>
        <v>15530.978209999999</v>
      </c>
    </row>
    <row r="103" spans="1:48" s="16" customFormat="1" x14ac:dyDescent="0.25">
      <c r="A103" s="2" t="s">
        <v>25</v>
      </c>
      <c r="B103" s="40">
        <v>70.66</v>
      </c>
      <c r="C103" s="40">
        <v>2616.4774500000003</v>
      </c>
      <c r="D103" s="40">
        <v>1165.29475</v>
      </c>
      <c r="E103" s="40">
        <v>0</v>
      </c>
      <c r="F103" s="40">
        <v>83.167299999999997</v>
      </c>
      <c r="G103" s="40">
        <v>883.22619999999995</v>
      </c>
      <c r="H103" s="40">
        <v>137.48660000000001</v>
      </c>
      <c r="I103" s="40">
        <v>10.50225</v>
      </c>
      <c r="J103" s="40">
        <v>412.02674000000002</v>
      </c>
      <c r="K103" s="40">
        <v>88.621220000000008</v>
      </c>
      <c r="L103" s="40">
        <v>214.65245000000002</v>
      </c>
      <c r="M103" s="40">
        <v>773.08375999999998</v>
      </c>
      <c r="N103" s="40">
        <v>384.21733</v>
      </c>
      <c r="O103" s="40">
        <v>161.36816000000002</v>
      </c>
      <c r="P103" s="40">
        <v>1.8180000000000001</v>
      </c>
      <c r="Q103" s="40">
        <v>55.899940000000001</v>
      </c>
      <c r="R103" s="40">
        <v>110.24719</v>
      </c>
      <c r="S103" s="40">
        <v>13.17754</v>
      </c>
      <c r="T103" s="40">
        <v>483.322</v>
      </c>
      <c r="U103" s="56">
        <v>13.928100000000001</v>
      </c>
      <c r="V103" s="56">
        <v>89.073669999999993</v>
      </c>
      <c r="W103" s="56">
        <v>0</v>
      </c>
      <c r="X103" s="56">
        <v>0</v>
      </c>
      <c r="Y103" s="56">
        <v>0</v>
      </c>
      <c r="Z103" s="56">
        <v>0</v>
      </c>
      <c r="AA103" s="56">
        <v>8.8724599999999985</v>
      </c>
      <c r="AB103" s="56">
        <v>152.477</v>
      </c>
      <c r="AC103" s="56">
        <v>0</v>
      </c>
      <c r="AD103" s="56">
        <v>44.771699999999996</v>
      </c>
      <c r="AE103" s="56">
        <v>1454.2943500000001</v>
      </c>
      <c r="AF103" s="56">
        <v>11.94</v>
      </c>
      <c r="AG103" s="56">
        <v>5110.3143399999999</v>
      </c>
      <c r="AH103" s="56">
        <v>0</v>
      </c>
      <c r="AI103" s="56">
        <v>0</v>
      </c>
      <c r="AJ103" s="56">
        <v>11.268000000000001</v>
      </c>
      <c r="AK103" s="56">
        <v>0</v>
      </c>
      <c r="AL103" s="56">
        <v>0</v>
      </c>
      <c r="AM103" s="56">
        <v>0</v>
      </c>
      <c r="AN103" s="56">
        <v>0</v>
      </c>
      <c r="AO103" s="56">
        <v>57</v>
      </c>
      <c r="AP103" s="56">
        <v>0</v>
      </c>
      <c r="AQ103" s="56">
        <v>0</v>
      </c>
      <c r="AR103" s="56">
        <v>1.1499999999999999</v>
      </c>
      <c r="AS103" s="56">
        <v>13.276999999999999</v>
      </c>
      <c r="AT103" s="56">
        <v>0</v>
      </c>
      <c r="AU103" s="56">
        <v>0</v>
      </c>
      <c r="AV103" s="41">
        <f t="shared" si="1"/>
        <v>14633.6155</v>
      </c>
    </row>
    <row r="104" spans="1:48" s="16" customFormat="1" x14ac:dyDescent="0.25">
      <c r="A104" s="2" t="s">
        <v>105</v>
      </c>
      <c r="B104" s="40">
        <v>106.00905</v>
      </c>
      <c r="C104" s="40">
        <v>2203.9245499999997</v>
      </c>
      <c r="D104" s="40">
        <v>1317.1711499999999</v>
      </c>
      <c r="E104" s="40">
        <v>0</v>
      </c>
      <c r="F104" s="40">
        <v>0</v>
      </c>
      <c r="G104" s="40">
        <v>766.48860000000002</v>
      </c>
      <c r="H104" s="40">
        <v>8.82</v>
      </c>
      <c r="I104" s="40">
        <v>31.0364</v>
      </c>
      <c r="J104" s="40">
        <v>286.10669000000001</v>
      </c>
      <c r="K104" s="40">
        <v>211.28213</v>
      </c>
      <c r="L104" s="40">
        <v>308.99256000000003</v>
      </c>
      <c r="M104" s="40">
        <v>1026.84466</v>
      </c>
      <c r="N104" s="40">
        <v>561.19776999999999</v>
      </c>
      <c r="O104" s="40">
        <v>170.75010999999998</v>
      </c>
      <c r="P104" s="40">
        <v>24.941299999999998</v>
      </c>
      <c r="Q104" s="40">
        <v>3.5043500000000001</v>
      </c>
      <c r="R104" s="40">
        <v>194.89530999999999</v>
      </c>
      <c r="S104" s="40">
        <v>2.0445899999999999</v>
      </c>
      <c r="T104" s="40">
        <v>1964.0868899999998</v>
      </c>
      <c r="U104" s="56">
        <v>158.58199999999999</v>
      </c>
      <c r="V104" s="56">
        <v>145.11807999999999</v>
      </c>
      <c r="W104" s="56">
        <v>0</v>
      </c>
      <c r="X104" s="56">
        <v>0</v>
      </c>
      <c r="Y104" s="56">
        <v>18.1526</v>
      </c>
      <c r="Z104" s="56">
        <v>0</v>
      </c>
      <c r="AA104" s="56">
        <v>7.7647299999999992</v>
      </c>
      <c r="AB104" s="58">
        <v>208.80699999999999</v>
      </c>
      <c r="AC104" s="58">
        <v>41.032629999999997</v>
      </c>
      <c r="AD104" s="56">
        <v>44.488099999999996</v>
      </c>
      <c r="AE104" s="56">
        <v>1244.0368700000001</v>
      </c>
      <c r="AF104" s="56">
        <v>14.105</v>
      </c>
      <c r="AG104" s="56">
        <v>4928.2657800000006</v>
      </c>
      <c r="AH104" s="56">
        <v>0</v>
      </c>
      <c r="AI104" s="56">
        <v>0</v>
      </c>
      <c r="AJ104" s="56">
        <v>75.703999999999994</v>
      </c>
      <c r="AK104" s="56">
        <v>0</v>
      </c>
      <c r="AL104" s="58">
        <v>0</v>
      </c>
      <c r="AM104" s="58">
        <v>0</v>
      </c>
      <c r="AN104" s="58">
        <v>0</v>
      </c>
      <c r="AO104" s="58">
        <v>84</v>
      </c>
      <c r="AP104" s="58">
        <v>0</v>
      </c>
      <c r="AQ104" s="58">
        <v>36</v>
      </c>
      <c r="AR104" s="58">
        <v>11.641299999999999</v>
      </c>
      <c r="AS104" s="58">
        <v>302.80399999999997</v>
      </c>
      <c r="AT104" s="58">
        <v>0</v>
      </c>
      <c r="AU104" s="58">
        <v>0</v>
      </c>
      <c r="AV104" s="41">
        <f t="shared" si="1"/>
        <v>16508.598199999997</v>
      </c>
    </row>
    <row r="105" spans="1:48" s="16" customFormat="1" x14ac:dyDescent="0.25">
      <c r="A105" s="2" t="s">
        <v>106</v>
      </c>
      <c r="B105" s="40">
        <v>58.495699999999999</v>
      </c>
      <c r="C105" s="40">
        <v>308.59873999999996</v>
      </c>
      <c r="D105" s="40">
        <v>396.92904999999996</v>
      </c>
      <c r="E105" s="40">
        <v>0</v>
      </c>
      <c r="F105" s="40">
        <v>0</v>
      </c>
      <c r="G105" s="40">
        <v>134.43535</v>
      </c>
      <c r="H105" s="40">
        <v>0</v>
      </c>
      <c r="I105" s="40">
        <v>0.61320000000000008</v>
      </c>
      <c r="J105" s="40">
        <v>27.361069999999998</v>
      </c>
      <c r="K105" s="40">
        <v>5.92415</v>
      </c>
      <c r="L105" s="40">
        <v>31.888099999999998</v>
      </c>
      <c r="M105" s="40">
        <v>384.94117999999997</v>
      </c>
      <c r="N105" s="40">
        <v>65.985619999999997</v>
      </c>
      <c r="O105" s="40">
        <v>38.349800000000002</v>
      </c>
      <c r="P105" s="40">
        <v>87.574149999999989</v>
      </c>
      <c r="Q105" s="40">
        <v>8.0508000000000006</v>
      </c>
      <c r="R105" s="40">
        <v>1.6857599999999999</v>
      </c>
      <c r="S105" s="40">
        <v>0.21</v>
      </c>
      <c r="T105" s="40">
        <v>218.9376</v>
      </c>
      <c r="U105" s="56">
        <v>18.285250000000001</v>
      </c>
      <c r="V105" s="56">
        <v>82.254429999999999</v>
      </c>
      <c r="W105" s="56">
        <v>0</v>
      </c>
      <c r="X105" s="56">
        <v>0</v>
      </c>
      <c r="Y105" s="56">
        <v>1.0445499999999999</v>
      </c>
      <c r="Z105" s="56">
        <v>0</v>
      </c>
      <c r="AA105" s="56">
        <v>0.38286000000000003</v>
      </c>
      <c r="AB105" s="56">
        <v>40.996000000000002</v>
      </c>
      <c r="AC105" s="56">
        <v>0</v>
      </c>
      <c r="AD105" s="56">
        <v>16.550529999999998</v>
      </c>
      <c r="AE105" s="56">
        <v>330.51337000000001</v>
      </c>
      <c r="AF105" s="56">
        <v>11.427</v>
      </c>
      <c r="AG105" s="56">
        <v>938.91804000000002</v>
      </c>
      <c r="AH105" s="56">
        <v>0</v>
      </c>
      <c r="AI105" s="56">
        <v>0</v>
      </c>
      <c r="AJ105" s="56">
        <v>57.872300000000003</v>
      </c>
      <c r="AK105" s="56">
        <v>0</v>
      </c>
      <c r="AL105" s="56">
        <v>0</v>
      </c>
      <c r="AM105" s="56">
        <v>0</v>
      </c>
      <c r="AN105" s="56">
        <v>0</v>
      </c>
      <c r="AO105" s="56">
        <v>0.5</v>
      </c>
      <c r="AP105" s="56">
        <v>0</v>
      </c>
      <c r="AQ105" s="56">
        <v>0</v>
      </c>
      <c r="AR105" s="56">
        <v>15.6</v>
      </c>
      <c r="AS105" s="56">
        <v>121.73175000000001</v>
      </c>
      <c r="AT105" s="56">
        <v>0</v>
      </c>
      <c r="AU105" s="56">
        <v>0</v>
      </c>
      <c r="AV105" s="41">
        <f t="shared" si="1"/>
        <v>3406.0563499999998</v>
      </c>
    </row>
    <row r="106" spans="1:48" s="16" customFormat="1" x14ac:dyDescent="0.25">
      <c r="A106" s="2" t="s">
        <v>107</v>
      </c>
      <c r="B106" s="40">
        <v>83.139899999999997</v>
      </c>
      <c r="C106" s="40">
        <v>1287.2043999999999</v>
      </c>
      <c r="D106" s="40">
        <v>330.33974999999998</v>
      </c>
      <c r="E106" s="40">
        <v>8.0129000000000001</v>
      </c>
      <c r="F106" s="40">
        <v>10.8</v>
      </c>
      <c r="G106" s="40">
        <v>369.59118999999998</v>
      </c>
      <c r="H106" s="40">
        <v>0</v>
      </c>
      <c r="I106" s="40">
        <v>5.9169499999999999</v>
      </c>
      <c r="J106" s="40">
        <v>475.19840000000005</v>
      </c>
      <c r="K106" s="40">
        <v>76.193579999999997</v>
      </c>
      <c r="L106" s="40">
        <v>213.98795000000001</v>
      </c>
      <c r="M106" s="40">
        <v>425.03109999999998</v>
      </c>
      <c r="N106" s="40">
        <v>490.69941</v>
      </c>
      <c r="O106" s="40">
        <v>71.788339999999991</v>
      </c>
      <c r="P106" s="40">
        <v>39.232169999999996</v>
      </c>
      <c r="Q106" s="40">
        <v>4.3443999999999994</v>
      </c>
      <c r="R106" s="40">
        <v>7.8571599999999995</v>
      </c>
      <c r="S106" s="40">
        <v>3.3664499999999999</v>
      </c>
      <c r="T106" s="40">
        <v>176.19848000000002</v>
      </c>
      <c r="U106" s="56">
        <v>2.2994899999999996</v>
      </c>
      <c r="V106" s="56">
        <v>97.022310000000004</v>
      </c>
      <c r="W106" s="56">
        <v>1.2600000000000001E-3</v>
      </c>
      <c r="X106" s="56">
        <v>0</v>
      </c>
      <c r="Y106" s="56">
        <v>0</v>
      </c>
      <c r="Z106" s="56">
        <v>0</v>
      </c>
      <c r="AA106" s="56">
        <v>6.3062800000000001</v>
      </c>
      <c r="AB106" s="56">
        <v>230.83699999999999</v>
      </c>
      <c r="AC106" s="56">
        <v>18.894759999999998</v>
      </c>
      <c r="AD106" s="56">
        <v>19.850099999999998</v>
      </c>
      <c r="AE106" s="56">
        <v>454.38830000000002</v>
      </c>
      <c r="AF106" s="56">
        <v>0</v>
      </c>
      <c r="AG106" s="56">
        <v>1034.1687400000001</v>
      </c>
      <c r="AH106" s="56">
        <v>0</v>
      </c>
      <c r="AI106" s="56">
        <v>0</v>
      </c>
      <c r="AJ106" s="56">
        <v>7.36</v>
      </c>
      <c r="AK106" s="56">
        <v>0</v>
      </c>
      <c r="AL106" s="56">
        <v>0</v>
      </c>
      <c r="AM106" s="56">
        <v>0</v>
      </c>
      <c r="AN106" s="56">
        <v>21.706169999999997</v>
      </c>
      <c r="AO106" s="56">
        <v>65.01955000000001</v>
      </c>
      <c r="AP106" s="56">
        <v>7.5</v>
      </c>
      <c r="AQ106" s="56">
        <v>6.9</v>
      </c>
      <c r="AR106" s="56">
        <v>67.936179999999993</v>
      </c>
      <c r="AS106" s="56">
        <v>164.36846</v>
      </c>
      <c r="AT106" s="56">
        <v>0</v>
      </c>
      <c r="AU106" s="56">
        <v>0</v>
      </c>
      <c r="AV106" s="41">
        <f t="shared" si="1"/>
        <v>6283.4611299999988</v>
      </c>
    </row>
    <row r="107" spans="1:48" s="16" customFormat="1" x14ac:dyDescent="0.25">
      <c r="A107" s="2" t="s">
        <v>108</v>
      </c>
      <c r="B107" s="40">
        <v>89.584999999999994</v>
      </c>
      <c r="C107" s="40">
        <v>1196.5318500000001</v>
      </c>
      <c r="D107" s="40">
        <v>821.49575000000004</v>
      </c>
      <c r="E107" s="40">
        <v>1.18435</v>
      </c>
      <c r="F107" s="40">
        <v>0</v>
      </c>
      <c r="G107" s="40">
        <v>419.452</v>
      </c>
      <c r="H107" s="40">
        <v>0</v>
      </c>
      <c r="I107" s="40">
        <v>3.8270999999999997</v>
      </c>
      <c r="J107" s="40">
        <v>315.48890999999998</v>
      </c>
      <c r="K107" s="40">
        <v>22.996749999999999</v>
      </c>
      <c r="L107" s="40">
        <v>94.094259999999991</v>
      </c>
      <c r="M107" s="40">
        <v>373.29053999999996</v>
      </c>
      <c r="N107" s="40">
        <v>197.56608</v>
      </c>
      <c r="O107" s="40">
        <v>103.4872</v>
      </c>
      <c r="P107" s="40">
        <v>39.121600000000001</v>
      </c>
      <c r="Q107" s="40">
        <v>37.047599999999996</v>
      </c>
      <c r="R107" s="40">
        <v>40.822699999999998</v>
      </c>
      <c r="S107" s="40">
        <v>5.4190500000000004</v>
      </c>
      <c r="T107" s="40">
        <v>261.87844999999999</v>
      </c>
      <c r="U107" s="56">
        <v>95.946359999999999</v>
      </c>
      <c r="V107" s="56">
        <v>84.5886</v>
      </c>
      <c r="W107" s="56">
        <v>0</v>
      </c>
      <c r="X107" s="56">
        <v>0</v>
      </c>
      <c r="Y107" s="56">
        <v>0</v>
      </c>
      <c r="Z107" s="56">
        <v>0</v>
      </c>
      <c r="AA107" s="56">
        <v>4.6532299999999998</v>
      </c>
      <c r="AB107" s="56">
        <v>74.290999999999997</v>
      </c>
      <c r="AC107" s="56">
        <v>53.72833</v>
      </c>
      <c r="AD107" s="56">
        <v>11.403</v>
      </c>
      <c r="AE107" s="56">
        <v>923.26265000000001</v>
      </c>
      <c r="AF107" s="56">
        <v>6.7350000000000003</v>
      </c>
      <c r="AG107" s="56">
        <v>3117.8109800000002</v>
      </c>
      <c r="AH107" s="56">
        <v>0</v>
      </c>
      <c r="AI107" s="56">
        <v>0</v>
      </c>
      <c r="AJ107" s="56">
        <v>126.16714999999999</v>
      </c>
      <c r="AK107" s="56">
        <v>0</v>
      </c>
      <c r="AL107" s="56">
        <v>0</v>
      </c>
      <c r="AM107" s="56">
        <v>0</v>
      </c>
      <c r="AN107" s="56">
        <v>0</v>
      </c>
      <c r="AO107" s="56">
        <v>17.46</v>
      </c>
      <c r="AP107" s="56">
        <v>0</v>
      </c>
      <c r="AQ107" s="56">
        <v>0</v>
      </c>
      <c r="AR107" s="56">
        <v>0</v>
      </c>
      <c r="AS107" s="56">
        <v>79.042249999999996</v>
      </c>
      <c r="AT107" s="56">
        <v>0</v>
      </c>
      <c r="AU107" s="56">
        <v>0</v>
      </c>
      <c r="AV107" s="41">
        <f t="shared" si="1"/>
        <v>8618.3777399999999</v>
      </c>
    </row>
    <row r="108" spans="1:48" s="16" customFormat="1" x14ac:dyDescent="0.25">
      <c r="A108" s="2" t="s">
        <v>109</v>
      </c>
      <c r="B108" s="40">
        <v>55.825000000000003</v>
      </c>
      <c r="C108" s="40">
        <v>426.42020000000002</v>
      </c>
      <c r="D108" s="40">
        <v>0</v>
      </c>
      <c r="E108" s="40">
        <v>0</v>
      </c>
      <c r="F108" s="40">
        <v>1.8924000000000001</v>
      </c>
      <c r="G108" s="40">
        <v>93.685500000000005</v>
      </c>
      <c r="H108" s="40">
        <v>0</v>
      </c>
      <c r="I108" s="40">
        <v>11.622870000000001</v>
      </c>
      <c r="J108" s="40">
        <v>31.44087</v>
      </c>
      <c r="K108" s="40">
        <v>5.2562499999999996</v>
      </c>
      <c r="L108" s="40">
        <v>62.762149999999998</v>
      </c>
      <c r="M108" s="40">
        <v>456.07123999999999</v>
      </c>
      <c r="N108" s="40">
        <v>175.29323000000002</v>
      </c>
      <c r="O108" s="40">
        <v>45.2498</v>
      </c>
      <c r="P108" s="40">
        <v>10.968500000000001</v>
      </c>
      <c r="Q108" s="40">
        <v>0.32100000000000001</v>
      </c>
      <c r="R108" s="40">
        <v>3.11544</v>
      </c>
      <c r="S108" s="40">
        <v>5.6519500000000003</v>
      </c>
      <c r="T108" s="40">
        <v>417.80959999999999</v>
      </c>
      <c r="U108" s="56">
        <v>11.817770000000001</v>
      </c>
      <c r="V108" s="56">
        <v>75.205100000000002</v>
      </c>
      <c r="W108" s="56">
        <v>0</v>
      </c>
      <c r="X108" s="56">
        <v>0</v>
      </c>
      <c r="Y108" s="56">
        <v>0</v>
      </c>
      <c r="Z108" s="56">
        <v>0</v>
      </c>
      <c r="AA108" s="56">
        <v>1.6144499999999999</v>
      </c>
      <c r="AB108" s="56">
        <v>34.716000000000001</v>
      </c>
      <c r="AC108" s="56">
        <v>15.007490000000001</v>
      </c>
      <c r="AD108" s="56">
        <v>11.280799999999999</v>
      </c>
      <c r="AE108" s="56">
        <v>560.22169999999994</v>
      </c>
      <c r="AF108" s="56">
        <v>672.67499999999995</v>
      </c>
      <c r="AG108" s="56">
        <v>1204.03106</v>
      </c>
      <c r="AH108" s="56">
        <v>0</v>
      </c>
      <c r="AI108" s="56">
        <v>0</v>
      </c>
      <c r="AJ108" s="56">
        <v>17.492529999999999</v>
      </c>
      <c r="AK108" s="56">
        <v>0</v>
      </c>
      <c r="AL108" s="56">
        <v>0</v>
      </c>
      <c r="AM108" s="56">
        <v>0</v>
      </c>
      <c r="AN108" s="56">
        <v>0</v>
      </c>
      <c r="AO108" s="56">
        <v>35.6</v>
      </c>
      <c r="AP108" s="56">
        <v>0</v>
      </c>
      <c r="AQ108" s="56">
        <v>18</v>
      </c>
      <c r="AR108" s="56">
        <v>22.9375</v>
      </c>
      <c r="AS108" s="56">
        <v>262.17700000000002</v>
      </c>
      <c r="AT108" s="56">
        <v>0</v>
      </c>
      <c r="AU108" s="56">
        <v>0</v>
      </c>
      <c r="AV108" s="41">
        <f t="shared" si="1"/>
        <v>4746.1624000000011</v>
      </c>
    </row>
    <row r="109" spans="1:48" s="23" customFormat="1" ht="18" customHeight="1" x14ac:dyDescent="0.25">
      <c r="A109" s="17" t="s">
        <v>224</v>
      </c>
      <c r="B109" s="43">
        <v>12281.14875</v>
      </c>
      <c r="C109" s="43">
        <v>428019.21357000008</v>
      </c>
      <c r="D109" s="43">
        <v>142565.07952000006</v>
      </c>
      <c r="E109" s="43">
        <v>619.30669999999986</v>
      </c>
      <c r="F109" s="43">
        <v>4048.1594400000004</v>
      </c>
      <c r="G109" s="43">
        <v>122073.97135000007</v>
      </c>
      <c r="H109" s="43">
        <v>2091.8207500000003</v>
      </c>
      <c r="I109" s="43">
        <v>3659.5292600000007</v>
      </c>
      <c r="J109" s="43">
        <v>41921.486139999965</v>
      </c>
      <c r="K109" s="43">
        <v>12595.729360000007</v>
      </c>
      <c r="L109" s="43">
        <v>43487.980800000012</v>
      </c>
      <c r="M109" s="43">
        <v>130890.35921999995</v>
      </c>
      <c r="N109" s="43">
        <v>82493.145360000082</v>
      </c>
      <c r="O109" s="43">
        <v>19407.835310000006</v>
      </c>
      <c r="P109" s="43">
        <v>14991.594030000002</v>
      </c>
      <c r="Q109" s="43">
        <v>2180.4758299999999</v>
      </c>
      <c r="R109" s="43">
        <v>21211.710230000008</v>
      </c>
      <c r="S109" s="43">
        <v>3771.6288500000001</v>
      </c>
      <c r="T109" s="43">
        <v>101424.20489000004</v>
      </c>
      <c r="U109" s="43">
        <v>7765.3343400000003</v>
      </c>
      <c r="V109" s="43">
        <v>38865.568409999993</v>
      </c>
      <c r="W109" s="43">
        <v>170.54592000000002</v>
      </c>
      <c r="X109" s="43">
        <v>531.82376999999997</v>
      </c>
      <c r="Y109" s="43">
        <v>5006.3874000000005</v>
      </c>
      <c r="Z109" s="43">
        <v>423.03504999999996</v>
      </c>
      <c r="AA109" s="43">
        <v>1552.2363399999999</v>
      </c>
      <c r="AB109" s="43">
        <v>20814.361399999991</v>
      </c>
      <c r="AC109" s="43">
        <v>3623.2997299999997</v>
      </c>
      <c r="AD109" s="43">
        <v>7169.8338000000022</v>
      </c>
      <c r="AE109" s="43">
        <v>145709.15039999998</v>
      </c>
      <c r="AF109" s="43">
        <v>76059.79200000003</v>
      </c>
      <c r="AG109" s="43">
        <v>564735.45608999999</v>
      </c>
      <c r="AH109" s="43">
        <v>109</v>
      </c>
      <c r="AI109" s="43">
        <v>189.56135</v>
      </c>
      <c r="AJ109" s="43">
        <v>14878.317800000004</v>
      </c>
      <c r="AK109" s="43">
        <v>60</v>
      </c>
      <c r="AL109" s="43">
        <v>1272.90391</v>
      </c>
      <c r="AM109" s="43">
        <v>419.66996</v>
      </c>
      <c r="AN109" s="43">
        <v>353.81473999999997</v>
      </c>
      <c r="AO109" s="43">
        <v>30864.176729999996</v>
      </c>
      <c r="AP109" s="43">
        <v>1884.2951499999999</v>
      </c>
      <c r="AQ109" s="43">
        <v>3778.6355900000003</v>
      </c>
      <c r="AR109" s="43">
        <v>4514.2422500000011</v>
      </c>
      <c r="AS109" s="43">
        <v>24256.271760000003</v>
      </c>
      <c r="AT109" s="43">
        <v>48.232300000000009</v>
      </c>
      <c r="AU109" s="43">
        <v>1733.8030199999998</v>
      </c>
      <c r="AV109" s="43">
        <v>2146524.1285700002</v>
      </c>
    </row>
    <row r="110" spans="1:48" s="23" customFormat="1" ht="18" customHeight="1" x14ac:dyDescent="0.15">
      <c r="A110" s="23" t="s">
        <v>225</v>
      </c>
      <c r="B110" s="44"/>
      <c r="C110" s="44"/>
      <c r="D110" s="44"/>
      <c r="E110" s="44"/>
      <c r="F110" s="45"/>
      <c r="G110" s="44"/>
      <c r="H110" s="44"/>
      <c r="I110" s="44"/>
      <c r="J110" s="44"/>
      <c r="K110" s="44"/>
      <c r="L110" s="44"/>
      <c r="M110" s="44"/>
    </row>
    <row r="111" spans="1:48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59"/>
      <c r="W111" s="59"/>
      <c r="X111" s="59"/>
      <c r="Y111" s="59"/>
      <c r="Z111" s="59"/>
      <c r="AA111" s="59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60"/>
    </row>
    <row r="112" spans="1:48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59"/>
      <c r="W112" s="59"/>
      <c r="X112" s="59"/>
      <c r="Y112" s="59"/>
      <c r="Z112" s="59"/>
      <c r="AA112" s="59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60"/>
    </row>
    <row r="113" spans="2:48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59"/>
      <c r="W113" s="59"/>
      <c r="X113" s="59"/>
      <c r="Y113" s="59"/>
      <c r="Z113" s="59"/>
      <c r="AA113" s="59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60"/>
    </row>
    <row r="114" spans="2:48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59"/>
      <c r="W114" s="59"/>
      <c r="X114" s="59"/>
      <c r="Y114" s="59"/>
      <c r="Z114" s="59"/>
      <c r="AA114" s="59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60"/>
    </row>
    <row r="115" spans="2:48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59"/>
      <c r="W115" s="59"/>
      <c r="X115" s="59"/>
      <c r="Y115" s="59"/>
      <c r="Z115" s="59"/>
      <c r="AA115" s="59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60"/>
    </row>
    <row r="116" spans="2:48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59"/>
      <c r="W116" s="59"/>
      <c r="X116" s="59"/>
      <c r="Y116" s="59"/>
      <c r="Z116" s="59"/>
      <c r="AA116" s="59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60"/>
    </row>
    <row r="117" spans="2:48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59"/>
      <c r="W117" s="59"/>
      <c r="X117" s="59"/>
      <c r="Y117" s="59"/>
      <c r="Z117" s="59"/>
      <c r="AA117" s="59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60"/>
    </row>
    <row r="118" spans="2:48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59"/>
      <c r="W118" s="59"/>
      <c r="X118" s="59"/>
      <c r="Y118" s="59"/>
      <c r="Z118" s="59"/>
      <c r="AA118" s="59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60"/>
    </row>
    <row r="119" spans="2:48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59"/>
      <c r="W119" s="59"/>
      <c r="X119" s="59"/>
      <c r="Y119" s="59"/>
      <c r="Z119" s="59"/>
      <c r="AA119" s="59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60"/>
    </row>
    <row r="120" spans="2:48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59"/>
      <c r="W120" s="59"/>
      <c r="X120" s="59"/>
      <c r="Y120" s="59"/>
      <c r="Z120" s="59"/>
      <c r="AA120" s="59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60"/>
    </row>
    <row r="121" spans="2:48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59"/>
      <c r="W121" s="59"/>
      <c r="X121" s="59"/>
      <c r="Y121" s="59"/>
      <c r="Z121" s="59"/>
      <c r="AA121" s="59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60"/>
    </row>
    <row r="122" spans="2:48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59"/>
      <c r="W122" s="59"/>
      <c r="X122" s="59"/>
      <c r="Y122" s="59"/>
      <c r="Z122" s="59"/>
      <c r="AA122" s="59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60"/>
    </row>
    <row r="123" spans="2:48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59"/>
      <c r="W123" s="59"/>
      <c r="X123" s="59"/>
      <c r="Y123" s="59"/>
      <c r="Z123" s="59"/>
      <c r="AA123" s="59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60"/>
    </row>
    <row r="124" spans="2:48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59"/>
      <c r="W124" s="59"/>
      <c r="X124" s="59"/>
      <c r="Y124" s="59"/>
      <c r="Z124" s="59"/>
      <c r="AA124" s="59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60"/>
    </row>
    <row r="125" spans="2:48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59"/>
      <c r="W125" s="59"/>
      <c r="X125" s="59"/>
      <c r="Y125" s="59"/>
      <c r="Z125" s="59"/>
      <c r="AA125" s="59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60"/>
    </row>
    <row r="126" spans="2:48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59"/>
      <c r="W126" s="59"/>
      <c r="X126" s="59"/>
      <c r="Y126" s="59"/>
      <c r="Z126" s="59"/>
      <c r="AA126" s="59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60"/>
    </row>
    <row r="127" spans="2:48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59"/>
      <c r="W127" s="59"/>
      <c r="X127" s="59"/>
      <c r="Y127" s="59"/>
      <c r="Z127" s="59"/>
      <c r="AA127" s="59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60"/>
    </row>
    <row r="128" spans="2:48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59"/>
      <c r="W128" s="59"/>
      <c r="X128" s="59"/>
      <c r="Y128" s="59"/>
      <c r="Z128" s="59"/>
      <c r="AA128" s="59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60"/>
    </row>
    <row r="129" spans="2:48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59"/>
      <c r="W129" s="59"/>
      <c r="X129" s="59"/>
      <c r="Y129" s="59"/>
      <c r="Z129" s="59"/>
      <c r="AA129" s="59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60"/>
    </row>
    <row r="130" spans="2:48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59"/>
      <c r="W130" s="59"/>
      <c r="X130" s="59"/>
      <c r="Y130" s="59"/>
      <c r="Z130" s="59"/>
      <c r="AA130" s="59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60"/>
    </row>
    <row r="131" spans="2:48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59"/>
      <c r="W131" s="59"/>
      <c r="X131" s="59"/>
      <c r="Y131" s="59"/>
      <c r="Z131" s="59"/>
      <c r="AA131" s="59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60"/>
    </row>
    <row r="132" spans="2:48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59"/>
      <c r="W132" s="59"/>
      <c r="X132" s="59"/>
      <c r="Y132" s="59"/>
      <c r="Z132" s="59"/>
      <c r="AA132" s="59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60"/>
    </row>
    <row r="133" spans="2:48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59"/>
      <c r="W133" s="59"/>
      <c r="X133" s="59"/>
      <c r="Y133" s="59"/>
      <c r="Z133" s="59"/>
      <c r="AA133" s="59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60"/>
    </row>
    <row r="134" spans="2:48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59"/>
      <c r="W134" s="59"/>
      <c r="X134" s="59"/>
      <c r="Y134" s="59"/>
      <c r="Z134" s="59"/>
      <c r="AA134" s="59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60"/>
    </row>
    <row r="135" spans="2:48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59"/>
      <c r="W135" s="59"/>
      <c r="X135" s="59"/>
      <c r="Y135" s="59"/>
      <c r="Z135" s="59"/>
      <c r="AA135" s="59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60"/>
    </row>
    <row r="136" spans="2:48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59"/>
      <c r="W136" s="59"/>
      <c r="X136" s="59"/>
      <c r="Y136" s="59"/>
      <c r="Z136" s="59"/>
      <c r="AA136" s="59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60"/>
    </row>
    <row r="137" spans="2:48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59"/>
      <c r="W137" s="59"/>
      <c r="X137" s="59"/>
      <c r="Y137" s="59"/>
      <c r="Z137" s="59"/>
      <c r="AA137" s="59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60"/>
    </row>
    <row r="138" spans="2:48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59"/>
      <c r="W138" s="59"/>
      <c r="X138" s="59"/>
      <c r="Y138" s="59"/>
      <c r="Z138" s="59"/>
      <c r="AA138" s="59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60"/>
    </row>
    <row r="139" spans="2:48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59"/>
      <c r="W139" s="59"/>
      <c r="X139" s="59"/>
      <c r="Y139" s="59"/>
      <c r="Z139" s="59"/>
      <c r="AA139" s="59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60"/>
    </row>
    <row r="140" spans="2:48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59"/>
      <c r="W140" s="59"/>
      <c r="X140" s="59"/>
      <c r="Y140" s="59"/>
      <c r="Z140" s="59"/>
      <c r="AA140" s="59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60"/>
    </row>
    <row r="141" spans="2:48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59"/>
      <c r="W141" s="59"/>
      <c r="X141" s="59"/>
      <c r="Y141" s="59"/>
      <c r="Z141" s="59"/>
      <c r="AA141" s="59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60"/>
    </row>
    <row r="142" spans="2:48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59"/>
      <c r="W142" s="59"/>
      <c r="X142" s="59"/>
      <c r="Y142" s="59"/>
      <c r="Z142" s="59"/>
      <c r="AA142" s="59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60"/>
    </row>
    <row r="143" spans="2:48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59"/>
      <c r="W143" s="59"/>
      <c r="X143" s="59"/>
      <c r="Y143" s="59"/>
      <c r="Z143" s="59"/>
      <c r="AA143" s="59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60"/>
    </row>
    <row r="144" spans="2:48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59"/>
      <c r="W144" s="59"/>
      <c r="X144" s="59"/>
      <c r="Y144" s="59"/>
      <c r="Z144" s="59"/>
      <c r="AA144" s="59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60"/>
    </row>
    <row r="145" spans="2:48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59"/>
      <c r="W145" s="59"/>
      <c r="X145" s="59"/>
      <c r="Y145" s="59"/>
      <c r="Z145" s="59"/>
      <c r="AA145" s="59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60"/>
    </row>
    <row r="146" spans="2:48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59"/>
      <c r="W146" s="59"/>
      <c r="X146" s="59"/>
      <c r="Y146" s="59"/>
      <c r="Z146" s="59"/>
      <c r="AA146" s="59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60"/>
    </row>
    <row r="147" spans="2:48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59"/>
      <c r="W147" s="59"/>
      <c r="X147" s="59"/>
      <c r="Y147" s="59"/>
      <c r="Z147" s="59"/>
      <c r="AA147" s="59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60"/>
    </row>
    <row r="148" spans="2:48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59"/>
      <c r="W148" s="59"/>
      <c r="X148" s="59"/>
      <c r="Y148" s="59"/>
      <c r="Z148" s="59"/>
      <c r="AA148" s="59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60"/>
    </row>
    <row r="149" spans="2:48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59"/>
      <c r="W149" s="59"/>
      <c r="X149" s="59"/>
      <c r="Y149" s="59"/>
      <c r="Z149" s="59"/>
      <c r="AA149" s="59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60"/>
    </row>
    <row r="150" spans="2:48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59"/>
      <c r="W150" s="59"/>
      <c r="X150" s="59"/>
      <c r="Y150" s="59"/>
      <c r="Z150" s="59"/>
      <c r="AA150" s="59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60"/>
    </row>
    <row r="151" spans="2:48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59"/>
      <c r="W151" s="59"/>
      <c r="X151" s="59"/>
      <c r="Y151" s="59"/>
      <c r="Z151" s="59"/>
      <c r="AA151" s="59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60"/>
    </row>
    <row r="152" spans="2:48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59"/>
      <c r="W152" s="59"/>
      <c r="X152" s="59"/>
      <c r="Y152" s="59"/>
      <c r="Z152" s="59"/>
      <c r="AA152" s="59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60"/>
    </row>
    <row r="153" spans="2:48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59"/>
      <c r="W153" s="59"/>
      <c r="X153" s="59"/>
      <c r="Y153" s="59"/>
      <c r="Z153" s="59"/>
      <c r="AA153" s="59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60"/>
    </row>
    <row r="154" spans="2:48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59"/>
      <c r="W154" s="59"/>
      <c r="X154" s="59"/>
      <c r="Y154" s="59"/>
      <c r="Z154" s="59"/>
      <c r="AA154" s="59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60"/>
    </row>
    <row r="155" spans="2:48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59"/>
      <c r="W155" s="59"/>
      <c r="X155" s="59"/>
      <c r="Y155" s="59"/>
      <c r="Z155" s="59"/>
      <c r="AA155" s="59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60"/>
    </row>
    <row r="156" spans="2:48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59"/>
      <c r="W156" s="59"/>
      <c r="X156" s="59"/>
      <c r="Y156" s="59"/>
      <c r="Z156" s="59"/>
      <c r="AA156" s="59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60"/>
    </row>
    <row r="157" spans="2:48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59"/>
      <c r="W157" s="59"/>
      <c r="X157" s="59"/>
      <c r="Y157" s="59"/>
      <c r="Z157" s="59"/>
      <c r="AA157" s="59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60"/>
    </row>
    <row r="158" spans="2:48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59"/>
      <c r="W158" s="59"/>
      <c r="X158" s="59"/>
      <c r="Y158" s="59"/>
      <c r="Z158" s="59"/>
      <c r="AA158" s="59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60"/>
    </row>
    <row r="159" spans="2:48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59"/>
      <c r="W159" s="59"/>
      <c r="X159" s="59"/>
      <c r="Y159" s="59"/>
      <c r="Z159" s="59"/>
      <c r="AA159" s="59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60"/>
    </row>
    <row r="160" spans="2:48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59"/>
      <c r="W160" s="59"/>
      <c r="X160" s="59"/>
      <c r="Y160" s="59"/>
      <c r="Z160" s="59"/>
      <c r="AA160" s="59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60"/>
    </row>
    <row r="161" spans="2:48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59"/>
      <c r="W161" s="59"/>
      <c r="X161" s="59"/>
      <c r="Y161" s="59"/>
      <c r="Z161" s="59"/>
      <c r="AA161" s="59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60"/>
    </row>
    <row r="162" spans="2:48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59"/>
      <c r="W162" s="59"/>
      <c r="X162" s="59"/>
      <c r="Y162" s="59"/>
      <c r="Z162" s="59"/>
      <c r="AA162" s="59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60"/>
    </row>
    <row r="163" spans="2:48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59"/>
      <c r="W163" s="59"/>
      <c r="X163" s="59"/>
      <c r="Y163" s="59"/>
      <c r="Z163" s="59"/>
      <c r="AA163" s="59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60"/>
    </row>
    <row r="164" spans="2:48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59"/>
      <c r="W164" s="59"/>
      <c r="X164" s="59"/>
      <c r="Y164" s="59"/>
      <c r="Z164" s="59"/>
      <c r="AA164" s="59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60"/>
    </row>
    <row r="165" spans="2:48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59"/>
      <c r="W165" s="59"/>
      <c r="X165" s="59"/>
      <c r="Y165" s="59"/>
      <c r="Z165" s="59"/>
      <c r="AA165" s="59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60"/>
    </row>
    <row r="166" spans="2:48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59"/>
      <c r="W166" s="59"/>
      <c r="X166" s="59"/>
      <c r="Y166" s="59"/>
      <c r="Z166" s="59"/>
      <c r="AA166" s="59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60"/>
    </row>
    <row r="167" spans="2:48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59"/>
      <c r="W167" s="59"/>
      <c r="X167" s="59"/>
      <c r="Y167" s="59"/>
      <c r="Z167" s="59"/>
      <c r="AA167" s="59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60"/>
    </row>
    <row r="168" spans="2:48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59"/>
      <c r="W168" s="59"/>
      <c r="X168" s="59"/>
      <c r="Y168" s="59"/>
      <c r="Z168" s="59"/>
      <c r="AA168" s="59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60"/>
    </row>
    <row r="169" spans="2:48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59"/>
      <c r="W169" s="59"/>
      <c r="X169" s="59"/>
      <c r="Y169" s="59"/>
      <c r="Z169" s="59"/>
      <c r="AA169" s="59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60"/>
    </row>
    <row r="170" spans="2:48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59"/>
      <c r="W170" s="59"/>
      <c r="X170" s="59"/>
      <c r="Y170" s="59"/>
      <c r="Z170" s="59"/>
      <c r="AA170" s="59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60"/>
    </row>
    <row r="171" spans="2:48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59"/>
      <c r="W171" s="59"/>
      <c r="X171" s="59"/>
      <c r="Y171" s="59"/>
      <c r="Z171" s="59"/>
      <c r="AA171" s="59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60"/>
    </row>
    <row r="172" spans="2:48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59"/>
      <c r="W172" s="59"/>
      <c r="X172" s="59"/>
      <c r="Y172" s="59"/>
      <c r="Z172" s="59"/>
      <c r="AA172" s="59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60"/>
    </row>
    <row r="173" spans="2:48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59"/>
      <c r="W173" s="59"/>
      <c r="X173" s="59"/>
      <c r="Y173" s="59"/>
      <c r="Z173" s="59"/>
      <c r="AA173" s="59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60"/>
    </row>
    <row r="174" spans="2:48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59"/>
      <c r="W174" s="59"/>
      <c r="X174" s="59"/>
      <c r="Y174" s="59"/>
      <c r="Z174" s="59"/>
      <c r="AA174" s="59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60"/>
    </row>
    <row r="175" spans="2:48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59"/>
      <c r="W175" s="59"/>
      <c r="X175" s="59"/>
      <c r="Y175" s="59"/>
      <c r="Z175" s="59"/>
      <c r="AA175" s="59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60"/>
    </row>
    <row r="176" spans="2:48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59"/>
      <c r="W176" s="59"/>
      <c r="X176" s="59"/>
      <c r="Y176" s="59"/>
      <c r="Z176" s="59"/>
      <c r="AA176" s="59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60"/>
    </row>
    <row r="177" spans="2:48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59"/>
      <c r="W177" s="59"/>
      <c r="X177" s="59"/>
      <c r="Y177" s="59"/>
      <c r="Z177" s="59"/>
      <c r="AA177" s="59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60"/>
    </row>
    <row r="178" spans="2:48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59"/>
      <c r="W178" s="59"/>
      <c r="X178" s="59"/>
      <c r="Y178" s="59"/>
      <c r="Z178" s="59"/>
      <c r="AA178" s="59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60"/>
    </row>
    <row r="179" spans="2:48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59"/>
      <c r="W179" s="59"/>
      <c r="X179" s="59"/>
      <c r="Y179" s="59"/>
      <c r="Z179" s="59"/>
      <c r="AA179" s="59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60"/>
    </row>
    <row r="180" spans="2:48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59"/>
      <c r="W180" s="59"/>
      <c r="X180" s="59"/>
      <c r="Y180" s="59"/>
      <c r="Z180" s="59"/>
      <c r="AA180" s="59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60"/>
    </row>
    <row r="181" spans="2:48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59"/>
      <c r="W181" s="59"/>
      <c r="X181" s="59"/>
      <c r="Y181" s="59"/>
      <c r="Z181" s="59"/>
      <c r="AA181" s="59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60"/>
    </row>
    <row r="182" spans="2:48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59"/>
      <c r="W182" s="59"/>
      <c r="X182" s="59"/>
      <c r="Y182" s="59"/>
      <c r="Z182" s="59"/>
      <c r="AA182" s="59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60"/>
    </row>
    <row r="183" spans="2:48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59"/>
      <c r="W183" s="59"/>
      <c r="X183" s="59"/>
      <c r="Y183" s="59"/>
      <c r="Z183" s="59"/>
      <c r="AA183" s="59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60"/>
    </row>
    <row r="184" spans="2:48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59"/>
      <c r="W184" s="59"/>
      <c r="X184" s="59"/>
      <c r="Y184" s="59"/>
      <c r="Z184" s="59"/>
      <c r="AA184" s="59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60"/>
    </row>
    <row r="185" spans="2:48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59"/>
      <c r="W185" s="59"/>
      <c r="X185" s="59"/>
      <c r="Y185" s="59"/>
      <c r="Z185" s="59"/>
      <c r="AA185" s="59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60"/>
    </row>
    <row r="186" spans="2:48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59"/>
      <c r="W186" s="59"/>
      <c r="X186" s="59"/>
      <c r="Y186" s="59"/>
      <c r="Z186" s="59"/>
      <c r="AA186" s="59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60"/>
    </row>
    <row r="187" spans="2:48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59"/>
      <c r="W187" s="59"/>
      <c r="X187" s="59"/>
      <c r="Y187" s="59"/>
      <c r="Z187" s="59"/>
      <c r="AA187" s="59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60"/>
    </row>
    <row r="188" spans="2:48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59"/>
      <c r="W188" s="59"/>
      <c r="X188" s="59"/>
      <c r="Y188" s="59"/>
      <c r="Z188" s="59"/>
      <c r="AA188" s="59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60"/>
    </row>
    <row r="189" spans="2:48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59"/>
      <c r="W189" s="59"/>
      <c r="X189" s="59"/>
      <c r="Y189" s="59"/>
      <c r="Z189" s="59"/>
      <c r="AA189" s="59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60"/>
    </row>
    <row r="190" spans="2:48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59"/>
      <c r="W190" s="59"/>
      <c r="X190" s="59"/>
      <c r="Y190" s="59"/>
      <c r="Z190" s="59"/>
      <c r="AA190" s="59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60"/>
    </row>
    <row r="191" spans="2:48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59"/>
      <c r="W191" s="59"/>
      <c r="X191" s="59"/>
      <c r="Y191" s="59"/>
      <c r="Z191" s="59"/>
      <c r="AA191" s="59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60"/>
    </row>
    <row r="192" spans="2:48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59"/>
      <c r="W192" s="59"/>
      <c r="X192" s="59"/>
      <c r="Y192" s="59"/>
      <c r="Z192" s="59"/>
      <c r="AA192" s="59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60"/>
    </row>
    <row r="193" spans="2:48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59"/>
      <c r="W193" s="59"/>
      <c r="X193" s="59"/>
      <c r="Y193" s="59"/>
      <c r="Z193" s="59"/>
      <c r="AA193" s="59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60"/>
    </row>
    <row r="194" spans="2:48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59"/>
      <c r="W194" s="59"/>
      <c r="X194" s="59"/>
      <c r="Y194" s="59"/>
      <c r="Z194" s="59"/>
      <c r="AA194" s="59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60"/>
    </row>
    <row r="195" spans="2:48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59"/>
      <c r="W195" s="59"/>
      <c r="X195" s="59"/>
      <c r="Y195" s="59"/>
      <c r="Z195" s="59"/>
      <c r="AA195" s="59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60"/>
    </row>
    <row r="196" spans="2:48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59"/>
      <c r="W196" s="59"/>
      <c r="X196" s="59"/>
      <c r="Y196" s="59"/>
      <c r="Z196" s="59"/>
      <c r="AA196" s="59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60"/>
    </row>
    <row r="197" spans="2:48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59"/>
      <c r="W197" s="59"/>
      <c r="X197" s="59"/>
      <c r="Y197" s="59"/>
      <c r="Z197" s="59"/>
      <c r="AA197" s="59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60"/>
    </row>
    <row r="198" spans="2:48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59"/>
      <c r="W198" s="59"/>
      <c r="X198" s="59"/>
      <c r="Y198" s="59"/>
      <c r="Z198" s="59"/>
      <c r="AA198" s="59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60"/>
    </row>
    <row r="199" spans="2:48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59"/>
      <c r="W199" s="59"/>
      <c r="X199" s="59"/>
      <c r="Y199" s="59"/>
      <c r="Z199" s="59"/>
      <c r="AA199" s="59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60"/>
    </row>
    <row r="200" spans="2:48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59"/>
      <c r="W200" s="59"/>
      <c r="X200" s="59"/>
      <c r="Y200" s="59"/>
      <c r="Z200" s="59"/>
      <c r="AA200" s="59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60"/>
    </row>
    <row r="201" spans="2:48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59"/>
      <c r="W201" s="59"/>
      <c r="X201" s="59"/>
      <c r="Y201" s="59"/>
      <c r="Z201" s="59"/>
      <c r="AA201" s="59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60"/>
    </row>
    <row r="202" spans="2:48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59"/>
      <c r="W202" s="59"/>
      <c r="X202" s="59"/>
      <c r="Y202" s="59"/>
      <c r="Z202" s="59"/>
      <c r="AA202" s="59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60"/>
    </row>
    <row r="203" spans="2:48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59"/>
      <c r="W203" s="59"/>
      <c r="X203" s="59"/>
      <c r="Y203" s="59"/>
      <c r="Z203" s="59"/>
      <c r="AA203" s="59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60"/>
    </row>
    <row r="204" spans="2:48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59"/>
      <c r="W204" s="59"/>
      <c r="X204" s="59"/>
      <c r="Y204" s="59"/>
      <c r="Z204" s="59"/>
      <c r="AA204" s="59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60"/>
    </row>
    <row r="205" spans="2:48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59"/>
      <c r="W205" s="59"/>
      <c r="X205" s="59"/>
      <c r="Y205" s="59"/>
      <c r="Z205" s="59"/>
      <c r="AA205" s="59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60"/>
    </row>
    <row r="206" spans="2:48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59"/>
      <c r="W206" s="59"/>
      <c r="X206" s="59"/>
      <c r="Y206" s="59"/>
      <c r="Z206" s="59"/>
      <c r="AA206" s="59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60"/>
    </row>
    <row r="207" spans="2:48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59"/>
      <c r="W207" s="59"/>
      <c r="X207" s="59"/>
      <c r="Y207" s="59"/>
      <c r="Z207" s="59"/>
      <c r="AA207" s="59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60"/>
    </row>
    <row r="208" spans="2:48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59"/>
      <c r="W208" s="59"/>
      <c r="X208" s="59"/>
      <c r="Y208" s="59"/>
      <c r="Z208" s="59"/>
      <c r="AA208" s="59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60"/>
    </row>
    <row r="209" spans="2:48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59"/>
      <c r="W209" s="59"/>
      <c r="X209" s="59"/>
      <c r="Y209" s="59"/>
      <c r="Z209" s="59"/>
      <c r="AA209" s="59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60"/>
    </row>
    <row r="210" spans="2:48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59"/>
      <c r="W210" s="59"/>
      <c r="X210" s="59"/>
      <c r="Y210" s="59"/>
      <c r="Z210" s="59"/>
      <c r="AA210" s="59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60"/>
    </row>
    <row r="211" spans="2:48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59"/>
      <c r="W211" s="59"/>
      <c r="X211" s="59"/>
      <c r="Y211" s="59"/>
      <c r="Z211" s="59"/>
      <c r="AA211" s="59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60"/>
    </row>
    <row r="212" spans="2:48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59"/>
      <c r="W212" s="59"/>
      <c r="X212" s="59"/>
      <c r="Y212" s="59"/>
      <c r="Z212" s="59"/>
      <c r="AA212" s="59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60"/>
    </row>
    <row r="213" spans="2:48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59"/>
      <c r="W213" s="59"/>
      <c r="X213" s="59"/>
      <c r="Y213" s="59"/>
      <c r="Z213" s="59"/>
      <c r="AA213" s="59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60"/>
    </row>
    <row r="214" spans="2:48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59"/>
      <c r="W214" s="59"/>
      <c r="X214" s="59"/>
      <c r="Y214" s="59"/>
      <c r="Z214" s="59"/>
      <c r="AA214" s="59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60"/>
    </row>
  </sheetData>
  <printOptions horizontalCentered="1"/>
  <pageMargins left="0.51181102362204722" right="0.51181102362204722" top="0.35433070866141736" bottom="0.35433070866141736" header="0.31496062992125984" footer="3.937007874015748E-2"/>
  <pageSetup paperSize="9" firstPageNumber="21" orientation="landscape" useFirstPageNumber="1" horizontalDpi="1200" verticalDpi="1200" r:id="rId1"/>
  <headerFooter>
    <oddFooter>&amp;C&amp;"Arial Narrow,Corsivo"&amp;7- pagina &amp;P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214"/>
  <sheetViews>
    <sheetView zoomScale="150" zoomScaleNormal="150" workbookViewId="0">
      <pane xSplit="1" ySplit="2" topLeftCell="B91" activePane="bottomRight" state="frozenSplit"/>
      <selection pane="topRight"/>
      <selection pane="bottomLeft"/>
      <selection pane="bottomRight" activeCell="A109" sqref="A109"/>
    </sheetView>
  </sheetViews>
  <sheetFormatPr defaultRowHeight="13.5" x14ac:dyDescent="0.25"/>
  <cols>
    <col min="1" max="1" width="14.85546875" style="16" customWidth="1"/>
    <col min="2" max="2" width="7.5703125" style="51" customWidth="1"/>
    <col min="3" max="21" width="6.85546875" style="51" customWidth="1"/>
    <col min="22" max="25" width="6.85546875" style="61" customWidth="1"/>
    <col min="26" max="26" width="7.140625" style="61" customWidth="1"/>
    <col min="27" max="27" width="6.85546875" style="61" customWidth="1"/>
    <col min="28" max="46" width="6.85546875" style="51" customWidth="1"/>
    <col min="47" max="47" width="6.85546875" style="62" customWidth="1"/>
    <col min="48" max="49" width="6.85546875" style="51" customWidth="1"/>
    <col min="50" max="252" width="9.140625" style="51"/>
    <col min="253" max="253" width="14.85546875" style="51" customWidth="1"/>
    <col min="254" max="299" width="7.5703125" style="51" customWidth="1"/>
    <col min="300" max="300" width="8.28515625" style="51" customWidth="1"/>
    <col min="301" max="301" width="13.140625" style="51" customWidth="1"/>
    <col min="302" max="304" width="9.140625" style="51"/>
    <col min="305" max="305" width="3" style="51" customWidth="1"/>
    <col min="306" max="508" width="9.140625" style="51"/>
    <col min="509" max="509" width="14.85546875" style="51" customWidth="1"/>
    <col min="510" max="555" width="7.5703125" style="51" customWidth="1"/>
    <col min="556" max="556" width="8.28515625" style="51" customWidth="1"/>
    <col min="557" max="557" width="13.140625" style="51" customWidth="1"/>
    <col min="558" max="560" width="9.140625" style="51"/>
    <col min="561" max="561" width="3" style="51" customWidth="1"/>
    <col min="562" max="764" width="9.140625" style="51"/>
    <col min="765" max="765" width="14.85546875" style="51" customWidth="1"/>
    <col min="766" max="811" width="7.5703125" style="51" customWidth="1"/>
    <col min="812" max="812" width="8.28515625" style="51" customWidth="1"/>
    <col min="813" max="813" width="13.140625" style="51" customWidth="1"/>
    <col min="814" max="816" width="9.140625" style="51"/>
    <col min="817" max="817" width="3" style="51" customWidth="1"/>
    <col min="818" max="1020" width="9.140625" style="51"/>
    <col min="1021" max="1021" width="14.85546875" style="51" customWidth="1"/>
    <col min="1022" max="1067" width="7.5703125" style="51" customWidth="1"/>
    <col min="1068" max="1068" width="8.28515625" style="51" customWidth="1"/>
    <col min="1069" max="1069" width="13.140625" style="51" customWidth="1"/>
    <col min="1070" max="1072" width="9.140625" style="51"/>
    <col min="1073" max="1073" width="3" style="51" customWidth="1"/>
    <col min="1074" max="1276" width="9.140625" style="51"/>
    <col min="1277" max="1277" width="14.85546875" style="51" customWidth="1"/>
    <col min="1278" max="1323" width="7.5703125" style="51" customWidth="1"/>
    <col min="1324" max="1324" width="8.28515625" style="51" customWidth="1"/>
    <col min="1325" max="1325" width="13.140625" style="51" customWidth="1"/>
    <col min="1326" max="1328" width="9.140625" style="51"/>
    <col min="1329" max="1329" width="3" style="51" customWidth="1"/>
    <col min="1330" max="1532" width="9.140625" style="51"/>
    <col min="1533" max="1533" width="14.85546875" style="51" customWidth="1"/>
    <col min="1534" max="1579" width="7.5703125" style="51" customWidth="1"/>
    <col min="1580" max="1580" width="8.28515625" style="51" customWidth="1"/>
    <col min="1581" max="1581" width="13.140625" style="51" customWidth="1"/>
    <col min="1582" max="1584" width="9.140625" style="51"/>
    <col min="1585" max="1585" width="3" style="51" customWidth="1"/>
    <col min="1586" max="1788" width="9.140625" style="51"/>
    <col min="1789" max="1789" width="14.85546875" style="51" customWidth="1"/>
    <col min="1790" max="1835" width="7.5703125" style="51" customWidth="1"/>
    <col min="1836" max="1836" width="8.28515625" style="51" customWidth="1"/>
    <col min="1837" max="1837" width="13.140625" style="51" customWidth="1"/>
    <col min="1838" max="1840" width="9.140625" style="51"/>
    <col min="1841" max="1841" width="3" style="51" customWidth="1"/>
    <col min="1842" max="2044" width="9.140625" style="51"/>
    <col min="2045" max="2045" width="14.85546875" style="51" customWidth="1"/>
    <col min="2046" max="2091" width="7.5703125" style="51" customWidth="1"/>
    <col min="2092" max="2092" width="8.28515625" style="51" customWidth="1"/>
    <col min="2093" max="2093" width="13.140625" style="51" customWidth="1"/>
    <col min="2094" max="2096" width="9.140625" style="51"/>
    <col min="2097" max="2097" width="3" style="51" customWidth="1"/>
    <col min="2098" max="2300" width="9.140625" style="51"/>
    <col min="2301" max="2301" width="14.85546875" style="51" customWidth="1"/>
    <col min="2302" max="2347" width="7.5703125" style="51" customWidth="1"/>
    <col min="2348" max="2348" width="8.28515625" style="51" customWidth="1"/>
    <col min="2349" max="2349" width="13.140625" style="51" customWidth="1"/>
    <col min="2350" max="2352" width="9.140625" style="51"/>
    <col min="2353" max="2353" width="3" style="51" customWidth="1"/>
    <col min="2354" max="2556" width="9.140625" style="51"/>
    <col min="2557" max="2557" width="14.85546875" style="51" customWidth="1"/>
    <col min="2558" max="2603" width="7.5703125" style="51" customWidth="1"/>
    <col min="2604" max="2604" width="8.28515625" style="51" customWidth="1"/>
    <col min="2605" max="2605" width="13.140625" style="51" customWidth="1"/>
    <col min="2606" max="2608" width="9.140625" style="51"/>
    <col min="2609" max="2609" width="3" style="51" customWidth="1"/>
    <col min="2610" max="2812" width="9.140625" style="51"/>
    <col min="2813" max="2813" width="14.85546875" style="51" customWidth="1"/>
    <col min="2814" max="2859" width="7.5703125" style="51" customWidth="1"/>
    <col min="2860" max="2860" width="8.28515625" style="51" customWidth="1"/>
    <col min="2861" max="2861" width="13.140625" style="51" customWidth="1"/>
    <col min="2862" max="2864" width="9.140625" style="51"/>
    <col min="2865" max="2865" width="3" style="51" customWidth="1"/>
    <col min="2866" max="3068" width="9.140625" style="51"/>
    <col min="3069" max="3069" width="14.85546875" style="51" customWidth="1"/>
    <col min="3070" max="3115" width="7.5703125" style="51" customWidth="1"/>
    <col min="3116" max="3116" width="8.28515625" style="51" customWidth="1"/>
    <col min="3117" max="3117" width="13.140625" style="51" customWidth="1"/>
    <col min="3118" max="3120" width="9.140625" style="51"/>
    <col min="3121" max="3121" width="3" style="51" customWidth="1"/>
    <col min="3122" max="3324" width="9.140625" style="51"/>
    <col min="3325" max="3325" width="14.85546875" style="51" customWidth="1"/>
    <col min="3326" max="3371" width="7.5703125" style="51" customWidth="1"/>
    <col min="3372" max="3372" width="8.28515625" style="51" customWidth="1"/>
    <col min="3373" max="3373" width="13.140625" style="51" customWidth="1"/>
    <col min="3374" max="3376" width="9.140625" style="51"/>
    <col min="3377" max="3377" width="3" style="51" customWidth="1"/>
    <col min="3378" max="3580" width="9.140625" style="51"/>
    <col min="3581" max="3581" width="14.85546875" style="51" customWidth="1"/>
    <col min="3582" max="3627" width="7.5703125" style="51" customWidth="1"/>
    <col min="3628" max="3628" width="8.28515625" style="51" customWidth="1"/>
    <col min="3629" max="3629" width="13.140625" style="51" customWidth="1"/>
    <col min="3630" max="3632" width="9.140625" style="51"/>
    <col min="3633" max="3633" width="3" style="51" customWidth="1"/>
    <col min="3634" max="3836" width="9.140625" style="51"/>
    <col min="3837" max="3837" width="14.85546875" style="51" customWidth="1"/>
    <col min="3838" max="3883" width="7.5703125" style="51" customWidth="1"/>
    <col min="3884" max="3884" width="8.28515625" style="51" customWidth="1"/>
    <col min="3885" max="3885" width="13.140625" style="51" customWidth="1"/>
    <col min="3886" max="3888" width="9.140625" style="51"/>
    <col min="3889" max="3889" width="3" style="51" customWidth="1"/>
    <col min="3890" max="4092" width="9.140625" style="51"/>
    <col min="4093" max="4093" width="14.85546875" style="51" customWidth="1"/>
    <col min="4094" max="4139" width="7.5703125" style="51" customWidth="1"/>
    <col min="4140" max="4140" width="8.28515625" style="51" customWidth="1"/>
    <col min="4141" max="4141" width="13.140625" style="51" customWidth="1"/>
    <col min="4142" max="4144" width="9.140625" style="51"/>
    <col min="4145" max="4145" width="3" style="51" customWidth="1"/>
    <col min="4146" max="4348" width="9.140625" style="51"/>
    <col min="4349" max="4349" width="14.85546875" style="51" customWidth="1"/>
    <col min="4350" max="4395" width="7.5703125" style="51" customWidth="1"/>
    <col min="4396" max="4396" width="8.28515625" style="51" customWidth="1"/>
    <col min="4397" max="4397" width="13.140625" style="51" customWidth="1"/>
    <col min="4398" max="4400" width="9.140625" style="51"/>
    <col min="4401" max="4401" width="3" style="51" customWidth="1"/>
    <col min="4402" max="4604" width="9.140625" style="51"/>
    <col min="4605" max="4605" width="14.85546875" style="51" customWidth="1"/>
    <col min="4606" max="4651" width="7.5703125" style="51" customWidth="1"/>
    <col min="4652" max="4652" width="8.28515625" style="51" customWidth="1"/>
    <col min="4653" max="4653" width="13.140625" style="51" customWidth="1"/>
    <col min="4654" max="4656" width="9.140625" style="51"/>
    <col min="4657" max="4657" width="3" style="51" customWidth="1"/>
    <col min="4658" max="4860" width="9.140625" style="51"/>
    <col min="4861" max="4861" width="14.85546875" style="51" customWidth="1"/>
    <col min="4862" max="4907" width="7.5703125" style="51" customWidth="1"/>
    <col min="4908" max="4908" width="8.28515625" style="51" customWidth="1"/>
    <col min="4909" max="4909" width="13.140625" style="51" customWidth="1"/>
    <col min="4910" max="4912" width="9.140625" style="51"/>
    <col min="4913" max="4913" width="3" style="51" customWidth="1"/>
    <col min="4914" max="5116" width="9.140625" style="51"/>
    <col min="5117" max="5117" width="14.85546875" style="51" customWidth="1"/>
    <col min="5118" max="5163" width="7.5703125" style="51" customWidth="1"/>
    <col min="5164" max="5164" width="8.28515625" style="51" customWidth="1"/>
    <col min="5165" max="5165" width="13.140625" style="51" customWidth="1"/>
    <col min="5166" max="5168" width="9.140625" style="51"/>
    <col min="5169" max="5169" width="3" style="51" customWidth="1"/>
    <col min="5170" max="5372" width="9.140625" style="51"/>
    <col min="5373" max="5373" width="14.85546875" style="51" customWidth="1"/>
    <col min="5374" max="5419" width="7.5703125" style="51" customWidth="1"/>
    <col min="5420" max="5420" width="8.28515625" style="51" customWidth="1"/>
    <col min="5421" max="5421" width="13.140625" style="51" customWidth="1"/>
    <col min="5422" max="5424" width="9.140625" style="51"/>
    <col min="5425" max="5425" width="3" style="51" customWidth="1"/>
    <col min="5426" max="5628" width="9.140625" style="51"/>
    <col min="5629" max="5629" width="14.85546875" style="51" customWidth="1"/>
    <col min="5630" max="5675" width="7.5703125" style="51" customWidth="1"/>
    <col min="5676" max="5676" width="8.28515625" style="51" customWidth="1"/>
    <col min="5677" max="5677" width="13.140625" style="51" customWidth="1"/>
    <col min="5678" max="5680" width="9.140625" style="51"/>
    <col min="5681" max="5681" width="3" style="51" customWidth="1"/>
    <col min="5682" max="5884" width="9.140625" style="51"/>
    <col min="5885" max="5885" width="14.85546875" style="51" customWidth="1"/>
    <col min="5886" max="5931" width="7.5703125" style="51" customWidth="1"/>
    <col min="5932" max="5932" width="8.28515625" style="51" customWidth="1"/>
    <col min="5933" max="5933" width="13.140625" style="51" customWidth="1"/>
    <col min="5934" max="5936" width="9.140625" style="51"/>
    <col min="5937" max="5937" width="3" style="51" customWidth="1"/>
    <col min="5938" max="6140" width="9.140625" style="51"/>
    <col min="6141" max="6141" width="14.85546875" style="51" customWidth="1"/>
    <col min="6142" max="6187" width="7.5703125" style="51" customWidth="1"/>
    <col min="6188" max="6188" width="8.28515625" style="51" customWidth="1"/>
    <col min="6189" max="6189" width="13.140625" style="51" customWidth="1"/>
    <col min="6190" max="6192" width="9.140625" style="51"/>
    <col min="6193" max="6193" width="3" style="51" customWidth="1"/>
    <col min="6194" max="6396" width="9.140625" style="51"/>
    <col min="6397" max="6397" width="14.85546875" style="51" customWidth="1"/>
    <col min="6398" max="6443" width="7.5703125" style="51" customWidth="1"/>
    <col min="6444" max="6444" width="8.28515625" style="51" customWidth="1"/>
    <col min="6445" max="6445" width="13.140625" style="51" customWidth="1"/>
    <col min="6446" max="6448" width="9.140625" style="51"/>
    <col min="6449" max="6449" width="3" style="51" customWidth="1"/>
    <col min="6450" max="6652" width="9.140625" style="51"/>
    <col min="6653" max="6653" width="14.85546875" style="51" customWidth="1"/>
    <col min="6654" max="6699" width="7.5703125" style="51" customWidth="1"/>
    <col min="6700" max="6700" width="8.28515625" style="51" customWidth="1"/>
    <col min="6701" max="6701" width="13.140625" style="51" customWidth="1"/>
    <col min="6702" max="6704" width="9.140625" style="51"/>
    <col min="6705" max="6705" width="3" style="51" customWidth="1"/>
    <col min="6706" max="6908" width="9.140625" style="51"/>
    <col min="6909" max="6909" width="14.85546875" style="51" customWidth="1"/>
    <col min="6910" max="6955" width="7.5703125" style="51" customWidth="1"/>
    <col min="6956" max="6956" width="8.28515625" style="51" customWidth="1"/>
    <col min="6957" max="6957" width="13.140625" style="51" customWidth="1"/>
    <col min="6958" max="6960" width="9.140625" style="51"/>
    <col min="6961" max="6961" width="3" style="51" customWidth="1"/>
    <col min="6962" max="7164" width="9.140625" style="51"/>
    <col min="7165" max="7165" width="14.85546875" style="51" customWidth="1"/>
    <col min="7166" max="7211" width="7.5703125" style="51" customWidth="1"/>
    <col min="7212" max="7212" width="8.28515625" style="51" customWidth="1"/>
    <col min="7213" max="7213" width="13.140625" style="51" customWidth="1"/>
    <col min="7214" max="7216" width="9.140625" style="51"/>
    <col min="7217" max="7217" width="3" style="51" customWidth="1"/>
    <col min="7218" max="7420" width="9.140625" style="51"/>
    <col min="7421" max="7421" width="14.85546875" style="51" customWidth="1"/>
    <col min="7422" max="7467" width="7.5703125" style="51" customWidth="1"/>
    <col min="7468" max="7468" width="8.28515625" style="51" customWidth="1"/>
    <col min="7469" max="7469" width="13.140625" style="51" customWidth="1"/>
    <col min="7470" max="7472" width="9.140625" style="51"/>
    <col min="7473" max="7473" width="3" style="51" customWidth="1"/>
    <col min="7474" max="7676" width="9.140625" style="51"/>
    <col min="7677" max="7677" width="14.85546875" style="51" customWidth="1"/>
    <col min="7678" max="7723" width="7.5703125" style="51" customWidth="1"/>
    <col min="7724" max="7724" width="8.28515625" style="51" customWidth="1"/>
    <col min="7725" max="7725" width="13.140625" style="51" customWidth="1"/>
    <col min="7726" max="7728" width="9.140625" style="51"/>
    <col min="7729" max="7729" width="3" style="51" customWidth="1"/>
    <col min="7730" max="7932" width="9.140625" style="51"/>
    <col min="7933" max="7933" width="14.85546875" style="51" customWidth="1"/>
    <col min="7934" max="7979" width="7.5703125" style="51" customWidth="1"/>
    <col min="7980" max="7980" width="8.28515625" style="51" customWidth="1"/>
    <col min="7981" max="7981" width="13.140625" style="51" customWidth="1"/>
    <col min="7982" max="7984" width="9.140625" style="51"/>
    <col min="7985" max="7985" width="3" style="51" customWidth="1"/>
    <col min="7986" max="8188" width="9.140625" style="51"/>
    <col min="8189" max="8189" width="14.85546875" style="51" customWidth="1"/>
    <col min="8190" max="8235" width="7.5703125" style="51" customWidth="1"/>
    <col min="8236" max="8236" width="8.28515625" style="51" customWidth="1"/>
    <col min="8237" max="8237" width="13.140625" style="51" customWidth="1"/>
    <col min="8238" max="8240" width="9.140625" style="51"/>
    <col min="8241" max="8241" width="3" style="51" customWidth="1"/>
    <col min="8242" max="8444" width="9.140625" style="51"/>
    <col min="8445" max="8445" width="14.85546875" style="51" customWidth="1"/>
    <col min="8446" max="8491" width="7.5703125" style="51" customWidth="1"/>
    <col min="8492" max="8492" width="8.28515625" style="51" customWidth="1"/>
    <col min="8493" max="8493" width="13.140625" style="51" customWidth="1"/>
    <col min="8494" max="8496" width="9.140625" style="51"/>
    <col min="8497" max="8497" width="3" style="51" customWidth="1"/>
    <col min="8498" max="8700" width="9.140625" style="51"/>
    <col min="8701" max="8701" width="14.85546875" style="51" customWidth="1"/>
    <col min="8702" max="8747" width="7.5703125" style="51" customWidth="1"/>
    <col min="8748" max="8748" width="8.28515625" style="51" customWidth="1"/>
    <col min="8749" max="8749" width="13.140625" style="51" customWidth="1"/>
    <col min="8750" max="8752" width="9.140625" style="51"/>
    <col min="8753" max="8753" width="3" style="51" customWidth="1"/>
    <col min="8754" max="8956" width="9.140625" style="51"/>
    <col min="8957" max="8957" width="14.85546875" style="51" customWidth="1"/>
    <col min="8958" max="9003" width="7.5703125" style="51" customWidth="1"/>
    <col min="9004" max="9004" width="8.28515625" style="51" customWidth="1"/>
    <col min="9005" max="9005" width="13.140625" style="51" customWidth="1"/>
    <col min="9006" max="9008" width="9.140625" style="51"/>
    <col min="9009" max="9009" width="3" style="51" customWidth="1"/>
    <col min="9010" max="9212" width="9.140625" style="51"/>
    <col min="9213" max="9213" width="14.85546875" style="51" customWidth="1"/>
    <col min="9214" max="9259" width="7.5703125" style="51" customWidth="1"/>
    <col min="9260" max="9260" width="8.28515625" style="51" customWidth="1"/>
    <col min="9261" max="9261" width="13.140625" style="51" customWidth="1"/>
    <col min="9262" max="9264" width="9.140625" style="51"/>
    <col min="9265" max="9265" width="3" style="51" customWidth="1"/>
    <col min="9266" max="9468" width="9.140625" style="51"/>
    <col min="9469" max="9469" width="14.85546875" style="51" customWidth="1"/>
    <col min="9470" max="9515" width="7.5703125" style="51" customWidth="1"/>
    <col min="9516" max="9516" width="8.28515625" style="51" customWidth="1"/>
    <col min="9517" max="9517" width="13.140625" style="51" customWidth="1"/>
    <col min="9518" max="9520" width="9.140625" style="51"/>
    <col min="9521" max="9521" width="3" style="51" customWidth="1"/>
    <col min="9522" max="9724" width="9.140625" style="51"/>
    <col min="9725" max="9725" width="14.85546875" style="51" customWidth="1"/>
    <col min="9726" max="9771" width="7.5703125" style="51" customWidth="1"/>
    <col min="9772" max="9772" width="8.28515625" style="51" customWidth="1"/>
    <col min="9773" max="9773" width="13.140625" style="51" customWidth="1"/>
    <col min="9774" max="9776" width="9.140625" style="51"/>
    <col min="9777" max="9777" width="3" style="51" customWidth="1"/>
    <col min="9778" max="9980" width="9.140625" style="51"/>
    <col min="9981" max="9981" width="14.85546875" style="51" customWidth="1"/>
    <col min="9982" max="10027" width="7.5703125" style="51" customWidth="1"/>
    <col min="10028" max="10028" width="8.28515625" style="51" customWidth="1"/>
    <col min="10029" max="10029" width="13.140625" style="51" customWidth="1"/>
    <col min="10030" max="10032" width="9.140625" style="51"/>
    <col min="10033" max="10033" width="3" style="51" customWidth="1"/>
    <col min="10034" max="10236" width="9.140625" style="51"/>
    <col min="10237" max="10237" width="14.85546875" style="51" customWidth="1"/>
    <col min="10238" max="10283" width="7.5703125" style="51" customWidth="1"/>
    <col min="10284" max="10284" width="8.28515625" style="51" customWidth="1"/>
    <col min="10285" max="10285" width="13.140625" style="51" customWidth="1"/>
    <col min="10286" max="10288" width="9.140625" style="51"/>
    <col min="10289" max="10289" width="3" style="51" customWidth="1"/>
    <col min="10290" max="10492" width="9.140625" style="51"/>
    <col min="10493" max="10493" width="14.85546875" style="51" customWidth="1"/>
    <col min="10494" max="10539" width="7.5703125" style="51" customWidth="1"/>
    <col min="10540" max="10540" width="8.28515625" style="51" customWidth="1"/>
    <col min="10541" max="10541" width="13.140625" style="51" customWidth="1"/>
    <col min="10542" max="10544" width="9.140625" style="51"/>
    <col min="10545" max="10545" width="3" style="51" customWidth="1"/>
    <col min="10546" max="10748" width="9.140625" style="51"/>
    <col min="10749" max="10749" width="14.85546875" style="51" customWidth="1"/>
    <col min="10750" max="10795" width="7.5703125" style="51" customWidth="1"/>
    <col min="10796" max="10796" width="8.28515625" style="51" customWidth="1"/>
    <col min="10797" max="10797" width="13.140625" style="51" customWidth="1"/>
    <col min="10798" max="10800" width="9.140625" style="51"/>
    <col min="10801" max="10801" width="3" style="51" customWidth="1"/>
    <col min="10802" max="11004" width="9.140625" style="51"/>
    <col min="11005" max="11005" width="14.85546875" style="51" customWidth="1"/>
    <col min="11006" max="11051" width="7.5703125" style="51" customWidth="1"/>
    <col min="11052" max="11052" width="8.28515625" style="51" customWidth="1"/>
    <col min="11053" max="11053" width="13.140625" style="51" customWidth="1"/>
    <col min="11054" max="11056" width="9.140625" style="51"/>
    <col min="11057" max="11057" width="3" style="51" customWidth="1"/>
    <col min="11058" max="11260" width="9.140625" style="51"/>
    <col min="11261" max="11261" width="14.85546875" style="51" customWidth="1"/>
    <col min="11262" max="11307" width="7.5703125" style="51" customWidth="1"/>
    <col min="11308" max="11308" width="8.28515625" style="51" customWidth="1"/>
    <col min="11309" max="11309" width="13.140625" style="51" customWidth="1"/>
    <col min="11310" max="11312" width="9.140625" style="51"/>
    <col min="11313" max="11313" width="3" style="51" customWidth="1"/>
    <col min="11314" max="11516" width="9.140625" style="51"/>
    <col min="11517" max="11517" width="14.85546875" style="51" customWidth="1"/>
    <col min="11518" max="11563" width="7.5703125" style="51" customWidth="1"/>
    <col min="11564" max="11564" width="8.28515625" style="51" customWidth="1"/>
    <col min="11565" max="11565" width="13.140625" style="51" customWidth="1"/>
    <col min="11566" max="11568" width="9.140625" style="51"/>
    <col min="11569" max="11569" width="3" style="51" customWidth="1"/>
    <col min="11570" max="11772" width="9.140625" style="51"/>
    <col min="11773" max="11773" width="14.85546875" style="51" customWidth="1"/>
    <col min="11774" max="11819" width="7.5703125" style="51" customWidth="1"/>
    <col min="11820" max="11820" width="8.28515625" style="51" customWidth="1"/>
    <col min="11821" max="11821" width="13.140625" style="51" customWidth="1"/>
    <col min="11822" max="11824" width="9.140625" style="51"/>
    <col min="11825" max="11825" width="3" style="51" customWidth="1"/>
    <col min="11826" max="12028" width="9.140625" style="51"/>
    <col min="12029" max="12029" width="14.85546875" style="51" customWidth="1"/>
    <col min="12030" max="12075" width="7.5703125" style="51" customWidth="1"/>
    <col min="12076" max="12076" width="8.28515625" style="51" customWidth="1"/>
    <col min="12077" max="12077" width="13.140625" style="51" customWidth="1"/>
    <col min="12078" max="12080" width="9.140625" style="51"/>
    <col min="12081" max="12081" width="3" style="51" customWidth="1"/>
    <col min="12082" max="12284" width="9.140625" style="51"/>
    <col min="12285" max="12285" width="14.85546875" style="51" customWidth="1"/>
    <col min="12286" max="12331" width="7.5703125" style="51" customWidth="1"/>
    <col min="12332" max="12332" width="8.28515625" style="51" customWidth="1"/>
    <col min="12333" max="12333" width="13.140625" style="51" customWidth="1"/>
    <col min="12334" max="12336" width="9.140625" style="51"/>
    <col min="12337" max="12337" width="3" style="51" customWidth="1"/>
    <col min="12338" max="12540" width="9.140625" style="51"/>
    <col min="12541" max="12541" width="14.85546875" style="51" customWidth="1"/>
    <col min="12542" max="12587" width="7.5703125" style="51" customWidth="1"/>
    <col min="12588" max="12588" width="8.28515625" style="51" customWidth="1"/>
    <col min="12589" max="12589" width="13.140625" style="51" customWidth="1"/>
    <col min="12590" max="12592" width="9.140625" style="51"/>
    <col min="12593" max="12593" width="3" style="51" customWidth="1"/>
    <col min="12594" max="12796" width="9.140625" style="51"/>
    <col min="12797" max="12797" width="14.85546875" style="51" customWidth="1"/>
    <col min="12798" max="12843" width="7.5703125" style="51" customWidth="1"/>
    <col min="12844" max="12844" width="8.28515625" style="51" customWidth="1"/>
    <col min="12845" max="12845" width="13.140625" style="51" customWidth="1"/>
    <col min="12846" max="12848" width="9.140625" style="51"/>
    <col min="12849" max="12849" width="3" style="51" customWidth="1"/>
    <col min="12850" max="13052" width="9.140625" style="51"/>
    <col min="13053" max="13053" width="14.85546875" style="51" customWidth="1"/>
    <col min="13054" max="13099" width="7.5703125" style="51" customWidth="1"/>
    <col min="13100" max="13100" width="8.28515625" style="51" customWidth="1"/>
    <col min="13101" max="13101" width="13.140625" style="51" customWidth="1"/>
    <col min="13102" max="13104" width="9.140625" style="51"/>
    <col min="13105" max="13105" width="3" style="51" customWidth="1"/>
    <col min="13106" max="13308" width="9.140625" style="51"/>
    <col min="13309" max="13309" width="14.85546875" style="51" customWidth="1"/>
    <col min="13310" max="13355" width="7.5703125" style="51" customWidth="1"/>
    <col min="13356" max="13356" width="8.28515625" style="51" customWidth="1"/>
    <col min="13357" max="13357" width="13.140625" style="51" customWidth="1"/>
    <col min="13358" max="13360" width="9.140625" style="51"/>
    <col min="13361" max="13361" width="3" style="51" customWidth="1"/>
    <col min="13362" max="13564" width="9.140625" style="51"/>
    <col min="13565" max="13565" width="14.85546875" style="51" customWidth="1"/>
    <col min="13566" max="13611" width="7.5703125" style="51" customWidth="1"/>
    <col min="13612" max="13612" width="8.28515625" style="51" customWidth="1"/>
    <col min="13613" max="13613" width="13.140625" style="51" customWidth="1"/>
    <col min="13614" max="13616" width="9.140625" style="51"/>
    <col min="13617" max="13617" width="3" style="51" customWidth="1"/>
    <col min="13618" max="13820" width="9.140625" style="51"/>
    <col min="13821" max="13821" width="14.85546875" style="51" customWidth="1"/>
    <col min="13822" max="13867" width="7.5703125" style="51" customWidth="1"/>
    <col min="13868" max="13868" width="8.28515625" style="51" customWidth="1"/>
    <col min="13869" max="13869" width="13.140625" style="51" customWidth="1"/>
    <col min="13870" max="13872" width="9.140625" style="51"/>
    <col min="13873" max="13873" width="3" style="51" customWidth="1"/>
    <col min="13874" max="14076" width="9.140625" style="51"/>
    <col min="14077" max="14077" width="14.85546875" style="51" customWidth="1"/>
    <col min="14078" max="14123" width="7.5703125" style="51" customWidth="1"/>
    <col min="14124" max="14124" width="8.28515625" style="51" customWidth="1"/>
    <col min="14125" max="14125" width="13.140625" style="51" customWidth="1"/>
    <col min="14126" max="14128" width="9.140625" style="51"/>
    <col min="14129" max="14129" width="3" style="51" customWidth="1"/>
    <col min="14130" max="14332" width="9.140625" style="51"/>
    <col min="14333" max="14333" width="14.85546875" style="51" customWidth="1"/>
    <col min="14334" max="14379" width="7.5703125" style="51" customWidth="1"/>
    <col min="14380" max="14380" width="8.28515625" style="51" customWidth="1"/>
    <col min="14381" max="14381" width="13.140625" style="51" customWidth="1"/>
    <col min="14382" max="14384" width="9.140625" style="51"/>
    <col min="14385" max="14385" width="3" style="51" customWidth="1"/>
    <col min="14386" max="14588" width="9.140625" style="51"/>
    <col min="14589" max="14589" width="14.85546875" style="51" customWidth="1"/>
    <col min="14590" max="14635" width="7.5703125" style="51" customWidth="1"/>
    <col min="14636" max="14636" width="8.28515625" style="51" customWidth="1"/>
    <col min="14637" max="14637" width="13.140625" style="51" customWidth="1"/>
    <col min="14638" max="14640" width="9.140625" style="51"/>
    <col min="14641" max="14641" width="3" style="51" customWidth="1"/>
    <col min="14642" max="14844" width="9.140625" style="51"/>
    <col min="14845" max="14845" width="14.85546875" style="51" customWidth="1"/>
    <col min="14846" max="14891" width="7.5703125" style="51" customWidth="1"/>
    <col min="14892" max="14892" width="8.28515625" style="51" customWidth="1"/>
    <col min="14893" max="14893" width="13.140625" style="51" customWidth="1"/>
    <col min="14894" max="14896" width="9.140625" style="51"/>
    <col min="14897" max="14897" width="3" style="51" customWidth="1"/>
    <col min="14898" max="15100" width="9.140625" style="51"/>
    <col min="15101" max="15101" width="14.85546875" style="51" customWidth="1"/>
    <col min="15102" max="15147" width="7.5703125" style="51" customWidth="1"/>
    <col min="15148" max="15148" width="8.28515625" style="51" customWidth="1"/>
    <col min="15149" max="15149" width="13.140625" style="51" customWidth="1"/>
    <col min="15150" max="15152" width="9.140625" style="51"/>
    <col min="15153" max="15153" width="3" style="51" customWidth="1"/>
    <col min="15154" max="15356" width="9.140625" style="51"/>
    <col min="15357" max="15357" width="14.85546875" style="51" customWidth="1"/>
    <col min="15358" max="15403" width="7.5703125" style="51" customWidth="1"/>
    <col min="15404" max="15404" width="8.28515625" style="51" customWidth="1"/>
    <col min="15405" max="15405" width="13.140625" style="51" customWidth="1"/>
    <col min="15406" max="15408" width="9.140625" style="51"/>
    <col min="15409" max="15409" width="3" style="51" customWidth="1"/>
    <col min="15410" max="15612" width="9.140625" style="51"/>
    <col min="15613" max="15613" width="14.85546875" style="51" customWidth="1"/>
    <col min="15614" max="15659" width="7.5703125" style="51" customWidth="1"/>
    <col min="15660" max="15660" width="8.28515625" style="51" customWidth="1"/>
    <col min="15661" max="15661" width="13.140625" style="51" customWidth="1"/>
    <col min="15662" max="15664" width="9.140625" style="51"/>
    <col min="15665" max="15665" width="3" style="51" customWidth="1"/>
    <col min="15666" max="15868" width="9.140625" style="51"/>
    <col min="15869" max="15869" width="14.85546875" style="51" customWidth="1"/>
    <col min="15870" max="15915" width="7.5703125" style="51" customWidth="1"/>
    <col min="15916" max="15916" width="8.28515625" style="51" customWidth="1"/>
    <col min="15917" max="15917" width="13.140625" style="51" customWidth="1"/>
    <col min="15918" max="15920" width="9.140625" style="51"/>
    <col min="15921" max="15921" width="3" style="51" customWidth="1"/>
    <col min="15922" max="16124" width="9.140625" style="51"/>
    <col min="16125" max="16125" width="14.85546875" style="51" customWidth="1"/>
    <col min="16126" max="16171" width="7.5703125" style="51" customWidth="1"/>
    <col min="16172" max="16172" width="8.28515625" style="51" customWidth="1"/>
    <col min="16173" max="16173" width="13.140625" style="51" customWidth="1"/>
    <col min="16174" max="16176" width="9.140625" style="51"/>
    <col min="16177" max="16177" width="3" style="51" customWidth="1"/>
    <col min="16178" max="16384" width="9.140625" style="51"/>
  </cols>
  <sheetData>
    <row r="1" spans="1:50" ht="21" customHeight="1" x14ac:dyDescent="0.2">
      <c r="A1" s="127" t="s">
        <v>629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9"/>
      <c r="AW1" s="129"/>
      <c r="AX1" s="129"/>
    </row>
    <row r="2" spans="1:50" s="55" customFormat="1" ht="48" customHeight="1" x14ac:dyDescent="0.25">
      <c r="A2" s="52"/>
      <c r="B2" s="53" t="s">
        <v>417</v>
      </c>
      <c r="C2" s="53" t="s">
        <v>418</v>
      </c>
      <c r="D2" s="53" t="s">
        <v>419</v>
      </c>
      <c r="E2" s="53" t="s">
        <v>420</v>
      </c>
      <c r="F2" s="53" t="s">
        <v>421</v>
      </c>
      <c r="G2" s="53" t="s">
        <v>422</v>
      </c>
      <c r="H2" s="53" t="s">
        <v>423</v>
      </c>
      <c r="I2" s="53" t="s">
        <v>424</v>
      </c>
      <c r="J2" s="53" t="s">
        <v>425</v>
      </c>
      <c r="K2" s="53" t="s">
        <v>426</v>
      </c>
      <c r="L2" s="53" t="s">
        <v>427</v>
      </c>
      <c r="M2" s="53" t="s">
        <v>428</v>
      </c>
      <c r="N2" s="53" t="s">
        <v>429</v>
      </c>
      <c r="O2" s="53" t="s">
        <v>430</v>
      </c>
      <c r="P2" s="53" t="s">
        <v>431</v>
      </c>
      <c r="Q2" s="53" t="s">
        <v>432</v>
      </c>
      <c r="R2" s="53" t="s">
        <v>598</v>
      </c>
      <c r="S2" s="53" t="s">
        <v>433</v>
      </c>
      <c r="T2" s="53" t="s">
        <v>434</v>
      </c>
      <c r="U2" s="53" t="s">
        <v>435</v>
      </c>
      <c r="V2" s="53" t="s">
        <v>436</v>
      </c>
      <c r="W2" s="53" t="s">
        <v>437</v>
      </c>
      <c r="X2" s="53" t="s">
        <v>438</v>
      </c>
      <c r="Y2" s="53" t="s">
        <v>464</v>
      </c>
      <c r="Z2" s="53" t="s">
        <v>439</v>
      </c>
      <c r="AA2" s="53" t="s">
        <v>440</v>
      </c>
      <c r="AB2" s="53" t="s">
        <v>441</v>
      </c>
      <c r="AC2" s="53" t="s">
        <v>442</v>
      </c>
      <c r="AD2" s="53" t="s">
        <v>443</v>
      </c>
      <c r="AE2" s="53" t="s">
        <v>444</v>
      </c>
      <c r="AF2" s="53" t="s">
        <v>445</v>
      </c>
      <c r="AG2" s="53" t="s">
        <v>446</v>
      </c>
      <c r="AH2" s="53" t="s">
        <v>447</v>
      </c>
      <c r="AI2" s="53" t="s">
        <v>448</v>
      </c>
      <c r="AJ2" s="53" t="s">
        <v>449</v>
      </c>
      <c r="AK2" s="53" t="s">
        <v>450</v>
      </c>
      <c r="AL2" s="53" t="s">
        <v>451</v>
      </c>
      <c r="AM2" s="53" t="s">
        <v>452</v>
      </c>
      <c r="AN2" s="53" t="s">
        <v>453</v>
      </c>
      <c r="AO2" s="53" t="s">
        <v>454</v>
      </c>
      <c r="AP2" s="53" t="s">
        <v>455</v>
      </c>
      <c r="AQ2" s="53" t="s">
        <v>456</v>
      </c>
      <c r="AR2" s="53" t="s">
        <v>457</v>
      </c>
      <c r="AS2" s="53" t="s">
        <v>458</v>
      </c>
      <c r="AT2" s="53" t="s">
        <v>459</v>
      </c>
      <c r="AU2" s="128" t="s">
        <v>460</v>
      </c>
      <c r="AV2" s="53" t="s">
        <v>461</v>
      </c>
      <c r="AW2" s="53" t="s">
        <v>462</v>
      </c>
      <c r="AX2" s="54" t="s">
        <v>463</v>
      </c>
    </row>
    <row r="3" spans="1:50" s="16" customFormat="1" x14ac:dyDescent="0.25">
      <c r="A3" s="2" t="s">
        <v>31</v>
      </c>
      <c r="B3" s="40">
        <v>3470.8020000000001</v>
      </c>
      <c r="C3" s="40">
        <v>251.8775</v>
      </c>
      <c r="D3" s="40">
        <v>265</v>
      </c>
      <c r="E3" s="40">
        <v>17.760000000000002</v>
      </c>
      <c r="F3" s="40">
        <v>436.36900000000003</v>
      </c>
      <c r="G3" s="40">
        <v>0</v>
      </c>
      <c r="H3" s="40">
        <v>101.7471</v>
      </c>
      <c r="I3" s="40">
        <v>0</v>
      </c>
      <c r="J3" s="40">
        <v>0</v>
      </c>
      <c r="K3" s="40">
        <v>809.90505000000007</v>
      </c>
      <c r="L3" s="40">
        <v>128.17858999999999</v>
      </c>
      <c r="M3" s="40">
        <v>104.68422</v>
      </c>
      <c r="N3" s="40">
        <v>0.9</v>
      </c>
      <c r="O3" s="40">
        <v>0</v>
      </c>
      <c r="P3" s="40">
        <v>141.53987000000001</v>
      </c>
      <c r="Q3" s="40">
        <v>0</v>
      </c>
      <c r="R3" s="40">
        <v>0</v>
      </c>
      <c r="S3" s="40">
        <v>0</v>
      </c>
      <c r="T3" s="40">
        <v>53.617599999999996</v>
      </c>
      <c r="U3" s="40">
        <v>0</v>
      </c>
      <c r="V3" s="56">
        <v>0</v>
      </c>
      <c r="W3" s="56">
        <v>0</v>
      </c>
      <c r="X3" s="56">
        <v>1.5542</v>
      </c>
      <c r="Y3" s="56">
        <v>0</v>
      </c>
      <c r="Z3" s="56">
        <v>0</v>
      </c>
      <c r="AA3" s="56">
        <v>142.81835000000001</v>
      </c>
      <c r="AB3" s="56">
        <v>0</v>
      </c>
      <c r="AC3" s="56">
        <v>0</v>
      </c>
      <c r="AD3" s="56">
        <v>177.0454</v>
      </c>
      <c r="AE3" s="56">
        <v>124.27266</v>
      </c>
      <c r="AF3" s="56">
        <v>90.681080000000009</v>
      </c>
      <c r="AG3" s="56">
        <v>289.04334999999998</v>
      </c>
      <c r="AH3" s="56">
        <v>2608.3180000000002</v>
      </c>
      <c r="AI3" s="56">
        <v>594.24390000000005</v>
      </c>
      <c r="AJ3" s="56">
        <v>1.5500499999999999</v>
      </c>
      <c r="AK3" s="56">
        <v>0</v>
      </c>
      <c r="AL3" s="56">
        <v>0</v>
      </c>
      <c r="AM3" s="56">
        <v>0</v>
      </c>
      <c r="AN3" s="56">
        <v>0</v>
      </c>
      <c r="AO3" s="56">
        <v>0</v>
      </c>
      <c r="AP3" s="56">
        <v>0</v>
      </c>
      <c r="AQ3" s="56">
        <v>76.5</v>
      </c>
      <c r="AR3" s="56">
        <v>0</v>
      </c>
      <c r="AS3" s="56">
        <v>0</v>
      </c>
      <c r="AT3" s="56">
        <v>0</v>
      </c>
      <c r="AU3" s="56">
        <v>506.88630000000001</v>
      </c>
      <c r="AV3" s="56">
        <v>0</v>
      </c>
      <c r="AW3" s="56">
        <v>0</v>
      </c>
      <c r="AX3" s="41">
        <f t="shared" ref="AX3:AX34" si="0">SUM(B3:AW3)</f>
        <v>10395.294219999998</v>
      </c>
    </row>
    <row r="4" spans="1:50" s="16" customFormat="1" x14ac:dyDescent="0.25">
      <c r="A4" s="2" t="s">
        <v>32</v>
      </c>
      <c r="B4" s="40">
        <v>12220.413990000001</v>
      </c>
      <c r="C4" s="40">
        <v>1517</v>
      </c>
      <c r="D4" s="40">
        <v>730</v>
      </c>
      <c r="E4" s="40">
        <v>30.45</v>
      </c>
      <c r="F4" s="40">
        <v>134.85547</v>
      </c>
      <c r="G4" s="40">
        <v>12</v>
      </c>
      <c r="H4" s="40">
        <v>372.35889000000003</v>
      </c>
      <c r="I4" s="40">
        <v>0</v>
      </c>
      <c r="J4" s="40">
        <v>0</v>
      </c>
      <c r="K4" s="40">
        <v>2183.3187799999996</v>
      </c>
      <c r="L4" s="40">
        <v>33.488699999999994</v>
      </c>
      <c r="M4" s="40">
        <v>226.42214999999999</v>
      </c>
      <c r="N4" s="40">
        <v>744.08985999999993</v>
      </c>
      <c r="O4" s="40">
        <v>0</v>
      </c>
      <c r="P4" s="40">
        <v>0.45</v>
      </c>
      <c r="Q4" s="40">
        <v>0</v>
      </c>
      <c r="R4" s="40">
        <v>0</v>
      </c>
      <c r="S4" s="40">
        <v>36.234650000000002</v>
      </c>
      <c r="T4" s="40">
        <v>74.419740000000004</v>
      </c>
      <c r="U4" s="40">
        <v>0</v>
      </c>
      <c r="V4" s="56">
        <v>0</v>
      </c>
      <c r="W4" s="56">
        <v>159.7843</v>
      </c>
      <c r="X4" s="56">
        <v>0</v>
      </c>
      <c r="Y4" s="56">
        <v>0</v>
      </c>
      <c r="Z4" s="56">
        <v>0</v>
      </c>
      <c r="AA4" s="56">
        <v>434.49670000000003</v>
      </c>
      <c r="AB4" s="56">
        <v>0</v>
      </c>
      <c r="AC4" s="56">
        <v>0</v>
      </c>
      <c r="AD4" s="56">
        <v>176.06295</v>
      </c>
      <c r="AE4" s="56">
        <v>211.84505999999999</v>
      </c>
      <c r="AF4" s="56">
        <v>68.489639999999994</v>
      </c>
      <c r="AG4" s="56">
        <v>1741.7529500000001</v>
      </c>
      <c r="AH4" s="56">
        <v>215.488</v>
      </c>
      <c r="AI4" s="56">
        <v>843.98910000000001</v>
      </c>
      <c r="AJ4" s="56">
        <v>4.0636000000000001</v>
      </c>
      <c r="AK4" s="56">
        <v>0</v>
      </c>
      <c r="AL4" s="56">
        <v>0</v>
      </c>
      <c r="AM4" s="56">
        <v>0</v>
      </c>
      <c r="AN4" s="56">
        <v>0</v>
      </c>
      <c r="AO4" s="56">
        <v>0</v>
      </c>
      <c r="AP4" s="56">
        <v>0</v>
      </c>
      <c r="AQ4" s="56">
        <v>68</v>
      </c>
      <c r="AR4" s="56">
        <v>0</v>
      </c>
      <c r="AS4" s="56">
        <v>70</v>
      </c>
      <c r="AT4" s="56">
        <v>0</v>
      </c>
      <c r="AU4" s="56">
        <v>364.7</v>
      </c>
      <c r="AV4" s="56">
        <v>0</v>
      </c>
      <c r="AW4" s="56">
        <v>0</v>
      </c>
      <c r="AX4" s="41">
        <f t="shared" si="0"/>
        <v>22674.174530000004</v>
      </c>
    </row>
    <row r="5" spans="1:50" s="16" customFormat="1" x14ac:dyDescent="0.25">
      <c r="A5" s="2" t="s">
        <v>4</v>
      </c>
      <c r="B5" s="40">
        <v>3303.5888599999998</v>
      </c>
      <c r="C5" s="40">
        <v>565.2835</v>
      </c>
      <c r="D5" s="40">
        <v>270</v>
      </c>
      <c r="E5" s="40">
        <v>7</v>
      </c>
      <c r="F5" s="40">
        <v>370.77467999999999</v>
      </c>
      <c r="G5" s="40">
        <v>0</v>
      </c>
      <c r="H5" s="40">
        <v>76.424399999999991</v>
      </c>
      <c r="I5" s="40">
        <v>0</v>
      </c>
      <c r="J5" s="40">
        <v>0</v>
      </c>
      <c r="K5" s="40">
        <v>673.11805000000004</v>
      </c>
      <c r="L5" s="40">
        <v>8.5634500000000013</v>
      </c>
      <c r="M5" s="40">
        <v>1387.81503</v>
      </c>
      <c r="N5" s="40">
        <v>0</v>
      </c>
      <c r="O5" s="40">
        <v>1.7484000000000002</v>
      </c>
      <c r="P5" s="40">
        <v>0.03</v>
      </c>
      <c r="Q5" s="40">
        <v>0</v>
      </c>
      <c r="R5" s="40">
        <v>0</v>
      </c>
      <c r="S5" s="40">
        <v>0</v>
      </c>
      <c r="T5" s="40">
        <v>77.195250000000001</v>
      </c>
      <c r="U5" s="40">
        <v>0</v>
      </c>
      <c r="V5" s="56">
        <v>0</v>
      </c>
      <c r="W5" s="56">
        <v>17.594099999999997</v>
      </c>
      <c r="X5" s="56">
        <v>0</v>
      </c>
      <c r="Y5" s="56">
        <v>0</v>
      </c>
      <c r="Z5" s="56">
        <v>0</v>
      </c>
      <c r="AA5" s="56">
        <v>696.78909999999996</v>
      </c>
      <c r="AB5" s="56">
        <v>0</v>
      </c>
      <c r="AC5" s="56">
        <v>0</v>
      </c>
      <c r="AD5" s="56">
        <v>8.1728000000000005</v>
      </c>
      <c r="AE5" s="56">
        <v>0</v>
      </c>
      <c r="AF5" s="56">
        <v>119.25149</v>
      </c>
      <c r="AG5" s="56">
        <v>167.03254999999999</v>
      </c>
      <c r="AH5" s="56">
        <v>1412.7190000000001</v>
      </c>
      <c r="AI5" s="56">
        <v>909.88975000000005</v>
      </c>
      <c r="AJ5" s="56">
        <v>1.33965</v>
      </c>
      <c r="AK5" s="56">
        <v>0</v>
      </c>
      <c r="AL5" s="56">
        <v>0</v>
      </c>
      <c r="AM5" s="56">
        <v>0</v>
      </c>
      <c r="AN5" s="56">
        <v>0</v>
      </c>
      <c r="AO5" s="56">
        <v>0</v>
      </c>
      <c r="AP5" s="56">
        <v>0</v>
      </c>
      <c r="AQ5" s="56">
        <v>40</v>
      </c>
      <c r="AR5" s="56">
        <v>0</v>
      </c>
      <c r="AS5" s="56">
        <v>0</v>
      </c>
      <c r="AT5" s="56">
        <v>0</v>
      </c>
      <c r="AU5" s="56">
        <v>89.200999999999993</v>
      </c>
      <c r="AV5" s="56">
        <v>0</v>
      </c>
      <c r="AW5" s="56">
        <v>0</v>
      </c>
      <c r="AX5" s="41">
        <f t="shared" si="0"/>
        <v>10203.531059999999</v>
      </c>
    </row>
    <row r="6" spans="1:50" s="16" customFormat="1" x14ac:dyDescent="0.25">
      <c r="A6" s="2" t="s">
        <v>33</v>
      </c>
      <c r="B6" s="40">
        <v>3631.86294</v>
      </c>
      <c r="C6" s="40">
        <v>40</v>
      </c>
      <c r="D6" s="40">
        <v>180</v>
      </c>
      <c r="E6" s="40">
        <v>15.9</v>
      </c>
      <c r="F6" s="40">
        <v>143.923</v>
      </c>
      <c r="G6" s="40">
        <v>6</v>
      </c>
      <c r="H6" s="40">
        <v>76.877850000000009</v>
      </c>
      <c r="I6" s="40">
        <v>0</v>
      </c>
      <c r="J6" s="40">
        <v>0</v>
      </c>
      <c r="K6" s="40">
        <v>900.46206000000006</v>
      </c>
      <c r="L6" s="40">
        <v>9.5624500000000001</v>
      </c>
      <c r="M6" s="40">
        <v>75.878779999999992</v>
      </c>
      <c r="N6" s="40">
        <v>0</v>
      </c>
      <c r="O6" s="40">
        <v>0</v>
      </c>
      <c r="P6" s="40">
        <v>4.8640400000000001</v>
      </c>
      <c r="Q6" s="40">
        <v>0</v>
      </c>
      <c r="R6" s="40">
        <v>0</v>
      </c>
      <c r="S6" s="40">
        <v>0</v>
      </c>
      <c r="T6" s="40">
        <v>54.780379999999994</v>
      </c>
      <c r="U6" s="40">
        <v>0</v>
      </c>
      <c r="V6" s="56">
        <v>0</v>
      </c>
      <c r="W6" s="56">
        <v>13.2</v>
      </c>
      <c r="X6" s="56">
        <v>0</v>
      </c>
      <c r="Y6" s="56">
        <v>0</v>
      </c>
      <c r="Z6" s="56">
        <v>0</v>
      </c>
      <c r="AA6" s="56">
        <v>17.84</v>
      </c>
      <c r="AB6" s="56">
        <v>0</v>
      </c>
      <c r="AC6" s="56">
        <v>0</v>
      </c>
      <c r="AD6" s="56">
        <v>99.510320000000007</v>
      </c>
      <c r="AE6" s="56">
        <v>59.931870000000004</v>
      </c>
      <c r="AF6" s="56">
        <v>0.18</v>
      </c>
      <c r="AG6" s="56">
        <v>28.767499999999998</v>
      </c>
      <c r="AH6" s="56">
        <v>1115.2472399999999</v>
      </c>
      <c r="AI6" s="56">
        <v>310.78290000000004</v>
      </c>
      <c r="AJ6" s="56">
        <v>0.60570000000000002</v>
      </c>
      <c r="AK6" s="56">
        <v>0</v>
      </c>
      <c r="AL6" s="56">
        <v>0</v>
      </c>
      <c r="AM6" s="56">
        <v>0</v>
      </c>
      <c r="AN6" s="56">
        <v>0</v>
      </c>
      <c r="AO6" s="56">
        <v>0</v>
      </c>
      <c r="AP6" s="56">
        <v>0</v>
      </c>
      <c r="AQ6" s="56">
        <v>25</v>
      </c>
      <c r="AR6" s="56">
        <v>0</v>
      </c>
      <c r="AS6" s="56">
        <v>24</v>
      </c>
      <c r="AT6" s="56">
        <v>128.12062</v>
      </c>
      <c r="AU6" s="56">
        <v>213.3</v>
      </c>
      <c r="AV6" s="56">
        <v>0</v>
      </c>
      <c r="AW6" s="56">
        <v>0</v>
      </c>
      <c r="AX6" s="41">
        <f t="shared" si="0"/>
        <v>7176.5976500000015</v>
      </c>
    </row>
    <row r="7" spans="1:50" s="16" customFormat="1" x14ac:dyDescent="0.25">
      <c r="A7" s="2" t="s">
        <v>34</v>
      </c>
      <c r="B7" s="40">
        <v>1125.0596399999999</v>
      </c>
      <c r="C7" s="40">
        <v>11.554399999999999</v>
      </c>
      <c r="D7" s="40">
        <v>45.886000000000003</v>
      </c>
      <c r="E7" s="40">
        <v>3.9750000000000001</v>
      </c>
      <c r="F7" s="40">
        <v>25.678999999999998</v>
      </c>
      <c r="G7" s="40">
        <v>0</v>
      </c>
      <c r="H7" s="40">
        <v>12.472</v>
      </c>
      <c r="I7" s="40">
        <v>0</v>
      </c>
      <c r="J7" s="40">
        <v>0</v>
      </c>
      <c r="K7" s="40">
        <v>212.2713</v>
      </c>
      <c r="L7" s="40">
        <v>0.3276</v>
      </c>
      <c r="M7" s="40">
        <v>2.8623499999999997</v>
      </c>
      <c r="N7" s="40">
        <v>0.1</v>
      </c>
      <c r="O7" s="40">
        <v>0.45339999999999997</v>
      </c>
      <c r="P7" s="40">
        <v>0.95610000000000006</v>
      </c>
      <c r="Q7" s="40">
        <v>0</v>
      </c>
      <c r="R7" s="40">
        <v>0</v>
      </c>
      <c r="S7" s="40">
        <v>0</v>
      </c>
      <c r="T7" s="40">
        <v>15.3308</v>
      </c>
      <c r="U7" s="40">
        <v>0</v>
      </c>
      <c r="V7" s="56">
        <v>0</v>
      </c>
      <c r="W7" s="56">
        <v>0</v>
      </c>
      <c r="X7" s="56">
        <v>0</v>
      </c>
      <c r="Y7" s="56">
        <v>0</v>
      </c>
      <c r="Z7" s="56">
        <v>0</v>
      </c>
      <c r="AA7" s="56">
        <v>5.56935</v>
      </c>
      <c r="AB7" s="56">
        <v>0</v>
      </c>
      <c r="AC7" s="56">
        <v>0</v>
      </c>
      <c r="AD7" s="56">
        <v>10.455299999999999</v>
      </c>
      <c r="AE7" s="56">
        <v>77.916970000000006</v>
      </c>
      <c r="AF7" s="56">
        <v>1.2819700000000001</v>
      </c>
      <c r="AG7" s="56">
        <v>0.96299999999999997</v>
      </c>
      <c r="AH7" s="56">
        <v>149.40799999999999</v>
      </c>
      <c r="AI7" s="56">
        <v>63.113250000000001</v>
      </c>
      <c r="AJ7" s="56">
        <v>7.2900000000000006E-2</v>
      </c>
      <c r="AK7" s="56">
        <v>0</v>
      </c>
      <c r="AL7" s="56">
        <v>0</v>
      </c>
      <c r="AM7" s="56">
        <v>0</v>
      </c>
      <c r="AN7" s="56">
        <v>0</v>
      </c>
      <c r="AO7" s="56">
        <v>0</v>
      </c>
      <c r="AP7" s="56">
        <v>0</v>
      </c>
      <c r="AQ7" s="56">
        <v>0</v>
      </c>
      <c r="AR7" s="56">
        <v>0</v>
      </c>
      <c r="AS7" s="56">
        <v>0</v>
      </c>
      <c r="AT7" s="56">
        <v>18.5</v>
      </c>
      <c r="AU7" s="56">
        <v>60.654000000000003</v>
      </c>
      <c r="AV7" s="56">
        <v>0</v>
      </c>
      <c r="AW7" s="56">
        <v>0</v>
      </c>
      <c r="AX7" s="41">
        <f t="shared" si="0"/>
        <v>1844.8623300000002</v>
      </c>
    </row>
    <row r="8" spans="1:50" s="16" customFormat="1" x14ac:dyDescent="0.25">
      <c r="A8" s="2" t="s">
        <v>35</v>
      </c>
      <c r="B8" s="40">
        <v>11292.98878</v>
      </c>
      <c r="C8" s="40">
        <v>1770.26135</v>
      </c>
      <c r="D8" s="40">
        <v>811</v>
      </c>
      <c r="E8" s="40">
        <v>24.66</v>
      </c>
      <c r="F8" s="40">
        <v>163.52015</v>
      </c>
      <c r="G8" s="40">
        <v>18.75</v>
      </c>
      <c r="H8" s="40">
        <v>239.39420000000001</v>
      </c>
      <c r="I8" s="40">
        <v>0</v>
      </c>
      <c r="J8" s="40">
        <v>0</v>
      </c>
      <c r="K8" s="40">
        <v>1598.2182</v>
      </c>
      <c r="L8" s="40">
        <v>99.428449999999998</v>
      </c>
      <c r="M8" s="40">
        <v>452.77202</v>
      </c>
      <c r="N8" s="40">
        <v>1.55</v>
      </c>
      <c r="O8" s="40">
        <v>0</v>
      </c>
      <c r="P8" s="40">
        <v>64.945400000000006</v>
      </c>
      <c r="Q8" s="40">
        <v>40.32</v>
      </c>
      <c r="R8" s="40">
        <v>0</v>
      </c>
      <c r="S8" s="40">
        <v>0</v>
      </c>
      <c r="T8" s="40">
        <v>57.367350000000002</v>
      </c>
      <c r="U8" s="40">
        <v>0</v>
      </c>
      <c r="V8" s="56">
        <v>0</v>
      </c>
      <c r="W8" s="56">
        <v>0</v>
      </c>
      <c r="X8" s="56">
        <v>0</v>
      </c>
      <c r="Y8" s="56">
        <v>0</v>
      </c>
      <c r="Z8" s="56">
        <v>0</v>
      </c>
      <c r="AA8" s="56">
        <v>189.90264999999999</v>
      </c>
      <c r="AB8" s="56">
        <v>0</v>
      </c>
      <c r="AC8" s="56">
        <v>0</v>
      </c>
      <c r="AD8" s="56">
        <v>108.5</v>
      </c>
      <c r="AE8" s="56">
        <v>108.38006</v>
      </c>
      <c r="AF8" s="56">
        <v>235.16257999999999</v>
      </c>
      <c r="AG8" s="56">
        <v>207.32839999999999</v>
      </c>
      <c r="AH8" s="56">
        <v>2542.328</v>
      </c>
      <c r="AI8" s="56">
        <v>1194.9656499999999</v>
      </c>
      <c r="AJ8" s="56">
        <v>3.9994000000000001</v>
      </c>
      <c r="AK8" s="56">
        <v>0</v>
      </c>
      <c r="AL8" s="56">
        <v>0</v>
      </c>
      <c r="AM8" s="56">
        <v>0</v>
      </c>
      <c r="AN8" s="56">
        <v>0</v>
      </c>
      <c r="AO8" s="56">
        <v>0</v>
      </c>
      <c r="AP8" s="56">
        <v>95.8</v>
      </c>
      <c r="AQ8" s="56">
        <v>449.1</v>
      </c>
      <c r="AR8" s="56">
        <v>0</v>
      </c>
      <c r="AS8" s="56">
        <v>42.5</v>
      </c>
      <c r="AT8" s="56">
        <v>35.762500000000003</v>
      </c>
      <c r="AU8" s="56">
        <v>306.33759999999995</v>
      </c>
      <c r="AV8" s="56">
        <v>0</v>
      </c>
      <c r="AW8" s="56">
        <v>0</v>
      </c>
      <c r="AX8" s="41">
        <f t="shared" si="0"/>
        <v>22155.242739999994</v>
      </c>
    </row>
    <row r="9" spans="1:50" s="16" customFormat="1" x14ac:dyDescent="0.25">
      <c r="A9" s="2" t="s">
        <v>36</v>
      </c>
      <c r="B9" s="40">
        <v>2019.4191799999999</v>
      </c>
      <c r="C9" s="40">
        <v>57.155999999999999</v>
      </c>
      <c r="D9" s="40">
        <v>120</v>
      </c>
      <c r="E9" s="40">
        <v>8.3849999999999998</v>
      </c>
      <c r="F9" s="40">
        <v>65.448999999999998</v>
      </c>
      <c r="G9" s="40">
        <v>0</v>
      </c>
      <c r="H9" s="40">
        <v>63.411949999999997</v>
      </c>
      <c r="I9" s="40">
        <v>0</v>
      </c>
      <c r="J9" s="40">
        <v>0</v>
      </c>
      <c r="K9" s="40">
        <v>409.4366</v>
      </c>
      <c r="L9" s="40">
        <v>27.464580000000002</v>
      </c>
      <c r="M9" s="40">
        <v>22.932459999999999</v>
      </c>
      <c r="N9" s="40">
        <v>2.34</v>
      </c>
      <c r="O9" s="40">
        <v>0</v>
      </c>
      <c r="P9" s="40">
        <v>0</v>
      </c>
      <c r="Q9" s="40">
        <v>0</v>
      </c>
      <c r="R9" s="40">
        <v>0</v>
      </c>
      <c r="S9" s="40">
        <v>0.5</v>
      </c>
      <c r="T9" s="40">
        <v>21.67089</v>
      </c>
      <c r="U9" s="40">
        <v>0</v>
      </c>
      <c r="V9" s="56">
        <v>0</v>
      </c>
      <c r="W9" s="56">
        <v>0</v>
      </c>
      <c r="X9" s="56">
        <v>0</v>
      </c>
      <c r="Y9" s="56">
        <v>0</v>
      </c>
      <c r="Z9" s="56">
        <v>0</v>
      </c>
      <c r="AA9" s="56">
        <v>69.642130000000009</v>
      </c>
      <c r="AB9" s="56">
        <v>0</v>
      </c>
      <c r="AC9" s="56">
        <v>0</v>
      </c>
      <c r="AD9" s="56">
        <v>57.204699999999995</v>
      </c>
      <c r="AE9" s="56">
        <v>169.72167999999999</v>
      </c>
      <c r="AF9" s="56">
        <v>0</v>
      </c>
      <c r="AG9" s="56">
        <v>86.245100000000008</v>
      </c>
      <c r="AH9" s="56">
        <v>1106.0550000000001</v>
      </c>
      <c r="AI9" s="56">
        <v>206.22163</v>
      </c>
      <c r="AJ9" s="56">
        <v>0.36235000000000001</v>
      </c>
      <c r="AK9" s="56">
        <v>0</v>
      </c>
      <c r="AL9" s="56">
        <v>0</v>
      </c>
      <c r="AM9" s="56">
        <v>0</v>
      </c>
      <c r="AN9" s="56">
        <v>0</v>
      </c>
      <c r="AO9" s="56">
        <v>0</v>
      </c>
      <c r="AP9" s="56">
        <v>0</v>
      </c>
      <c r="AQ9" s="56">
        <v>0</v>
      </c>
      <c r="AR9" s="56">
        <v>0</v>
      </c>
      <c r="AS9" s="56">
        <v>12</v>
      </c>
      <c r="AT9" s="56">
        <v>0</v>
      </c>
      <c r="AU9" s="56">
        <v>98.234200000000001</v>
      </c>
      <c r="AV9" s="56">
        <v>0</v>
      </c>
      <c r="AW9" s="56">
        <v>0</v>
      </c>
      <c r="AX9" s="41">
        <f t="shared" si="0"/>
        <v>4623.8524500000003</v>
      </c>
    </row>
    <row r="10" spans="1:50" s="16" customFormat="1" x14ac:dyDescent="0.25">
      <c r="A10" s="2" t="s">
        <v>5</v>
      </c>
      <c r="B10" s="40">
        <v>26058.984399999998</v>
      </c>
      <c r="C10" s="40">
        <v>1800</v>
      </c>
      <c r="D10" s="40">
        <v>2028</v>
      </c>
      <c r="E10" s="40">
        <v>37.725000000000001</v>
      </c>
      <c r="F10" s="40">
        <v>1605.8818000000001</v>
      </c>
      <c r="G10" s="40">
        <v>-15</v>
      </c>
      <c r="H10" s="40">
        <v>312.03530000000001</v>
      </c>
      <c r="I10" s="40">
        <v>0</v>
      </c>
      <c r="J10" s="40">
        <v>37.948</v>
      </c>
      <c r="K10" s="40">
        <v>3247.19112</v>
      </c>
      <c r="L10" s="40">
        <v>19.488869999999999</v>
      </c>
      <c r="M10" s="40">
        <v>331.35063000000002</v>
      </c>
      <c r="N10" s="40">
        <v>148.81587999999999</v>
      </c>
      <c r="O10" s="40">
        <v>2.1355500000000003</v>
      </c>
      <c r="P10" s="40">
        <v>146.815</v>
      </c>
      <c r="Q10" s="40">
        <v>0</v>
      </c>
      <c r="R10" s="40">
        <v>0</v>
      </c>
      <c r="S10" s="40">
        <v>62.568040000000003</v>
      </c>
      <c r="T10" s="40">
        <v>137.45726000000002</v>
      </c>
      <c r="U10" s="40">
        <v>0</v>
      </c>
      <c r="V10" s="56">
        <v>0</v>
      </c>
      <c r="W10" s="56">
        <v>0</v>
      </c>
      <c r="X10" s="56">
        <v>0</v>
      </c>
      <c r="Y10" s="56">
        <v>6.04</v>
      </c>
      <c r="Z10" s="56">
        <v>1.6</v>
      </c>
      <c r="AA10" s="56">
        <v>2756.1769900000004</v>
      </c>
      <c r="AB10" s="56">
        <v>0</v>
      </c>
      <c r="AC10" s="56">
        <v>0</v>
      </c>
      <c r="AD10" s="56">
        <v>95.724999999999994</v>
      </c>
      <c r="AE10" s="56">
        <v>39.970879999999994</v>
      </c>
      <c r="AF10" s="56">
        <v>117.04399000000001</v>
      </c>
      <c r="AG10" s="56">
        <v>614.39581999999996</v>
      </c>
      <c r="AH10" s="56">
        <v>0</v>
      </c>
      <c r="AI10" s="56">
        <v>1426.89156</v>
      </c>
      <c r="AJ10" s="56">
        <v>5.5904999999999996</v>
      </c>
      <c r="AK10" s="56">
        <v>0</v>
      </c>
      <c r="AL10" s="56">
        <v>206.69454000000002</v>
      </c>
      <c r="AM10" s="56">
        <v>0</v>
      </c>
      <c r="AN10" s="56">
        <v>0</v>
      </c>
      <c r="AO10" s="56">
        <v>0</v>
      </c>
      <c r="AP10" s="56">
        <v>0</v>
      </c>
      <c r="AQ10" s="56">
        <v>54</v>
      </c>
      <c r="AR10" s="56">
        <v>0</v>
      </c>
      <c r="AS10" s="56">
        <v>87</v>
      </c>
      <c r="AT10" s="56">
        <v>5.8263500000000006</v>
      </c>
      <c r="AU10" s="56">
        <v>90.647999999999996</v>
      </c>
      <c r="AV10" s="56">
        <v>0</v>
      </c>
      <c r="AW10" s="56">
        <v>0</v>
      </c>
      <c r="AX10" s="41">
        <f t="shared" si="0"/>
        <v>41469.000479999995</v>
      </c>
    </row>
    <row r="11" spans="1:50" s="16" customFormat="1" x14ac:dyDescent="0.25">
      <c r="A11" s="2" t="s">
        <v>37</v>
      </c>
      <c r="B11" s="40">
        <v>727.05852000000004</v>
      </c>
      <c r="C11" s="40">
        <v>6.6</v>
      </c>
      <c r="D11" s="40">
        <v>59</v>
      </c>
      <c r="E11" s="40">
        <v>3.35</v>
      </c>
      <c r="F11" s="40">
        <v>46.502000000000002</v>
      </c>
      <c r="G11" s="40">
        <v>0</v>
      </c>
      <c r="H11" s="40">
        <v>11.87425</v>
      </c>
      <c r="I11" s="40">
        <v>0</v>
      </c>
      <c r="J11" s="40">
        <v>0</v>
      </c>
      <c r="K11" s="40">
        <v>292.19534999999996</v>
      </c>
      <c r="L11" s="40">
        <v>0.90460000000000007</v>
      </c>
      <c r="M11" s="40">
        <v>4.8823999999999996</v>
      </c>
      <c r="N11" s="40">
        <v>2.2999999999999998</v>
      </c>
      <c r="O11" s="40">
        <v>0</v>
      </c>
      <c r="P11" s="40">
        <v>0.12</v>
      </c>
      <c r="Q11" s="40">
        <v>0</v>
      </c>
      <c r="R11" s="40">
        <v>0</v>
      </c>
      <c r="S11" s="40">
        <v>10.508209999999998</v>
      </c>
      <c r="T11" s="40">
        <v>3.20085</v>
      </c>
      <c r="U11" s="40">
        <v>0</v>
      </c>
      <c r="V11" s="56">
        <v>0</v>
      </c>
      <c r="W11" s="56">
        <v>0</v>
      </c>
      <c r="X11" s="56">
        <v>0</v>
      </c>
      <c r="Y11" s="56">
        <v>0</v>
      </c>
      <c r="Z11" s="56">
        <v>0</v>
      </c>
      <c r="AA11" s="56">
        <v>14.02</v>
      </c>
      <c r="AB11" s="56">
        <v>0</v>
      </c>
      <c r="AC11" s="56">
        <v>0</v>
      </c>
      <c r="AD11" s="56">
        <v>3.4280999999999997</v>
      </c>
      <c r="AE11" s="56">
        <v>21.7166</v>
      </c>
      <c r="AF11" s="56">
        <v>0.32880000000000004</v>
      </c>
      <c r="AG11" s="56">
        <v>11.828100000000001</v>
      </c>
      <c r="AH11" s="56">
        <v>151.636</v>
      </c>
      <c r="AI11" s="56">
        <v>61.759749999999997</v>
      </c>
      <c r="AJ11" s="56">
        <v>0.16515000000000002</v>
      </c>
      <c r="AK11" s="56">
        <v>0</v>
      </c>
      <c r="AL11" s="56">
        <v>0</v>
      </c>
      <c r="AM11" s="56">
        <v>0</v>
      </c>
      <c r="AN11" s="56">
        <v>0</v>
      </c>
      <c r="AO11" s="56">
        <v>0</v>
      </c>
      <c r="AP11" s="56">
        <v>0</v>
      </c>
      <c r="AQ11" s="56">
        <v>10.0093</v>
      </c>
      <c r="AR11" s="56">
        <v>0</v>
      </c>
      <c r="AS11" s="56">
        <v>0.58550000000000002</v>
      </c>
      <c r="AT11" s="56">
        <v>14.0746</v>
      </c>
      <c r="AU11" s="56">
        <v>55.339300000000001</v>
      </c>
      <c r="AV11" s="56">
        <v>0</v>
      </c>
      <c r="AW11" s="56">
        <v>0</v>
      </c>
      <c r="AX11" s="41">
        <f t="shared" si="0"/>
        <v>1513.3873799999997</v>
      </c>
    </row>
    <row r="12" spans="1:50" s="16" customFormat="1" x14ac:dyDescent="0.25">
      <c r="A12" s="2" t="s">
        <v>38</v>
      </c>
      <c r="B12" s="40">
        <v>3120.2411499999998</v>
      </c>
      <c r="C12" s="40">
        <v>232.39709999999999</v>
      </c>
      <c r="D12" s="40">
        <v>222</v>
      </c>
      <c r="E12" s="40">
        <v>14.42</v>
      </c>
      <c r="F12" s="40">
        <v>108.21769999999999</v>
      </c>
      <c r="G12" s="40">
        <v>0</v>
      </c>
      <c r="H12" s="40">
        <v>62.814949999999996</v>
      </c>
      <c r="I12" s="40">
        <v>0</v>
      </c>
      <c r="J12" s="40">
        <v>0</v>
      </c>
      <c r="K12" s="40">
        <v>641.40284999999994</v>
      </c>
      <c r="L12" s="40">
        <v>21.407</v>
      </c>
      <c r="M12" s="40">
        <v>81.634919999999994</v>
      </c>
      <c r="N12" s="40">
        <v>14.69</v>
      </c>
      <c r="O12" s="40">
        <v>0</v>
      </c>
      <c r="P12" s="40">
        <v>0</v>
      </c>
      <c r="Q12" s="40">
        <v>0</v>
      </c>
      <c r="R12" s="40">
        <v>0</v>
      </c>
      <c r="S12" s="40">
        <v>0</v>
      </c>
      <c r="T12" s="40">
        <v>6.7339899999999995</v>
      </c>
      <c r="U12" s="40">
        <v>0</v>
      </c>
      <c r="V12" s="56">
        <v>0</v>
      </c>
      <c r="W12" s="56">
        <v>0</v>
      </c>
      <c r="X12" s="56">
        <v>0</v>
      </c>
      <c r="Y12" s="56">
        <v>0</v>
      </c>
      <c r="Z12" s="56">
        <v>21.350999999999999</v>
      </c>
      <c r="AA12" s="56">
        <v>68.615529999999993</v>
      </c>
      <c r="AB12" s="56">
        <v>0</v>
      </c>
      <c r="AC12" s="56">
        <v>0</v>
      </c>
      <c r="AD12" s="56">
        <v>53.914900000000003</v>
      </c>
      <c r="AE12" s="56">
        <v>7.7835700000000001</v>
      </c>
      <c r="AF12" s="56">
        <v>47.028349999999996</v>
      </c>
      <c r="AG12" s="56">
        <v>85.837059999999994</v>
      </c>
      <c r="AH12" s="56">
        <v>2012.961</v>
      </c>
      <c r="AI12" s="56">
        <v>427.86425000000003</v>
      </c>
      <c r="AJ12" s="56">
        <v>0.89575000000000005</v>
      </c>
      <c r="AK12" s="56">
        <v>0</v>
      </c>
      <c r="AL12" s="56">
        <v>0</v>
      </c>
      <c r="AM12" s="56">
        <v>0</v>
      </c>
      <c r="AN12" s="56">
        <v>0</v>
      </c>
      <c r="AO12" s="56">
        <v>0</v>
      </c>
      <c r="AP12" s="56">
        <v>0</v>
      </c>
      <c r="AQ12" s="56">
        <v>142</v>
      </c>
      <c r="AR12" s="56">
        <v>0</v>
      </c>
      <c r="AS12" s="56">
        <v>29.555499999999999</v>
      </c>
      <c r="AT12" s="56">
        <v>33.585749999999997</v>
      </c>
      <c r="AU12" s="56">
        <v>79.565799999999996</v>
      </c>
      <c r="AV12" s="56">
        <v>0</v>
      </c>
      <c r="AW12" s="56">
        <v>0</v>
      </c>
      <c r="AX12" s="41">
        <f t="shared" si="0"/>
        <v>7536.9181199999985</v>
      </c>
    </row>
    <row r="13" spans="1:50" s="16" customFormat="1" x14ac:dyDescent="0.25">
      <c r="A13" s="2" t="s">
        <v>6</v>
      </c>
      <c r="B13" s="40">
        <v>9263.0591999999997</v>
      </c>
      <c r="C13" s="40">
        <v>5549.6073399999996</v>
      </c>
      <c r="D13" s="40">
        <v>580</v>
      </c>
      <c r="E13" s="40">
        <v>22.8</v>
      </c>
      <c r="F13" s="40">
        <v>97.436700000000002</v>
      </c>
      <c r="G13" s="40">
        <v>0</v>
      </c>
      <c r="H13" s="40">
        <v>100.25149999999999</v>
      </c>
      <c r="I13" s="40">
        <v>0</v>
      </c>
      <c r="J13" s="40">
        <v>30.59</v>
      </c>
      <c r="K13" s="40">
        <v>939.47372999999993</v>
      </c>
      <c r="L13" s="40">
        <v>48.75065</v>
      </c>
      <c r="M13" s="40">
        <v>240.19725</v>
      </c>
      <c r="N13" s="40">
        <v>112.45</v>
      </c>
      <c r="O13" s="40">
        <v>0</v>
      </c>
      <c r="P13" s="40">
        <v>0</v>
      </c>
      <c r="Q13" s="40">
        <v>0</v>
      </c>
      <c r="R13" s="40">
        <v>0</v>
      </c>
      <c r="S13" s="40">
        <v>13.766549999999999</v>
      </c>
      <c r="T13" s="40">
        <v>184.08992000000001</v>
      </c>
      <c r="U13" s="40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651.44302000000005</v>
      </c>
      <c r="AB13" s="56">
        <v>0</v>
      </c>
      <c r="AC13" s="56">
        <v>0</v>
      </c>
      <c r="AD13" s="56">
        <v>69.350700000000003</v>
      </c>
      <c r="AE13" s="56">
        <v>0</v>
      </c>
      <c r="AF13" s="56">
        <v>222.27068</v>
      </c>
      <c r="AG13" s="56">
        <v>197.30464999999998</v>
      </c>
      <c r="AH13" s="56">
        <v>0</v>
      </c>
      <c r="AI13" s="56">
        <v>504.36290000000002</v>
      </c>
      <c r="AJ13" s="56">
        <v>5.2023999999999999</v>
      </c>
      <c r="AK13" s="56">
        <v>0</v>
      </c>
      <c r="AL13" s="56">
        <v>0</v>
      </c>
      <c r="AM13" s="56">
        <v>0</v>
      </c>
      <c r="AN13" s="56">
        <v>0</v>
      </c>
      <c r="AO13" s="56">
        <v>0</v>
      </c>
      <c r="AP13" s="56">
        <v>0</v>
      </c>
      <c r="AQ13" s="56">
        <v>180</v>
      </c>
      <c r="AR13" s="56">
        <v>0</v>
      </c>
      <c r="AS13" s="56">
        <v>0</v>
      </c>
      <c r="AT13" s="56">
        <v>2.6070000000000002</v>
      </c>
      <c r="AU13" s="56">
        <v>22.79645</v>
      </c>
      <c r="AV13" s="56">
        <v>0</v>
      </c>
      <c r="AW13" s="56">
        <v>0</v>
      </c>
      <c r="AX13" s="41">
        <f t="shared" si="0"/>
        <v>19037.81064</v>
      </c>
    </row>
    <row r="14" spans="1:50" s="16" customFormat="1" x14ac:dyDescent="0.25">
      <c r="A14" s="2" t="s">
        <v>39</v>
      </c>
      <c r="B14" s="40">
        <v>4707.00306</v>
      </c>
      <c r="C14" s="40">
        <v>969.97500000000002</v>
      </c>
      <c r="D14" s="40">
        <v>326.43700000000001</v>
      </c>
      <c r="E14" s="40">
        <v>11.775</v>
      </c>
      <c r="F14" s="40">
        <v>62.77</v>
      </c>
      <c r="G14" s="40">
        <v>-4</v>
      </c>
      <c r="H14" s="40">
        <v>68.139699999999991</v>
      </c>
      <c r="I14" s="40">
        <v>0</v>
      </c>
      <c r="J14" s="40">
        <v>0</v>
      </c>
      <c r="K14" s="40">
        <v>738.75764000000004</v>
      </c>
      <c r="L14" s="40">
        <v>18.247529999999998</v>
      </c>
      <c r="M14" s="40">
        <v>31.42719</v>
      </c>
      <c r="N14" s="40">
        <v>4.5999999999999996</v>
      </c>
      <c r="O14" s="40">
        <v>0</v>
      </c>
      <c r="P14" s="40">
        <v>11.627610000000001</v>
      </c>
      <c r="Q14" s="40">
        <v>0</v>
      </c>
      <c r="R14" s="40">
        <v>0</v>
      </c>
      <c r="S14" s="40">
        <v>0</v>
      </c>
      <c r="T14" s="40">
        <v>25.033849999999997</v>
      </c>
      <c r="U14" s="40">
        <v>0</v>
      </c>
      <c r="V14" s="56">
        <v>0</v>
      </c>
      <c r="W14" s="56">
        <v>0</v>
      </c>
      <c r="X14" s="56">
        <v>0</v>
      </c>
      <c r="Y14" s="56">
        <v>0</v>
      </c>
      <c r="Z14" s="56">
        <v>0</v>
      </c>
      <c r="AA14" s="56">
        <v>96.418700000000001</v>
      </c>
      <c r="AB14" s="56">
        <v>0</v>
      </c>
      <c r="AC14" s="56">
        <v>45.509500000000003</v>
      </c>
      <c r="AD14" s="56">
        <v>115.0925</v>
      </c>
      <c r="AE14" s="56">
        <v>2.33595</v>
      </c>
      <c r="AF14" s="56">
        <v>37.38364</v>
      </c>
      <c r="AG14" s="56">
        <v>447.70549999999997</v>
      </c>
      <c r="AH14" s="56">
        <v>0</v>
      </c>
      <c r="AI14" s="56">
        <v>271.95940000000002</v>
      </c>
      <c r="AJ14" s="56">
        <v>0.82250000000000001</v>
      </c>
      <c r="AK14" s="56">
        <v>0</v>
      </c>
      <c r="AL14" s="56">
        <v>0</v>
      </c>
      <c r="AM14" s="56">
        <v>0</v>
      </c>
      <c r="AN14" s="56">
        <v>0</v>
      </c>
      <c r="AO14" s="56">
        <v>0</v>
      </c>
      <c r="AP14" s="56">
        <v>0</v>
      </c>
      <c r="AQ14" s="56">
        <v>116.5</v>
      </c>
      <c r="AR14" s="56">
        <v>0.5</v>
      </c>
      <c r="AS14" s="56">
        <v>17.284200000000002</v>
      </c>
      <c r="AT14" s="56">
        <v>103.43</v>
      </c>
      <c r="AU14" s="56">
        <v>381.34899999999999</v>
      </c>
      <c r="AV14" s="56">
        <v>0</v>
      </c>
      <c r="AW14" s="56">
        <v>0</v>
      </c>
      <c r="AX14" s="41">
        <f t="shared" si="0"/>
        <v>8608.0844699999998</v>
      </c>
    </row>
    <row r="15" spans="1:50" s="16" customFormat="1" x14ac:dyDescent="0.25">
      <c r="A15" s="2" t="s">
        <v>40</v>
      </c>
      <c r="B15" s="40">
        <v>1283.4271000000001</v>
      </c>
      <c r="C15" s="40">
        <v>10</v>
      </c>
      <c r="D15" s="40">
        <v>63.082000000000001</v>
      </c>
      <c r="E15" s="40">
        <v>4.75</v>
      </c>
      <c r="F15" s="40">
        <v>40.176000000000002</v>
      </c>
      <c r="G15" s="40">
        <v>0</v>
      </c>
      <c r="H15" s="40">
        <v>17.783549999999998</v>
      </c>
      <c r="I15" s="40">
        <v>0</v>
      </c>
      <c r="J15" s="40">
        <v>0</v>
      </c>
      <c r="K15" s="40">
        <v>311.86076000000003</v>
      </c>
      <c r="L15" s="40">
        <v>7.5808299999999997</v>
      </c>
      <c r="M15" s="40">
        <v>17.616799999999998</v>
      </c>
      <c r="N15" s="40">
        <v>1.3</v>
      </c>
      <c r="O15" s="40">
        <v>3.1036199999999998</v>
      </c>
      <c r="P15" s="40">
        <v>0</v>
      </c>
      <c r="Q15" s="40">
        <v>0</v>
      </c>
      <c r="R15" s="40">
        <v>0</v>
      </c>
      <c r="S15" s="40">
        <v>0.18978999999999999</v>
      </c>
      <c r="T15" s="40">
        <v>7.3072700000000008</v>
      </c>
      <c r="U15" s="40">
        <v>17.940999999999999</v>
      </c>
      <c r="V15" s="56">
        <v>0</v>
      </c>
      <c r="W15" s="56">
        <v>40.777900000000002</v>
      </c>
      <c r="X15" s="56">
        <v>0</v>
      </c>
      <c r="Y15" s="56">
        <v>0</v>
      </c>
      <c r="Z15" s="56">
        <v>0</v>
      </c>
      <c r="AA15" s="56">
        <v>19.262540000000001</v>
      </c>
      <c r="AB15" s="56">
        <v>0</v>
      </c>
      <c r="AC15" s="56">
        <v>0</v>
      </c>
      <c r="AD15" s="56">
        <v>5.6546499999999993</v>
      </c>
      <c r="AE15" s="56">
        <v>53.479769999999995</v>
      </c>
      <c r="AF15" s="56">
        <v>0.43289999999999995</v>
      </c>
      <c r="AG15" s="56">
        <v>52.741900000000001</v>
      </c>
      <c r="AH15" s="56">
        <v>622.84299999999996</v>
      </c>
      <c r="AI15" s="56">
        <v>142.8955</v>
      </c>
      <c r="AJ15" s="56">
        <v>0.23375000000000001</v>
      </c>
      <c r="AK15" s="56">
        <v>0</v>
      </c>
      <c r="AL15" s="56">
        <v>0</v>
      </c>
      <c r="AM15" s="56">
        <v>0</v>
      </c>
      <c r="AN15" s="56">
        <v>0</v>
      </c>
      <c r="AO15" s="56">
        <v>0</v>
      </c>
      <c r="AP15" s="56">
        <v>0</v>
      </c>
      <c r="AQ15" s="56">
        <v>4.5</v>
      </c>
      <c r="AR15" s="56">
        <v>0</v>
      </c>
      <c r="AS15" s="56">
        <v>0</v>
      </c>
      <c r="AT15" s="56">
        <v>0</v>
      </c>
      <c r="AU15" s="56">
        <v>96.245260000000002</v>
      </c>
      <c r="AV15" s="56">
        <v>0</v>
      </c>
      <c r="AW15" s="56">
        <v>0</v>
      </c>
      <c r="AX15" s="41">
        <f t="shared" si="0"/>
        <v>2825.1858900000002</v>
      </c>
    </row>
    <row r="16" spans="1:50" s="16" customFormat="1" x14ac:dyDescent="0.25">
      <c r="A16" s="2" t="s">
        <v>41</v>
      </c>
      <c r="B16" s="40">
        <v>633.60787000000005</v>
      </c>
      <c r="C16" s="40">
        <v>95.222899999999996</v>
      </c>
      <c r="D16" s="40">
        <v>61</v>
      </c>
      <c r="E16" s="40">
        <v>1.125</v>
      </c>
      <c r="F16" s="40">
        <v>49.08</v>
      </c>
      <c r="G16" s="40">
        <v>0</v>
      </c>
      <c r="H16" s="40">
        <v>3.93</v>
      </c>
      <c r="I16" s="40">
        <v>0</v>
      </c>
      <c r="J16" s="40">
        <v>0</v>
      </c>
      <c r="K16" s="40">
        <v>72.909300000000002</v>
      </c>
      <c r="L16" s="40">
        <v>0.79139999999999999</v>
      </c>
      <c r="M16" s="40">
        <v>80.087800000000001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56">
        <v>0</v>
      </c>
      <c r="W16" s="56">
        <v>0</v>
      </c>
      <c r="X16" s="56">
        <v>0</v>
      </c>
      <c r="Y16" s="56">
        <v>0</v>
      </c>
      <c r="Z16" s="56">
        <v>51</v>
      </c>
      <c r="AA16" s="56">
        <v>60.506320000000002</v>
      </c>
      <c r="AB16" s="56">
        <v>0</v>
      </c>
      <c r="AC16" s="56">
        <v>0</v>
      </c>
      <c r="AD16" s="56">
        <v>1.8160399999999999</v>
      </c>
      <c r="AE16" s="56">
        <v>10.9689</v>
      </c>
      <c r="AF16" s="56">
        <v>41.880969999999998</v>
      </c>
      <c r="AG16" s="56">
        <v>4.5270000000000001</v>
      </c>
      <c r="AH16" s="56">
        <v>294</v>
      </c>
      <c r="AI16" s="56">
        <v>22.7483</v>
      </c>
      <c r="AJ16" s="56">
        <v>0</v>
      </c>
      <c r="AK16" s="56">
        <v>0</v>
      </c>
      <c r="AL16" s="56">
        <v>0</v>
      </c>
      <c r="AM16" s="56">
        <v>0</v>
      </c>
      <c r="AN16" s="56">
        <v>0</v>
      </c>
      <c r="AO16" s="56">
        <v>0</v>
      </c>
      <c r="AP16" s="56">
        <v>0</v>
      </c>
      <c r="AQ16" s="56">
        <v>0</v>
      </c>
      <c r="AR16" s="56">
        <v>0</v>
      </c>
      <c r="AS16" s="56">
        <v>0</v>
      </c>
      <c r="AT16" s="56">
        <v>0</v>
      </c>
      <c r="AU16" s="56">
        <v>0</v>
      </c>
      <c r="AV16" s="56">
        <v>0</v>
      </c>
      <c r="AW16" s="56">
        <v>0</v>
      </c>
      <c r="AX16" s="41">
        <f t="shared" si="0"/>
        <v>1485.2017999999998</v>
      </c>
    </row>
    <row r="17" spans="1:50" s="16" customFormat="1" x14ac:dyDescent="0.25">
      <c r="A17" s="2" t="s">
        <v>27</v>
      </c>
      <c r="B17" s="40">
        <v>102851.94901000001</v>
      </c>
      <c r="C17" s="40">
        <v>16444.546109999999</v>
      </c>
      <c r="D17" s="40">
        <v>6634.3269500000006</v>
      </c>
      <c r="E17" s="40">
        <v>285.11</v>
      </c>
      <c r="F17" s="40">
        <v>2142.5390400000001</v>
      </c>
      <c r="G17" s="40">
        <v>156.5</v>
      </c>
      <c r="H17" s="40">
        <v>2148.4076500000001</v>
      </c>
      <c r="I17" s="40">
        <v>21820.606889999999</v>
      </c>
      <c r="J17" s="40">
        <v>11.98</v>
      </c>
      <c r="K17" s="40">
        <v>8002.1312300000009</v>
      </c>
      <c r="L17" s="40">
        <v>980.73043999999993</v>
      </c>
      <c r="M17" s="40">
        <v>7646.2924699999994</v>
      </c>
      <c r="N17" s="40">
        <v>834.76576</v>
      </c>
      <c r="O17" s="40">
        <v>23.29946</v>
      </c>
      <c r="P17" s="40">
        <v>47.828739999999996</v>
      </c>
      <c r="Q17" s="40">
        <v>1260.2048</v>
      </c>
      <c r="R17" s="40">
        <v>0</v>
      </c>
      <c r="S17" s="40">
        <v>268.82825000000003</v>
      </c>
      <c r="T17" s="40">
        <v>1660.71829</v>
      </c>
      <c r="U17" s="40">
        <v>0</v>
      </c>
      <c r="V17" s="56">
        <v>0</v>
      </c>
      <c r="W17" s="56">
        <v>229.24379999999999</v>
      </c>
      <c r="X17" s="56">
        <v>104.5</v>
      </c>
      <c r="Y17" s="56">
        <v>70.009699999999995</v>
      </c>
      <c r="Z17" s="56">
        <v>4500</v>
      </c>
      <c r="AA17" s="56">
        <v>4034.3007499999999</v>
      </c>
      <c r="AB17" s="56">
        <v>34.306449999999998</v>
      </c>
      <c r="AC17" s="56">
        <v>12.944000000000001</v>
      </c>
      <c r="AD17" s="56">
        <v>954.24507999999992</v>
      </c>
      <c r="AE17" s="56">
        <v>169.99763000000002</v>
      </c>
      <c r="AF17" s="56">
        <v>523.34913000000006</v>
      </c>
      <c r="AG17" s="56">
        <v>4286.1244500000003</v>
      </c>
      <c r="AH17" s="56">
        <v>13143.235000000001</v>
      </c>
      <c r="AI17" s="56">
        <v>23444.093260000001</v>
      </c>
      <c r="AJ17" s="56">
        <v>203.82245</v>
      </c>
      <c r="AK17" s="56">
        <v>0</v>
      </c>
      <c r="AL17" s="56">
        <v>0</v>
      </c>
      <c r="AM17" s="56">
        <v>0</v>
      </c>
      <c r="AN17" s="56">
        <v>0</v>
      </c>
      <c r="AO17" s="56">
        <v>1093.38446</v>
      </c>
      <c r="AP17" s="56">
        <v>27.939790000000002</v>
      </c>
      <c r="AQ17" s="56">
        <v>10320.51528</v>
      </c>
      <c r="AR17" s="56">
        <v>321.15472999999997</v>
      </c>
      <c r="AS17" s="56">
        <v>127.848</v>
      </c>
      <c r="AT17" s="56">
        <v>69.993700000000004</v>
      </c>
      <c r="AU17" s="56">
        <v>1141.9161799999999</v>
      </c>
      <c r="AV17" s="56">
        <v>0</v>
      </c>
      <c r="AW17" s="56">
        <v>175</v>
      </c>
      <c r="AX17" s="41">
        <f t="shared" si="0"/>
        <v>238208.68892999997</v>
      </c>
    </row>
    <row r="18" spans="1:50" s="16" customFormat="1" x14ac:dyDescent="0.25">
      <c r="A18" s="2" t="s">
        <v>7</v>
      </c>
      <c r="B18" s="40">
        <v>11682.629630000001</v>
      </c>
      <c r="C18" s="40">
        <v>1718.8630000000001</v>
      </c>
      <c r="D18" s="40">
        <v>940</v>
      </c>
      <c r="E18" s="40">
        <v>23.35</v>
      </c>
      <c r="F18" s="40">
        <v>252.791</v>
      </c>
      <c r="G18" s="40">
        <v>0</v>
      </c>
      <c r="H18" s="40">
        <v>500.12145000000004</v>
      </c>
      <c r="I18" s="40">
        <v>0</v>
      </c>
      <c r="J18" s="40">
        <v>0</v>
      </c>
      <c r="K18" s="40">
        <v>1619.58114</v>
      </c>
      <c r="L18" s="40">
        <v>40.671800000000005</v>
      </c>
      <c r="M18" s="40">
        <v>951.14344999999992</v>
      </c>
      <c r="N18" s="40">
        <v>113.38266</v>
      </c>
      <c r="O18" s="40">
        <v>0</v>
      </c>
      <c r="P18" s="40">
        <v>7.3825000000000003</v>
      </c>
      <c r="Q18" s="40">
        <v>0</v>
      </c>
      <c r="R18" s="40">
        <v>0</v>
      </c>
      <c r="S18" s="40">
        <v>133.46</v>
      </c>
      <c r="T18" s="40">
        <v>68.101399999999998</v>
      </c>
      <c r="U18" s="40">
        <v>0.2</v>
      </c>
      <c r="V18" s="56">
        <v>2.2440000000000002</v>
      </c>
      <c r="W18" s="56">
        <v>12.885</v>
      </c>
      <c r="X18" s="56">
        <v>7.8608000000000002</v>
      </c>
      <c r="Y18" s="56">
        <v>0</v>
      </c>
      <c r="Z18" s="56">
        <v>276.29599999999999</v>
      </c>
      <c r="AA18" s="56">
        <v>691.92692</v>
      </c>
      <c r="AB18" s="56">
        <v>0</v>
      </c>
      <c r="AC18" s="56">
        <v>0</v>
      </c>
      <c r="AD18" s="56">
        <v>0</v>
      </c>
      <c r="AE18" s="56">
        <v>0</v>
      </c>
      <c r="AF18" s="56">
        <v>80.688770000000005</v>
      </c>
      <c r="AG18" s="56">
        <v>2301.0515</v>
      </c>
      <c r="AH18" s="56">
        <v>6821.6610000000001</v>
      </c>
      <c r="AI18" s="56">
        <v>1495.7114999999999</v>
      </c>
      <c r="AJ18" s="56">
        <v>6.5706499999999997</v>
      </c>
      <c r="AK18" s="56">
        <v>0</v>
      </c>
      <c r="AL18" s="56">
        <v>0</v>
      </c>
      <c r="AM18" s="56">
        <v>0</v>
      </c>
      <c r="AN18" s="56">
        <v>0</v>
      </c>
      <c r="AO18" s="56">
        <v>0</v>
      </c>
      <c r="AP18" s="56">
        <v>0</v>
      </c>
      <c r="AQ18" s="56">
        <v>470</v>
      </c>
      <c r="AR18" s="56">
        <v>12</v>
      </c>
      <c r="AS18" s="56">
        <v>420.54019</v>
      </c>
      <c r="AT18" s="56">
        <v>32</v>
      </c>
      <c r="AU18" s="56">
        <v>193.11589999999998</v>
      </c>
      <c r="AV18" s="56">
        <v>0</v>
      </c>
      <c r="AW18" s="56">
        <v>0</v>
      </c>
      <c r="AX18" s="41">
        <f t="shared" si="0"/>
        <v>30876.23026</v>
      </c>
    </row>
    <row r="19" spans="1:50" s="16" customFormat="1" x14ac:dyDescent="0.25">
      <c r="A19" s="2" t="s">
        <v>42</v>
      </c>
      <c r="B19" s="40">
        <v>10680.84901</v>
      </c>
      <c r="C19" s="40">
        <v>3848.1556499999997</v>
      </c>
      <c r="D19" s="40">
        <v>680</v>
      </c>
      <c r="E19" s="40">
        <v>21.620549999999998</v>
      </c>
      <c r="F19" s="40">
        <v>93.606999999999999</v>
      </c>
      <c r="G19" s="40">
        <v>0</v>
      </c>
      <c r="H19" s="40">
        <v>98.656929999999988</v>
      </c>
      <c r="I19" s="40">
        <v>0</v>
      </c>
      <c r="J19" s="40">
        <v>19.117999999999999</v>
      </c>
      <c r="K19" s="40">
        <v>1790.99135</v>
      </c>
      <c r="L19" s="40">
        <v>167.24814999999998</v>
      </c>
      <c r="M19" s="40">
        <v>91.797149999999988</v>
      </c>
      <c r="N19" s="40">
        <v>1.18</v>
      </c>
      <c r="O19" s="40">
        <v>0</v>
      </c>
      <c r="P19" s="40">
        <v>3.3409</v>
      </c>
      <c r="Q19" s="40">
        <v>0</v>
      </c>
      <c r="R19" s="40">
        <v>0</v>
      </c>
      <c r="S19" s="40">
        <v>4.0000000000000002E-4</v>
      </c>
      <c r="T19" s="40">
        <v>33.210440000000006</v>
      </c>
      <c r="U19" s="40">
        <v>0</v>
      </c>
      <c r="V19" s="56">
        <v>0</v>
      </c>
      <c r="W19" s="56">
        <v>122.28</v>
      </c>
      <c r="X19" s="56">
        <v>0</v>
      </c>
      <c r="Y19" s="56">
        <v>0</v>
      </c>
      <c r="Z19" s="56">
        <v>0</v>
      </c>
      <c r="AA19" s="56">
        <v>159.05862999999999</v>
      </c>
      <c r="AB19" s="56">
        <v>0</v>
      </c>
      <c r="AC19" s="56">
        <v>0</v>
      </c>
      <c r="AD19" s="56">
        <v>138.75425000000001</v>
      </c>
      <c r="AE19" s="56">
        <v>232.56855999999999</v>
      </c>
      <c r="AF19" s="56">
        <v>225.7595</v>
      </c>
      <c r="AG19" s="56">
        <v>577.58819999999992</v>
      </c>
      <c r="AH19" s="56">
        <v>20</v>
      </c>
      <c r="AI19" s="56">
        <v>482.88905999999997</v>
      </c>
      <c r="AJ19" s="56">
        <v>2.5134000000000003</v>
      </c>
      <c r="AK19" s="56">
        <v>0</v>
      </c>
      <c r="AL19" s="56">
        <v>0</v>
      </c>
      <c r="AM19" s="56">
        <v>0</v>
      </c>
      <c r="AN19" s="56">
        <v>0</v>
      </c>
      <c r="AO19" s="56">
        <v>0</v>
      </c>
      <c r="AP19" s="56">
        <v>0</v>
      </c>
      <c r="AQ19" s="56">
        <v>72.8</v>
      </c>
      <c r="AR19" s="56">
        <v>7</v>
      </c>
      <c r="AS19" s="56">
        <v>0</v>
      </c>
      <c r="AT19" s="56">
        <v>133.25899999999999</v>
      </c>
      <c r="AU19" s="56">
        <v>525.28200000000004</v>
      </c>
      <c r="AV19" s="56">
        <v>0</v>
      </c>
      <c r="AW19" s="56">
        <v>0</v>
      </c>
      <c r="AX19" s="41">
        <f t="shared" si="0"/>
        <v>20229.528129999992</v>
      </c>
    </row>
    <row r="20" spans="1:50" s="16" customFormat="1" x14ac:dyDescent="0.25">
      <c r="A20" s="2" t="s">
        <v>43</v>
      </c>
      <c r="B20" s="40">
        <v>4263.3687900000004</v>
      </c>
      <c r="C20" s="40">
        <v>234.40100000000001</v>
      </c>
      <c r="D20" s="40">
        <v>223</v>
      </c>
      <c r="E20" s="40">
        <v>5.5</v>
      </c>
      <c r="F20" s="40">
        <v>10.98</v>
      </c>
      <c r="G20" s="40">
        <v>0</v>
      </c>
      <c r="H20" s="40">
        <v>63.562609999999999</v>
      </c>
      <c r="I20" s="40">
        <v>0</v>
      </c>
      <c r="J20" s="40">
        <v>0</v>
      </c>
      <c r="K20" s="40">
        <v>808.51910999999996</v>
      </c>
      <c r="L20" s="40">
        <v>23.8902</v>
      </c>
      <c r="M20" s="40">
        <v>95.093649999999997</v>
      </c>
      <c r="N20" s="40">
        <v>9.26</v>
      </c>
      <c r="O20" s="40">
        <v>0</v>
      </c>
      <c r="P20" s="40">
        <v>1.9981</v>
      </c>
      <c r="Q20" s="40">
        <v>0</v>
      </c>
      <c r="R20" s="40">
        <v>0</v>
      </c>
      <c r="S20" s="40">
        <v>0.03</v>
      </c>
      <c r="T20" s="40">
        <v>58.295339999999996</v>
      </c>
      <c r="U20" s="40">
        <v>0</v>
      </c>
      <c r="V20" s="56">
        <v>0</v>
      </c>
      <c r="W20" s="56">
        <v>57</v>
      </c>
      <c r="X20" s="56">
        <v>0</v>
      </c>
      <c r="Y20" s="56">
        <v>0</v>
      </c>
      <c r="Z20" s="56">
        <v>0</v>
      </c>
      <c r="AA20" s="56">
        <v>155.37397000000001</v>
      </c>
      <c r="AB20" s="56">
        <v>0</v>
      </c>
      <c r="AC20" s="56">
        <v>0</v>
      </c>
      <c r="AD20" s="56">
        <v>29.314400000000003</v>
      </c>
      <c r="AE20" s="56">
        <v>26.132990000000003</v>
      </c>
      <c r="AF20" s="56">
        <v>9.1265000000000001</v>
      </c>
      <c r="AG20" s="56">
        <v>35.622</v>
      </c>
      <c r="AH20" s="56">
        <v>0</v>
      </c>
      <c r="AI20" s="56">
        <v>62.811750000000004</v>
      </c>
      <c r="AJ20" s="56">
        <v>0.59139999999999993</v>
      </c>
      <c r="AK20" s="56">
        <v>0</v>
      </c>
      <c r="AL20" s="56">
        <v>0</v>
      </c>
      <c r="AM20" s="56">
        <v>0</v>
      </c>
      <c r="AN20" s="56">
        <v>0</v>
      </c>
      <c r="AO20" s="56">
        <v>0</v>
      </c>
      <c r="AP20" s="56">
        <v>0</v>
      </c>
      <c r="AQ20" s="56">
        <v>37.304449999999996</v>
      </c>
      <c r="AR20" s="56">
        <v>0</v>
      </c>
      <c r="AS20" s="56">
        <v>0</v>
      </c>
      <c r="AT20" s="56">
        <v>39</v>
      </c>
      <c r="AU20" s="56">
        <v>250.28899999999999</v>
      </c>
      <c r="AV20" s="56">
        <v>0</v>
      </c>
      <c r="AW20" s="56">
        <v>0</v>
      </c>
      <c r="AX20" s="41">
        <f t="shared" si="0"/>
        <v>6500.465259999999</v>
      </c>
    </row>
    <row r="21" spans="1:50" s="16" customFormat="1" x14ac:dyDescent="0.25">
      <c r="A21" s="2" t="s">
        <v>44</v>
      </c>
      <c r="B21" s="40">
        <v>3125.3432900000003</v>
      </c>
      <c r="C21" s="40">
        <v>443.77565000000004</v>
      </c>
      <c r="D21" s="40">
        <v>610</v>
      </c>
      <c r="E21" s="40">
        <v>24.8</v>
      </c>
      <c r="F21" s="40">
        <v>460.19299999999998</v>
      </c>
      <c r="G21" s="40">
        <v>0</v>
      </c>
      <c r="H21" s="40">
        <v>160.88165000000001</v>
      </c>
      <c r="I21" s="40">
        <v>0</v>
      </c>
      <c r="J21" s="40">
        <v>0</v>
      </c>
      <c r="K21" s="40">
        <v>1419.2427499999999</v>
      </c>
      <c r="L21" s="40">
        <v>138.87889000000001</v>
      </c>
      <c r="M21" s="40">
        <v>119.75986</v>
      </c>
      <c r="N21" s="40">
        <v>1.1000000000000001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47.210940000000001</v>
      </c>
      <c r="U21" s="40">
        <v>0</v>
      </c>
      <c r="V21" s="56">
        <v>0</v>
      </c>
      <c r="W21" s="56">
        <v>0</v>
      </c>
      <c r="X21" s="56">
        <v>0</v>
      </c>
      <c r="Y21" s="56">
        <v>0</v>
      </c>
      <c r="Z21" s="56">
        <v>0</v>
      </c>
      <c r="AA21" s="56">
        <v>60.91225</v>
      </c>
      <c r="AB21" s="56">
        <v>0</v>
      </c>
      <c r="AC21" s="56">
        <v>0</v>
      </c>
      <c r="AD21" s="56">
        <v>0</v>
      </c>
      <c r="AE21" s="56">
        <v>41.253519999999995</v>
      </c>
      <c r="AF21" s="56">
        <v>195.89245000000003</v>
      </c>
      <c r="AG21" s="56">
        <v>47.906550000000003</v>
      </c>
      <c r="AH21" s="56">
        <v>2470.5439999999999</v>
      </c>
      <c r="AI21" s="56">
        <v>590.65380000000005</v>
      </c>
      <c r="AJ21" s="56">
        <v>1.4196500000000001</v>
      </c>
      <c r="AK21" s="56">
        <v>0</v>
      </c>
      <c r="AL21" s="56">
        <v>0</v>
      </c>
      <c r="AM21" s="56">
        <v>0</v>
      </c>
      <c r="AN21" s="56">
        <v>0</v>
      </c>
      <c r="AO21" s="56">
        <v>0</v>
      </c>
      <c r="AP21" s="56">
        <v>0</v>
      </c>
      <c r="AQ21" s="56">
        <v>322.54629999999997</v>
      </c>
      <c r="AR21" s="56">
        <v>0</v>
      </c>
      <c r="AS21" s="56">
        <v>0</v>
      </c>
      <c r="AT21" s="56">
        <v>38.188929999999999</v>
      </c>
      <c r="AU21" s="56">
        <v>290.00099999999998</v>
      </c>
      <c r="AV21" s="56">
        <v>0</v>
      </c>
      <c r="AW21" s="56">
        <v>0</v>
      </c>
      <c r="AX21" s="41">
        <f t="shared" si="0"/>
        <v>10610.504480000001</v>
      </c>
    </row>
    <row r="22" spans="1:50" s="16" customFormat="1" x14ac:dyDescent="0.25">
      <c r="A22" s="2" t="s">
        <v>8</v>
      </c>
      <c r="B22" s="40">
        <v>1416.8893899999998</v>
      </c>
      <c r="C22" s="40">
        <v>326.38350000000003</v>
      </c>
      <c r="D22" s="40">
        <v>113.41635000000001</v>
      </c>
      <c r="E22" s="40">
        <v>8.9877000000000002</v>
      </c>
      <c r="F22" s="40">
        <v>80.599000000000004</v>
      </c>
      <c r="G22" s="40">
        <v>0</v>
      </c>
      <c r="H22" s="40">
        <v>41.476900000000001</v>
      </c>
      <c r="I22" s="40">
        <v>0</v>
      </c>
      <c r="J22" s="40">
        <v>0</v>
      </c>
      <c r="K22" s="40">
        <v>243.56916000000001</v>
      </c>
      <c r="L22" s="40">
        <v>140.73689000000002</v>
      </c>
      <c r="M22" s="40">
        <v>103.69215</v>
      </c>
      <c r="N22" s="40">
        <v>0.2</v>
      </c>
      <c r="O22" s="40">
        <v>0</v>
      </c>
      <c r="P22" s="40">
        <v>3.8370000000000002</v>
      </c>
      <c r="Q22" s="40">
        <v>0</v>
      </c>
      <c r="R22" s="40">
        <v>0</v>
      </c>
      <c r="S22" s="40">
        <v>4.4000000000000003E-3</v>
      </c>
      <c r="T22" s="40">
        <v>29.828009999999999</v>
      </c>
      <c r="U22" s="40">
        <v>0</v>
      </c>
      <c r="V22" s="56">
        <v>0</v>
      </c>
      <c r="W22" s="56">
        <v>71.078000000000003</v>
      </c>
      <c r="X22" s="56">
        <v>0</v>
      </c>
      <c r="Y22" s="56">
        <v>0</v>
      </c>
      <c r="Z22" s="56">
        <v>8.6501999999999999</v>
      </c>
      <c r="AA22" s="56">
        <v>48.364750000000001</v>
      </c>
      <c r="AB22" s="56">
        <v>0</v>
      </c>
      <c r="AC22" s="56">
        <v>0</v>
      </c>
      <c r="AD22" s="56">
        <v>90.447100000000006</v>
      </c>
      <c r="AE22" s="56">
        <v>2.1335900000000003</v>
      </c>
      <c r="AF22" s="56">
        <v>2.5939999999999999</v>
      </c>
      <c r="AG22" s="56">
        <v>95.709949999999992</v>
      </c>
      <c r="AH22" s="56">
        <v>1284.1120000000001</v>
      </c>
      <c r="AI22" s="56">
        <v>388.44395000000003</v>
      </c>
      <c r="AJ22" s="56">
        <v>0.83050000000000002</v>
      </c>
      <c r="AK22" s="56">
        <v>0</v>
      </c>
      <c r="AL22" s="56">
        <v>0</v>
      </c>
      <c r="AM22" s="56">
        <v>0</v>
      </c>
      <c r="AN22" s="56">
        <v>0</v>
      </c>
      <c r="AO22" s="56">
        <v>0</v>
      </c>
      <c r="AP22" s="56">
        <v>0</v>
      </c>
      <c r="AQ22" s="56">
        <v>0</v>
      </c>
      <c r="AR22" s="56">
        <v>0</v>
      </c>
      <c r="AS22" s="56">
        <v>1.3603000000000001</v>
      </c>
      <c r="AT22" s="56">
        <v>0</v>
      </c>
      <c r="AU22" s="56">
        <v>5.2830000000000004</v>
      </c>
      <c r="AV22" s="56">
        <v>0</v>
      </c>
      <c r="AW22" s="56">
        <v>0</v>
      </c>
      <c r="AX22" s="41">
        <f t="shared" si="0"/>
        <v>4508.6277900000005</v>
      </c>
    </row>
    <row r="23" spans="1:50" s="16" customFormat="1" x14ac:dyDescent="0.25">
      <c r="A23" s="2" t="s">
        <v>45</v>
      </c>
      <c r="B23" s="40">
        <v>174.29510999999999</v>
      </c>
      <c r="C23" s="40">
        <v>27</v>
      </c>
      <c r="D23" s="40">
        <v>18</v>
      </c>
      <c r="E23" s="40">
        <v>0.18</v>
      </c>
      <c r="F23" s="40">
        <v>20.369</v>
      </c>
      <c r="G23" s="40">
        <v>0</v>
      </c>
      <c r="H23" s="40">
        <v>0.34599999999999997</v>
      </c>
      <c r="I23" s="40">
        <v>0</v>
      </c>
      <c r="J23" s="40">
        <v>0</v>
      </c>
      <c r="K23" s="40">
        <v>115.83734</v>
      </c>
      <c r="L23" s="40">
        <v>0</v>
      </c>
      <c r="M23" s="40">
        <v>0</v>
      </c>
      <c r="N23" s="40">
        <v>0</v>
      </c>
      <c r="O23" s="40">
        <v>0</v>
      </c>
      <c r="P23" s="40">
        <v>6.3401300000000003</v>
      </c>
      <c r="Q23" s="40">
        <v>0</v>
      </c>
      <c r="R23" s="40">
        <v>0</v>
      </c>
      <c r="S23" s="40">
        <v>0</v>
      </c>
      <c r="T23" s="40">
        <v>1.5999300000000001</v>
      </c>
      <c r="U23" s="40">
        <v>0</v>
      </c>
      <c r="V23" s="56">
        <v>0</v>
      </c>
      <c r="W23" s="56">
        <v>0</v>
      </c>
      <c r="X23" s="56">
        <v>0</v>
      </c>
      <c r="Y23" s="56">
        <v>0</v>
      </c>
      <c r="Z23" s="56">
        <v>3.3479999999999999</v>
      </c>
      <c r="AA23" s="56">
        <v>2</v>
      </c>
      <c r="AB23" s="56">
        <v>0</v>
      </c>
      <c r="AC23" s="56">
        <v>0</v>
      </c>
      <c r="AD23" s="56">
        <v>0</v>
      </c>
      <c r="AE23" s="56">
        <v>2.7000000000000001E-3</v>
      </c>
      <c r="AF23" s="56">
        <v>32.83</v>
      </c>
      <c r="AG23" s="56">
        <v>23.747949999999999</v>
      </c>
      <c r="AH23" s="56">
        <v>337</v>
      </c>
      <c r="AI23" s="56">
        <v>16.452000000000002</v>
      </c>
      <c r="AJ23" s="56">
        <v>0</v>
      </c>
      <c r="AK23" s="56">
        <v>0</v>
      </c>
      <c r="AL23" s="56">
        <v>0</v>
      </c>
      <c r="AM23" s="56">
        <v>0</v>
      </c>
      <c r="AN23" s="56">
        <v>0</v>
      </c>
      <c r="AO23" s="56">
        <v>0</v>
      </c>
      <c r="AP23" s="56">
        <v>0</v>
      </c>
      <c r="AQ23" s="56">
        <v>0</v>
      </c>
      <c r="AR23" s="56">
        <v>0</v>
      </c>
      <c r="AS23" s="56">
        <v>0</v>
      </c>
      <c r="AT23" s="56">
        <v>0</v>
      </c>
      <c r="AU23" s="56">
        <v>0</v>
      </c>
      <c r="AV23" s="56">
        <v>0</v>
      </c>
      <c r="AW23" s="56">
        <v>0</v>
      </c>
      <c r="AX23" s="41">
        <f t="shared" si="0"/>
        <v>779.34816000000001</v>
      </c>
    </row>
    <row r="24" spans="1:50" s="16" customFormat="1" x14ac:dyDescent="0.25">
      <c r="A24" s="2" t="s">
        <v>46</v>
      </c>
      <c r="B24" s="40">
        <v>5196.9220800000003</v>
      </c>
      <c r="C24" s="40">
        <v>51</v>
      </c>
      <c r="D24" s="40">
        <v>260</v>
      </c>
      <c r="E24" s="40">
        <v>23.324999999999999</v>
      </c>
      <c r="F24" s="40">
        <v>235.62795</v>
      </c>
      <c r="G24" s="40">
        <v>0</v>
      </c>
      <c r="H24" s="40">
        <v>60.736599999999996</v>
      </c>
      <c r="I24" s="40">
        <v>0</v>
      </c>
      <c r="J24" s="40">
        <v>0</v>
      </c>
      <c r="K24" s="40">
        <v>959.52324999999996</v>
      </c>
      <c r="L24" s="40">
        <v>73.019850000000005</v>
      </c>
      <c r="M24" s="40">
        <v>73.092649999999992</v>
      </c>
      <c r="N24" s="40">
        <v>1</v>
      </c>
      <c r="O24" s="40">
        <v>5.1468500000000006</v>
      </c>
      <c r="P24" s="40">
        <v>5.5838000000000001</v>
      </c>
      <c r="Q24" s="40">
        <v>0</v>
      </c>
      <c r="R24" s="40">
        <v>0</v>
      </c>
      <c r="S24" s="40">
        <v>0</v>
      </c>
      <c r="T24" s="40">
        <v>41.058</v>
      </c>
      <c r="U24" s="40">
        <v>0</v>
      </c>
      <c r="V24" s="56">
        <v>0</v>
      </c>
      <c r="W24" s="56">
        <v>43.725000000000001</v>
      </c>
      <c r="X24" s="56">
        <v>0</v>
      </c>
      <c r="Y24" s="56">
        <v>0</v>
      </c>
      <c r="Z24" s="56">
        <v>0</v>
      </c>
      <c r="AA24" s="56">
        <v>37.814999999999998</v>
      </c>
      <c r="AB24" s="56">
        <v>0</v>
      </c>
      <c r="AC24" s="56">
        <v>0</v>
      </c>
      <c r="AD24" s="56">
        <v>57.90757</v>
      </c>
      <c r="AE24" s="56">
        <v>12.627709999999999</v>
      </c>
      <c r="AF24" s="56">
        <v>3.3499699999999999</v>
      </c>
      <c r="AG24" s="56">
        <v>80.754249999999999</v>
      </c>
      <c r="AH24" s="56">
        <v>1296.096</v>
      </c>
      <c r="AI24" s="56">
        <v>494.64873999999998</v>
      </c>
      <c r="AJ24" s="56">
        <v>1.66635</v>
      </c>
      <c r="AK24" s="56">
        <v>0</v>
      </c>
      <c r="AL24" s="56">
        <v>0</v>
      </c>
      <c r="AM24" s="56">
        <v>0</v>
      </c>
      <c r="AN24" s="56">
        <v>0</v>
      </c>
      <c r="AO24" s="56">
        <v>0</v>
      </c>
      <c r="AP24" s="56">
        <v>0</v>
      </c>
      <c r="AQ24" s="56">
        <v>73.150000000000006</v>
      </c>
      <c r="AR24" s="56">
        <v>0</v>
      </c>
      <c r="AS24" s="56">
        <v>47</v>
      </c>
      <c r="AT24" s="56">
        <v>159.69999999999999</v>
      </c>
      <c r="AU24" s="56">
        <v>400.59500000000003</v>
      </c>
      <c r="AV24" s="56">
        <v>0</v>
      </c>
      <c r="AW24" s="56">
        <v>226.90089</v>
      </c>
      <c r="AX24" s="41">
        <f t="shared" si="0"/>
        <v>9921.9725100000014</v>
      </c>
    </row>
    <row r="25" spans="1:50" s="16" customFormat="1" x14ac:dyDescent="0.25">
      <c r="A25" s="2" t="s">
        <v>47</v>
      </c>
      <c r="B25" s="40">
        <v>2027.4466699999998</v>
      </c>
      <c r="C25" s="40">
        <v>48.809080000000002</v>
      </c>
      <c r="D25" s="40">
        <v>237.24340000000001</v>
      </c>
      <c r="E25" s="40">
        <v>4.9000000000000004</v>
      </c>
      <c r="F25" s="40">
        <v>62.978000000000002</v>
      </c>
      <c r="G25" s="40">
        <v>0</v>
      </c>
      <c r="H25" s="40">
        <v>16.147500000000001</v>
      </c>
      <c r="I25" s="40">
        <v>0</v>
      </c>
      <c r="J25" s="40">
        <v>7.3760000000000003</v>
      </c>
      <c r="K25" s="40">
        <v>256.82366999999999</v>
      </c>
      <c r="L25" s="40">
        <v>10.8772</v>
      </c>
      <c r="M25" s="40">
        <v>8.0348000000000006</v>
      </c>
      <c r="N25" s="40">
        <v>1.2</v>
      </c>
      <c r="O25" s="40">
        <v>0</v>
      </c>
      <c r="P25" s="40">
        <v>4.11334</v>
      </c>
      <c r="Q25" s="40">
        <v>0</v>
      </c>
      <c r="R25" s="40">
        <v>0</v>
      </c>
      <c r="S25" s="40">
        <v>0</v>
      </c>
      <c r="T25" s="40">
        <v>31.53275</v>
      </c>
      <c r="U25" s="40">
        <v>41.753999999999998</v>
      </c>
      <c r="V25" s="56">
        <v>0</v>
      </c>
      <c r="W25" s="56">
        <v>0</v>
      </c>
      <c r="X25" s="56">
        <v>0</v>
      </c>
      <c r="Y25" s="56">
        <v>0</v>
      </c>
      <c r="Z25" s="56">
        <v>13.606999999999999</v>
      </c>
      <c r="AA25" s="56">
        <v>155.48140000000001</v>
      </c>
      <c r="AB25" s="56">
        <v>0</v>
      </c>
      <c r="AC25" s="56">
        <v>0</v>
      </c>
      <c r="AD25" s="56">
        <v>46.675750000000001</v>
      </c>
      <c r="AE25" s="56">
        <v>3.17483</v>
      </c>
      <c r="AF25" s="56">
        <v>14.348319999999999</v>
      </c>
      <c r="AG25" s="56">
        <v>150.25545000000002</v>
      </c>
      <c r="AH25" s="56">
        <v>0</v>
      </c>
      <c r="AI25" s="56">
        <v>94.249200000000002</v>
      </c>
      <c r="AJ25" s="56">
        <v>0.49219999999999997</v>
      </c>
      <c r="AK25" s="56">
        <v>0</v>
      </c>
      <c r="AL25" s="56">
        <v>0</v>
      </c>
      <c r="AM25" s="56">
        <v>0</v>
      </c>
      <c r="AN25" s="56">
        <v>0</v>
      </c>
      <c r="AO25" s="56">
        <v>0</v>
      </c>
      <c r="AP25" s="56">
        <v>0</v>
      </c>
      <c r="AQ25" s="56">
        <v>42.790150000000004</v>
      </c>
      <c r="AR25" s="56">
        <v>0</v>
      </c>
      <c r="AS25" s="56">
        <v>0</v>
      </c>
      <c r="AT25" s="56">
        <v>0</v>
      </c>
      <c r="AU25" s="56">
        <v>32.32</v>
      </c>
      <c r="AV25" s="56">
        <v>0</v>
      </c>
      <c r="AW25" s="56">
        <v>0</v>
      </c>
      <c r="AX25" s="41">
        <f t="shared" si="0"/>
        <v>3312.6307099999999</v>
      </c>
    </row>
    <row r="26" spans="1:50" s="16" customFormat="1" x14ac:dyDescent="0.25">
      <c r="A26" s="2" t="s">
        <v>48</v>
      </c>
      <c r="B26" s="40">
        <v>6761.9191200000005</v>
      </c>
      <c r="C26" s="40">
        <v>612.3152</v>
      </c>
      <c r="D26" s="40">
        <v>850.01080000000002</v>
      </c>
      <c r="E26" s="40">
        <v>8.6999999999999993</v>
      </c>
      <c r="F26" s="40">
        <v>232.4254</v>
      </c>
      <c r="G26" s="40">
        <v>41.5</v>
      </c>
      <c r="H26" s="40">
        <v>124.64391999999999</v>
      </c>
      <c r="I26" s="40">
        <v>0</v>
      </c>
      <c r="J26" s="40">
        <v>11.938000000000001</v>
      </c>
      <c r="K26" s="40">
        <v>2134.2961</v>
      </c>
      <c r="L26" s="40">
        <v>184.00174999999999</v>
      </c>
      <c r="M26" s="40">
        <v>268.6773</v>
      </c>
      <c r="N26" s="40">
        <v>60.174219999999998</v>
      </c>
      <c r="O26" s="40">
        <v>0.70389999999999997</v>
      </c>
      <c r="P26" s="40">
        <v>0.3</v>
      </c>
      <c r="Q26" s="40">
        <v>0</v>
      </c>
      <c r="R26" s="40">
        <v>0</v>
      </c>
      <c r="S26" s="40">
        <v>30.81</v>
      </c>
      <c r="T26" s="40">
        <v>30.924160000000001</v>
      </c>
      <c r="U26" s="40">
        <v>0</v>
      </c>
      <c r="V26" s="56">
        <v>0</v>
      </c>
      <c r="W26" s="56">
        <v>0</v>
      </c>
      <c r="X26" s="56">
        <v>0</v>
      </c>
      <c r="Y26" s="56">
        <v>0</v>
      </c>
      <c r="Z26" s="56">
        <v>20.414000000000001</v>
      </c>
      <c r="AA26" s="56">
        <v>805.11893999999995</v>
      </c>
      <c r="AB26" s="56">
        <v>0</v>
      </c>
      <c r="AC26" s="56">
        <v>0</v>
      </c>
      <c r="AD26" s="56">
        <v>129.52070000000001</v>
      </c>
      <c r="AE26" s="56">
        <v>315.31711000000001</v>
      </c>
      <c r="AF26" s="56">
        <v>88.973820000000003</v>
      </c>
      <c r="AG26" s="56">
        <v>447.69490000000002</v>
      </c>
      <c r="AH26" s="56">
        <v>0</v>
      </c>
      <c r="AI26" s="56">
        <v>419.262</v>
      </c>
      <c r="AJ26" s="56">
        <v>2.0575000000000001</v>
      </c>
      <c r="AK26" s="56">
        <v>0</v>
      </c>
      <c r="AL26" s="56">
        <v>0</v>
      </c>
      <c r="AM26" s="56">
        <v>0</v>
      </c>
      <c r="AN26" s="56">
        <v>0</v>
      </c>
      <c r="AO26" s="56">
        <v>0</v>
      </c>
      <c r="AP26" s="56">
        <v>0</v>
      </c>
      <c r="AQ26" s="56">
        <v>90</v>
      </c>
      <c r="AR26" s="56">
        <v>12</v>
      </c>
      <c r="AS26" s="56">
        <v>0</v>
      </c>
      <c r="AT26" s="56">
        <v>168.89599999999999</v>
      </c>
      <c r="AU26" s="56">
        <v>488.07600000000002</v>
      </c>
      <c r="AV26" s="56">
        <v>0</v>
      </c>
      <c r="AW26" s="56">
        <v>0</v>
      </c>
      <c r="AX26" s="41">
        <f t="shared" si="0"/>
        <v>14340.670840000002</v>
      </c>
    </row>
    <row r="27" spans="1:50" s="16" customFormat="1" x14ac:dyDescent="0.25">
      <c r="A27" s="2" t="s">
        <v>49</v>
      </c>
      <c r="B27" s="40">
        <v>1680.69352</v>
      </c>
      <c r="C27" s="40">
        <v>56.241999999999997</v>
      </c>
      <c r="D27" s="40">
        <v>124.06399999999999</v>
      </c>
      <c r="E27" s="40">
        <v>3.6749999999999998</v>
      </c>
      <c r="F27" s="40">
        <v>29.628</v>
      </c>
      <c r="G27" s="40">
        <v>15</v>
      </c>
      <c r="H27" s="40">
        <v>45.327449999999999</v>
      </c>
      <c r="I27" s="40">
        <v>0</v>
      </c>
      <c r="J27" s="40">
        <v>0</v>
      </c>
      <c r="K27" s="40">
        <v>335.58641</v>
      </c>
      <c r="L27" s="40">
        <v>2.4072</v>
      </c>
      <c r="M27" s="40">
        <v>56.906959999999998</v>
      </c>
      <c r="N27" s="40">
        <v>5.48</v>
      </c>
      <c r="O27" s="40">
        <v>0</v>
      </c>
      <c r="P27" s="40">
        <v>4.2111999999999998</v>
      </c>
      <c r="Q27" s="40">
        <v>0</v>
      </c>
      <c r="R27" s="40">
        <v>0</v>
      </c>
      <c r="S27" s="40">
        <v>0</v>
      </c>
      <c r="T27" s="40">
        <v>5.7035900000000002</v>
      </c>
      <c r="U27" s="40">
        <v>0</v>
      </c>
      <c r="V27" s="56">
        <v>0</v>
      </c>
      <c r="W27" s="56">
        <v>16.8</v>
      </c>
      <c r="X27" s="56">
        <v>0</v>
      </c>
      <c r="Y27" s="56">
        <v>0</v>
      </c>
      <c r="Z27" s="56">
        <v>0</v>
      </c>
      <c r="AA27" s="56">
        <v>147.15485999999999</v>
      </c>
      <c r="AB27" s="56">
        <v>0</v>
      </c>
      <c r="AC27" s="56">
        <v>280.47934999999995</v>
      </c>
      <c r="AD27" s="56">
        <v>24.76285</v>
      </c>
      <c r="AE27" s="56">
        <v>1.6841900000000001</v>
      </c>
      <c r="AF27" s="56">
        <v>2.5041199999999999</v>
      </c>
      <c r="AG27" s="56">
        <v>1.232</v>
      </c>
      <c r="AH27" s="56">
        <v>0</v>
      </c>
      <c r="AI27" s="56">
        <v>67.049750000000003</v>
      </c>
      <c r="AJ27" s="56">
        <v>0.28889999999999999</v>
      </c>
      <c r="AK27" s="56">
        <v>0</v>
      </c>
      <c r="AL27" s="56">
        <v>0</v>
      </c>
      <c r="AM27" s="56">
        <v>0</v>
      </c>
      <c r="AN27" s="56">
        <v>0</v>
      </c>
      <c r="AO27" s="56">
        <v>0</v>
      </c>
      <c r="AP27" s="56">
        <v>0</v>
      </c>
      <c r="AQ27" s="56">
        <v>89</v>
      </c>
      <c r="AR27" s="56">
        <v>0</v>
      </c>
      <c r="AS27" s="56">
        <v>0.49204999999999999</v>
      </c>
      <c r="AT27" s="56">
        <v>12</v>
      </c>
      <c r="AU27" s="56">
        <v>100.2</v>
      </c>
      <c r="AV27" s="56">
        <v>0</v>
      </c>
      <c r="AW27" s="56">
        <v>0</v>
      </c>
      <c r="AX27" s="41">
        <f t="shared" si="0"/>
        <v>3108.5734000000002</v>
      </c>
    </row>
    <row r="28" spans="1:50" s="16" customFormat="1" x14ac:dyDescent="0.25">
      <c r="A28" s="2" t="s">
        <v>50</v>
      </c>
      <c r="B28" s="40">
        <v>2195.6650399999999</v>
      </c>
      <c r="C28" s="40">
        <v>36.85</v>
      </c>
      <c r="D28" s="40">
        <v>152</v>
      </c>
      <c r="E28" s="40">
        <v>10.125</v>
      </c>
      <c r="F28" s="40">
        <v>65.7</v>
      </c>
      <c r="G28" s="40">
        <v>0</v>
      </c>
      <c r="H28" s="40">
        <v>30.239099999999997</v>
      </c>
      <c r="I28" s="40">
        <v>0</v>
      </c>
      <c r="J28" s="40">
        <v>0</v>
      </c>
      <c r="K28" s="40">
        <v>560.94815000000006</v>
      </c>
      <c r="L28" s="40">
        <v>0.7722</v>
      </c>
      <c r="M28" s="40">
        <v>5.4229500000000002</v>
      </c>
      <c r="N28" s="40">
        <v>0.9</v>
      </c>
      <c r="O28" s="40">
        <v>0</v>
      </c>
      <c r="P28" s="40">
        <v>0</v>
      </c>
      <c r="Q28" s="40">
        <v>0</v>
      </c>
      <c r="R28" s="40">
        <v>0</v>
      </c>
      <c r="S28" s="40">
        <v>7.78</v>
      </c>
      <c r="T28" s="40">
        <v>8.416879999999999</v>
      </c>
      <c r="U28" s="40">
        <v>0</v>
      </c>
      <c r="V28" s="56">
        <v>0</v>
      </c>
      <c r="W28" s="56">
        <v>12.9</v>
      </c>
      <c r="X28" s="56">
        <v>0</v>
      </c>
      <c r="Y28" s="56">
        <v>0</v>
      </c>
      <c r="Z28" s="56">
        <v>0</v>
      </c>
      <c r="AA28" s="56">
        <v>77.540170000000003</v>
      </c>
      <c r="AB28" s="56">
        <v>0</v>
      </c>
      <c r="AC28" s="56">
        <v>0</v>
      </c>
      <c r="AD28" s="56">
        <v>44.282849999999996</v>
      </c>
      <c r="AE28" s="56">
        <v>45.05151</v>
      </c>
      <c r="AF28" s="56">
        <v>2.7341199999999999</v>
      </c>
      <c r="AG28" s="56">
        <v>2.0779999999999998</v>
      </c>
      <c r="AH28" s="56">
        <v>298.88099999999997</v>
      </c>
      <c r="AI28" s="56">
        <v>162.9325</v>
      </c>
      <c r="AJ28" s="56">
        <v>0.40085000000000004</v>
      </c>
      <c r="AK28" s="56">
        <v>0</v>
      </c>
      <c r="AL28" s="56">
        <v>0</v>
      </c>
      <c r="AM28" s="56">
        <v>0</v>
      </c>
      <c r="AN28" s="56">
        <v>0</v>
      </c>
      <c r="AO28" s="56">
        <v>0</v>
      </c>
      <c r="AP28" s="56">
        <v>0</v>
      </c>
      <c r="AQ28" s="56">
        <v>33</v>
      </c>
      <c r="AR28" s="56">
        <v>3</v>
      </c>
      <c r="AS28" s="56">
        <v>0</v>
      </c>
      <c r="AT28" s="56">
        <v>23.693000000000001</v>
      </c>
      <c r="AU28" s="56">
        <v>121.523</v>
      </c>
      <c r="AV28" s="56">
        <v>0</v>
      </c>
      <c r="AW28" s="56">
        <v>0</v>
      </c>
      <c r="AX28" s="41">
        <f t="shared" si="0"/>
        <v>3902.8363200000003</v>
      </c>
    </row>
    <row r="29" spans="1:50" s="16" customFormat="1" x14ac:dyDescent="0.25">
      <c r="A29" s="2" t="s">
        <v>51</v>
      </c>
      <c r="B29" s="40">
        <v>4874.2428899999995</v>
      </c>
      <c r="C29" s="40">
        <v>1746.2156</v>
      </c>
      <c r="D29" s="40">
        <v>249.005</v>
      </c>
      <c r="E29" s="40">
        <v>15.8</v>
      </c>
      <c r="F29" s="40">
        <v>32.585999999999999</v>
      </c>
      <c r="G29" s="40">
        <v>0</v>
      </c>
      <c r="H29" s="40">
        <v>83.496200000000002</v>
      </c>
      <c r="I29" s="40">
        <v>0</v>
      </c>
      <c r="J29" s="40">
        <v>1</v>
      </c>
      <c r="K29" s="40">
        <v>731.42969999999991</v>
      </c>
      <c r="L29" s="40">
        <v>12.9274</v>
      </c>
      <c r="M29" s="40">
        <v>61.378300000000003</v>
      </c>
      <c r="N29" s="40">
        <v>2.15</v>
      </c>
      <c r="O29" s="40">
        <v>0</v>
      </c>
      <c r="P29" s="40">
        <v>13.12725</v>
      </c>
      <c r="Q29" s="40">
        <v>0</v>
      </c>
      <c r="R29" s="40">
        <v>0</v>
      </c>
      <c r="S29" s="40">
        <v>3.9764499999999998</v>
      </c>
      <c r="T29" s="40">
        <v>15.6869</v>
      </c>
      <c r="U29" s="40">
        <v>0</v>
      </c>
      <c r="V29" s="56">
        <v>0</v>
      </c>
      <c r="W29" s="56">
        <v>0.96</v>
      </c>
      <c r="X29" s="56">
        <v>0</v>
      </c>
      <c r="Y29" s="56">
        <v>0</v>
      </c>
      <c r="Z29" s="56">
        <v>0</v>
      </c>
      <c r="AA29" s="56">
        <v>517.51684</v>
      </c>
      <c r="AB29" s="56">
        <v>0</v>
      </c>
      <c r="AC29" s="56">
        <v>0</v>
      </c>
      <c r="AD29" s="56">
        <v>91.519649999999999</v>
      </c>
      <c r="AE29" s="56">
        <v>55.677639999999997</v>
      </c>
      <c r="AF29" s="56">
        <v>251.00576000000001</v>
      </c>
      <c r="AG29" s="56">
        <v>5.0143999999999993</v>
      </c>
      <c r="AH29" s="56">
        <v>0</v>
      </c>
      <c r="AI29" s="56">
        <v>229.64904999999999</v>
      </c>
      <c r="AJ29" s="56">
        <v>0</v>
      </c>
      <c r="AK29" s="56">
        <v>0</v>
      </c>
      <c r="AL29" s="56">
        <v>0</v>
      </c>
      <c r="AM29" s="56">
        <v>0</v>
      </c>
      <c r="AN29" s="56">
        <v>0</v>
      </c>
      <c r="AO29" s="56">
        <v>0</v>
      </c>
      <c r="AP29" s="56">
        <v>0</v>
      </c>
      <c r="AQ29" s="56">
        <v>260.31239999999997</v>
      </c>
      <c r="AR29" s="56">
        <v>0</v>
      </c>
      <c r="AS29" s="56">
        <v>2.85</v>
      </c>
      <c r="AT29" s="56">
        <v>0</v>
      </c>
      <c r="AU29" s="56">
        <v>21.681000000000001</v>
      </c>
      <c r="AV29" s="56">
        <v>0</v>
      </c>
      <c r="AW29" s="56">
        <v>0</v>
      </c>
      <c r="AX29" s="41">
        <f t="shared" si="0"/>
        <v>9279.2084299999988</v>
      </c>
    </row>
    <row r="30" spans="1:50" s="16" customFormat="1" x14ac:dyDescent="0.25">
      <c r="A30" s="2" t="s">
        <v>52</v>
      </c>
      <c r="B30" s="40">
        <v>5528.4698399999997</v>
      </c>
      <c r="C30" s="40">
        <v>1208.4841699999999</v>
      </c>
      <c r="D30" s="40">
        <v>500</v>
      </c>
      <c r="E30" s="40">
        <v>27.36</v>
      </c>
      <c r="F30" s="40">
        <v>181.88264999999998</v>
      </c>
      <c r="G30" s="40">
        <v>0</v>
      </c>
      <c r="H30" s="40">
        <v>63.894300000000001</v>
      </c>
      <c r="I30" s="40">
        <v>0</v>
      </c>
      <c r="J30" s="40">
        <v>7.3674999999999997</v>
      </c>
      <c r="K30" s="40">
        <v>1357.2492500000001</v>
      </c>
      <c r="L30" s="40">
        <v>13.73</v>
      </c>
      <c r="M30" s="40">
        <v>182.07232000000002</v>
      </c>
      <c r="N30" s="40">
        <v>6.6</v>
      </c>
      <c r="O30" s="40">
        <v>0</v>
      </c>
      <c r="P30" s="40">
        <v>17.425650000000001</v>
      </c>
      <c r="Q30" s="40">
        <v>0</v>
      </c>
      <c r="R30" s="40">
        <v>0</v>
      </c>
      <c r="S30" s="40">
        <v>0</v>
      </c>
      <c r="T30" s="40">
        <v>243.93135999999998</v>
      </c>
      <c r="U30" s="40">
        <v>0</v>
      </c>
      <c r="V30" s="56">
        <v>0</v>
      </c>
      <c r="W30" s="56">
        <v>0</v>
      </c>
      <c r="X30" s="56">
        <v>0</v>
      </c>
      <c r="Y30" s="56">
        <v>0</v>
      </c>
      <c r="Z30" s="56">
        <v>0</v>
      </c>
      <c r="AA30" s="56">
        <v>36.751949999999994</v>
      </c>
      <c r="AB30" s="56">
        <v>0</v>
      </c>
      <c r="AC30" s="56">
        <v>0</v>
      </c>
      <c r="AD30" s="56">
        <v>74.449100000000001</v>
      </c>
      <c r="AE30" s="56">
        <v>119.92187</v>
      </c>
      <c r="AF30" s="56">
        <v>195.33323000000001</v>
      </c>
      <c r="AG30" s="56">
        <v>131.18204999999998</v>
      </c>
      <c r="AH30" s="56">
        <v>2224.625</v>
      </c>
      <c r="AI30" s="56">
        <v>741.43650000000002</v>
      </c>
      <c r="AJ30" s="56">
        <v>2.2400500000000001</v>
      </c>
      <c r="AK30" s="56">
        <v>0</v>
      </c>
      <c r="AL30" s="56">
        <v>0</v>
      </c>
      <c r="AM30" s="56">
        <v>0</v>
      </c>
      <c r="AN30" s="56">
        <v>0</v>
      </c>
      <c r="AO30" s="56">
        <v>0</v>
      </c>
      <c r="AP30" s="56">
        <v>0</v>
      </c>
      <c r="AQ30" s="56">
        <v>667.4636999999999</v>
      </c>
      <c r="AR30" s="56">
        <v>0</v>
      </c>
      <c r="AS30" s="56">
        <v>104.5</v>
      </c>
      <c r="AT30" s="56">
        <v>26.2</v>
      </c>
      <c r="AU30" s="56">
        <v>252.90967999999998</v>
      </c>
      <c r="AV30" s="56">
        <v>0</v>
      </c>
      <c r="AW30" s="56">
        <v>0</v>
      </c>
      <c r="AX30" s="41">
        <f t="shared" si="0"/>
        <v>13915.480169999999</v>
      </c>
    </row>
    <row r="31" spans="1:50" s="16" customFormat="1" x14ac:dyDescent="0.25">
      <c r="A31" s="2" t="s">
        <v>9</v>
      </c>
      <c r="B31" s="40">
        <v>89.840890000000002</v>
      </c>
      <c r="C31" s="40">
        <v>34</v>
      </c>
      <c r="D31" s="40">
        <v>21</v>
      </c>
      <c r="E31" s="40">
        <v>0.7</v>
      </c>
      <c r="F31" s="40">
        <v>24.46</v>
      </c>
      <c r="G31" s="40">
        <v>0</v>
      </c>
      <c r="H31" s="40">
        <v>5.0431000000000008</v>
      </c>
      <c r="I31" s="40">
        <v>0</v>
      </c>
      <c r="J31" s="40">
        <v>0</v>
      </c>
      <c r="K31" s="40">
        <v>18.925000000000001</v>
      </c>
      <c r="L31" s="40">
        <v>0</v>
      </c>
      <c r="M31" s="40">
        <v>21.810200000000002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8.5471500000000002</v>
      </c>
      <c r="U31" s="40">
        <v>0</v>
      </c>
      <c r="V31" s="56">
        <v>0</v>
      </c>
      <c r="W31" s="56">
        <v>0</v>
      </c>
      <c r="X31" s="56">
        <v>0</v>
      </c>
      <c r="Y31" s="56">
        <v>0</v>
      </c>
      <c r="Z31" s="56">
        <v>256.61700000000002</v>
      </c>
      <c r="AA31" s="56">
        <v>0</v>
      </c>
      <c r="AB31" s="56">
        <v>0</v>
      </c>
      <c r="AC31" s="56">
        <v>0</v>
      </c>
      <c r="AD31" s="56">
        <v>1.22</v>
      </c>
      <c r="AE31" s="56">
        <v>0</v>
      </c>
      <c r="AF31" s="56">
        <v>6.0203199999999999</v>
      </c>
      <c r="AG31" s="56">
        <v>0.58599999999999997</v>
      </c>
      <c r="AH31" s="56">
        <v>285</v>
      </c>
      <c r="AI31" s="56">
        <v>33.898949999999999</v>
      </c>
      <c r="AJ31" s="56">
        <v>0</v>
      </c>
      <c r="AK31" s="56">
        <v>0</v>
      </c>
      <c r="AL31" s="56">
        <v>0</v>
      </c>
      <c r="AM31" s="56">
        <v>0</v>
      </c>
      <c r="AN31" s="56">
        <v>0</v>
      </c>
      <c r="AO31" s="56">
        <v>0</v>
      </c>
      <c r="AP31" s="56">
        <v>0</v>
      </c>
      <c r="AQ31" s="56">
        <v>0</v>
      </c>
      <c r="AR31" s="56">
        <v>0</v>
      </c>
      <c r="AS31" s="56">
        <v>0</v>
      </c>
      <c r="AT31" s="56">
        <v>0</v>
      </c>
      <c r="AU31" s="56">
        <v>0</v>
      </c>
      <c r="AV31" s="56">
        <v>0</v>
      </c>
      <c r="AW31" s="56">
        <v>0</v>
      </c>
      <c r="AX31" s="41">
        <f t="shared" si="0"/>
        <v>807.66861000000017</v>
      </c>
    </row>
    <row r="32" spans="1:50" s="16" customFormat="1" x14ac:dyDescent="0.25">
      <c r="A32" s="2" t="s">
        <v>10</v>
      </c>
      <c r="B32" s="40">
        <v>7733.3708299999998</v>
      </c>
      <c r="C32" s="40">
        <v>250</v>
      </c>
      <c r="D32" s="40">
        <v>300</v>
      </c>
      <c r="E32" s="40">
        <v>20.7</v>
      </c>
      <c r="F32" s="40">
        <v>36.000999999999998</v>
      </c>
      <c r="G32" s="40">
        <v>3.5</v>
      </c>
      <c r="H32" s="40">
        <v>71.518199999999993</v>
      </c>
      <c r="I32" s="40">
        <v>0</v>
      </c>
      <c r="J32" s="40">
        <v>0</v>
      </c>
      <c r="K32" s="40">
        <v>496.05240000000003</v>
      </c>
      <c r="L32" s="40">
        <v>4.0043499999999996</v>
      </c>
      <c r="M32" s="40">
        <v>103.20075</v>
      </c>
      <c r="N32" s="40">
        <v>0.4</v>
      </c>
      <c r="O32" s="40">
        <v>5.1119500000000002</v>
      </c>
      <c r="P32" s="40">
        <v>0</v>
      </c>
      <c r="Q32" s="40">
        <v>0</v>
      </c>
      <c r="R32" s="40">
        <v>0</v>
      </c>
      <c r="S32" s="40">
        <v>0</v>
      </c>
      <c r="T32" s="40">
        <v>47.313400000000001</v>
      </c>
      <c r="U32" s="40">
        <v>0</v>
      </c>
      <c r="V32" s="56">
        <v>0</v>
      </c>
      <c r="W32" s="56">
        <v>77.994399999999999</v>
      </c>
      <c r="X32" s="56">
        <v>0</v>
      </c>
      <c r="Y32" s="56">
        <v>0</v>
      </c>
      <c r="Z32" s="56">
        <v>0</v>
      </c>
      <c r="AA32" s="56">
        <v>123.1767</v>
      </c>
      <c r="AB32" s="56">
        <v>0</v>
      </c>
      <c r="AC32" s="56">
        <v>0</v>
      </c>
      <c r="AD32" s="56">
        <v>95.023099999999999</v>
      </c>
      <c r="AE32" s="56">
        <v>53.458599999999997</v>
      </c>
      <c r="AF32" s="56">
        <v>11.355799999999999</v>
      </c>
      <c r="AG32" s="56">
        <v>111.2418</v>
      </c>
      <c r="AH32" s="56">
        <v>0</v>
      </c>
      <c r="AI32" s="56">
        <v>307.49905000000001</v>
      </c>
      <c r="AJ32" s="56">
        <v>1.6328</v>
      </c>
      <c r="AK32" s="56">
        <v>0</v>
      </c>
      <c r="AL32" s="56">
        <v>0</v>
      </c>
      <c r="AM32" s="56">
        <v>0</v>
      </c>
      <c r="AN32" s="56">
        <v>0</v>
      </c>
      <c r="AO32" s="56">
        <v>0</v>
      </c>
      <c r="AP32" s="56">
        <v>0</v>
      </c>
      <c r="AQ32" s="56">
        <v>44</v>
      </c>
      <c r="AR32" s="56">
        <v>0</v>
      </c>
      <c r="AS32" s="56">
        <v>0</v>
      </c>
      <c r="AT32" s="56">
        <v>58.28</v>
      </c>
      <c r="AU32" s="56">
        <v>26.4</v>
      </c>
      <c r="AV32" s="56">
        <v>0</v>
      </c>
      <c r="AW32" s="56">
        <v>0</v>
      </c>
      <c r="AX32" s="41">
        <f t="shared" si="0"/>
        <v>9981.2351300000009</v>
      </c>
    </row>
    <row r="33" spans="1:50" s="16" customFormat="1" x14ac:dyDescent="0.25">
      <c r="A33" s="2" t="s">
        <v>53</v>
      </c>
      <c r="B33" s="40">
        <v>15679.875880000001</v>
      </c>
      <c r="C33" s="40">
        <v>494.30905000000001</v>
      </c>
      <c r="D33" s="40">
        <v>820</v>
      </c>
      <c r="E33" s="40">
        <v>64.760000000000005</v>
      </c>
      <c r="F33" s="40">
        <v>244.94725</v>
      </c>
      <c r="G33" s="40">
        <v>85</v>
      </c>
      <c r="H33" s="40">
        <v>335.03071999999997</v>
      </c>
      <c r="I33" s="40">
        <v>0</v>
      </c>
      <c r="J33" s="40">
        <v>0</v>
      </c>
      <c r="K33" s="40">
        <v>3889.1877799999997</v>
      </c>
      <c r="L33" s="40">
        <v>8.7885400000000011</v>
      </c>
      <c r="M33" s="40">
        <v>229.14246</v>
      </c>
      <c r="N33" s="40">
        <v>262.47856999999999</v>
      </c>
      <c r="O33" s="40">
        <v>17.037400000000002</v>
      </c>
      <c r="P33" s="40">
        <v>192.03268</v>
      </c>
      <c r="Q33" s="40">
        <v>59.5</v>
      </c>
      <c r="R33" s="40">
        <v>0</v>
      </c>
      <c r="S33" s="40">
        <v>46.867849999999997</v>
      </c>
      <c r="T33" s="40">
        <v>104.68856</v>
      </c>
      <c r="U33" s="40">
        <v>0</v>
      </c>
      <c r="V33" s="56">
        <v>0</v>
      </c>
      <c r="W33" s="56">
        <v>74.203500000000005</v>
      </c>
      <c r="X33" s="56">
        <v>0</v>
      </c>
      <c r="Y33" s="56">
        <v>0</v>
      </c>
      <c r="Z33" s="56">
        <v>0</v>
      </c>
      <c r="AA33" s="56">
        <v>967.31806999999992</v>
      </c>
      <c r="AB33" s="56">
        <v>0</v>
      </c>
      <c r="AC33" s="56">
        <v>0</v>
      </c>
      <c r="AD33" s="56">
        <v>421.63024999999999</v>
      </c>
      <c r="AE33" s="56">
        <v>296.49844999999999</v>
      </c>
      <c r="AF33" s="56">
        <v>18.571360000000002</v>
      </c>
      <c r="AG33" s="56">
        <v>1095.30115</v>
      </c>
      <c r="AH33" s="56">
        <v>5440.8890000000001</v>
      </c>
      <c r="AI33" s="56">
        <v>2009.61095</v>
      </c>
      <c r="AJ33" s="56">
        <v>6.8606499999999997</v>
      </c>
      <c r="AK33" s="56">
        <v>0</v>
      </c>
      <c r="AL33" s="56">
        <v>0</v>
      </c>
      <c r="AM33" s="56">
        <v>0</v>
      </c>
      <c r="AN33" s="56">
        <v>0</v>
      </c>
      <c r="AO33" s="56">
        <v>0</v>
      </c>
      <c r="AP33" s="56">
        <v>0</v>
      </c>
      <c r="AQ33" s="56">
        <v>664</v>
      </c>
      <c r="AR33" s="56">
        <v>18</v>
      </c>
      <c r="AS33" s="56">
        <v>188.49299999999999</v>
      </c>
      <c r="AT33" s="56">
        <v>333.19</v>
      </c>
      <c r="AU33" s="56">
        <v>855.49149999999997</v>
      </c>
      <c r="AV33" s="56">
        <v>0</v>
      </c>
      <c r="AW33" s="56">
        <v>7</v>
      </c>
      <c r="AX33" s="41">
        <f t="shared" si="0"/>
        <v>34930.704620000004</v>
      </c>
    </row>
    <row r="34" spans="1:50" s="16" customFormat="1" x14ac:dyDescent="0.25">
      <c r="A34" s="2" t="s">
        <v>54</v>
      </c>
      <c r="B34" s="40">
        <v>10517.913430000001</v>
      </c>
      <c r="C34" s="40">
        <v>900</v>
      </c>
      <c r="D34" s="40">
        <v>715</v>
      </c>
      <c r="E34" s="40">
        <v>17.05</v>
      </c>
      <c r="F34" s="40">
        <v>154.89349999999999</v>
      </c>
      <c r="G34" s="40">
        <v>16</v>
      </c>
      <c r="H34" s="40">
        <v>183.37389999999999</v>
      </c>
      <c r="I34" s="40">
        <v>0</v>
      </c>
      <c r="J34" s="40">
        <v>0</v>
      </c>
      <c r="K34" s="40">
        <v>1580.9733000000001</v>
      </c>
      <c r="L34" s="40">
        <v>271.33790000000005</v>
      </c>
      <c r="M34" s="40">
        <v>129.82275000000001</v>
      </c>
      <c r="N34" s="40">
        <v>348.02429999999998</v>
      </c>
      <c r="O34" s="40">
        <v>0</v>
      </c>
      <c r="P34" s="40">
        <v>26.860569999999999</v>
      </c>
      <c r="Q34" s="40">
        <v>0</v>
      </c>
      <c r="R34" s="40">
        <v>0</v>
      </c>
      <c r="S34" s="40">
        <v>27.5</v>
      </c>
      <c r="T34" s="40">
        <v>37.318649999999998</v>
      </c>
      <c r="U34" s="40">
        <v>0</v>
      </c>
      <c r="V34" s="56">
        <v>0</v>
      </c>
      <c r="W34" s="56">
        <v>0</v>
      </c>
      <c r="X34" s="56">
        <v>0</v>
      </c>
      <c r="Y34" s="56">
        <v>0</v>
      </c>
      <c r="Z34" s="56">
        <v>0</v>
      </c>
      <c r="AA34" s="56">
        <v>312.61579999999998</v>
      </c>
      <c r="AB34" s="56">
        <v>0</v>
      </c>
      <c r="AC34" s="56">
        <v>0</v>
      </c>
      <c r="AD34" s="56">
        <v>93.237839999999991</v>
      </c>
      <c r="AE34" s="56">
        <v>638.43522999999993</v>
      </c>
      <c r="AF34" s="56">
        <v>36.935040000000001</v>
      </c>
      <c r="AG34" s="56">
        <v>1257.0363</v>
      </c>
      <c r="AH34" s="56">
        <v>581.74699999999996</v>
      </c>
      <c r="AI34" s="56">
        <v>1253.0871000000002</v>
      </c>
      <c r="AJ34" s="56">
        <v>3.5919499999999998</v>
      </c>
      <c r="AK34" s="56">
        <v>0</v>
      </c>
      <c r="AL34" s="56">
        <v>0</v>
      </c>
      <c r="AM34" s="56">
        <v>0</v>
      </c>
      <c r="AN34" s="56">
        <v>0</v>
      </c>
      <c r="AO34" s="56">
        <v>0</v>
      </c>
      <c r="AP34" s="56">
        <v>0</v>
      </c>
      <c r="AQ34" s="56">
        <v>296.3</v>
      </c>
      <c r="AR34" s="56">
        <v>0</v>
      </c>
      <c r="AS34" s="56">
        <v>34</v>
      </c>
      <c r="AT34" s="56">
        <v>149.20645000000002</v>
      </c>
      <c r="AU34" s="56">
        <v>376.54734999999999</v>
      </c>
      <c r="AV34" s="56">
        <v>0</v>
      </c>
      <c r="AW34" s="56">
        <v>0</v>
      </c>
      <c r="AX34" s="41">
        <f t="shared" si="0"/>
        <v>19958.808360000003</v>
      </c>
    </row>
    <row r="35" spans="1:50" s="16" customFormat="1" x14ac:dyDescent="0.25">
      <c r="A35" s="2" t="s">
        <v>55</v>
      </c>
      <c r="B35" s="40">
        <v>7833.4580300000007</v>
      </c>
      <c r="C35" s="40">
        <v>982</v>
      </c>
      <c r="D35" s="40">
        <v>327</v>
      </c>
      <c r="E35" s="40">
        <v>20.774999999999999</v>
      </c>
      <c r="F35" s="40">
        <v>128.05549999999999</v>
      </c>
      <c r="G35" s="40">
        <v>0</v>
      </c>
      <c r="H35" s="40">
        <v>65.258349999999993</v>
      </c>
      <c r="I35" s="40">
        <v>0</v>
      </c>
      <c r="J35" s="40">
        <v>0</v>
      </c>
      <c r="K35" s="40">
        <v>975.50225</v>
      </c>
      <c r="L35" s="40">
        <v>40.322199999999995</v>
      </c>
      <c r="M35" s="40">
        <v>47.429259999999999</v>
      </c>
      <c r="N35" s="40">
        <v>5.7149999999999999</v>
      </c>
      <c r="O35" s="40">
        <v>0</v>
      </c>
      <c r="P35" s="40">
        <v>0</v>
      </c>
      <c r="Q35" s="40">
        <v>0</v>
      </c>
      <c r="R35" s="40">
        <v>0</v>
      </c>
      <c r="S35" s="40">
        <v>0</v>
      </c>
      <c r="T35" s="40">
        <v>16.67324</v>
      </c>
      <c r="U35" s="40">
        <v>0</v>
      </c>
      <c r="V35" s="56">
        <v>0</v>
      </c>
      <c r="W35" s="56">
        <v>27.981570000000001</v>
      </c>
      <c r="X35" s="56">
        <v>0</v>
      </c>
      <c r="Y35" s="56">
        <v>0</v>
      </c>
      <c r="Z35" s="56">
        <v>0</v>
      </c>
      <c r="AA35" s="56">
        <v>299.04126000000002</v>
      </c>
      <c r="AB35" s="56">
        <v>0</v>
      </c>
      <c r="AC35" s="56">
        <v>0</v>
      </c>
      <c r="AD35" s="56">
        <v>140</v>
      </c>
      <c r="AE35" s="56">
        <v>200.39111</v>
      </c>
      <c r="AF35" s="56">
        <v>86.166409999999999</v>
      </c>
      <c r="AG35" s="56">
        <v>159.3783</v>
      </c>
      <c r="AH35" s="56">
        <v>38</v>
      </c>
      <c r="AI35" s="56">
        <v>316.65140000000002</v>
      </c>
      <c r="AJ35" s="56">
        <v>0</v>
      </c>
      <c r="AK35" s="56">
        <v>0</v>
      </c>
      <c r="AL35" s="56">
        <v>0</v>
      </c>
      <c r="AM35" s="56">
        <v>0</v>
      </c>
      <c r="AN35" s="56">
        <v>0</v>
      </c>
      <c r="AO35" s="56">
        <v>0</v>
      </c>
      <c r="AP35" s="56">
        <v>0</v>
      </c>
      <c r="AQ35" s="56">
        <v>40.801400000000001</v>
      </c>
      <c r="AR35" s="56">
        <v>0</v>
      </c>
      <c r="AS35" s="56">
        <v>53.133000000000003</v>
      </c>
      <c r="AT35" s="56">
        <v>0</v>
      </c>
      <c r="AU35" s="56">
        <v>190.15979999999999</v>
      </c>
      <c r="AV35" s="56">
        <v>0</v>
      </c>
      <c r="AW35" s="56">
        <v>0</v>
      </c>
      <c r="AX35" s="41">
        <f t="shared" ref="AX35:AX66" si="1">SUM(B35:AW35)</f>
        <v>11993.893080000003</v>
      </c>
    </row>
    <row r="36" spans="1:50" s="16" customFormat="1" x14ac:dyDescent="0.25">
      <c r="A36" s="2" t="s">
        <v>56</v>
      </c>
      <c r="B36" s="40">
        <v>2170.5937300000001</v>
      </c>
      <c r="C36" s="40">
        <v>120</v>
      </c>
      <c r="D36" s="40">
        <v>230</v>
      </c>
      <c r="E36" s="40">
        <v>12.225</v>
      </c>
      <c r="F36" s="40">
        <v>81.665000000000006</v>
      </c>
      <c r="G36" s="40">
        <v>4</v>
      </c>
      <c r="H36" s="40">
        <v>53.843699999999998</v>
      </c>
      <c r="I36" s="40">
        <v>0</v>
      </c>
      <c r="J36" s="40">
        <v>0</v>
      </c>
      <c r="K36" s="40">
        <v>1042.66545</v>
      </c>
      <c r="L36" s="40">
        <v>41.635669999999998</v>
      </c>
      <c r="M36" s="40">
        <v>47.221550000000001</v>
      </c>
      <c r="N36" s="40">
        <v>13.54</v>
      </c>
      <c r="O36" s="40">
        <v>0</v>
      </c>
      <c r="P36" s="40">
        <v>0</v>
      </c>
      <c r="Q36" s="40">
        <v>0</v>
      </c>
      <c r="R36" s="40">
        <v>0</v>
      </c>
      <c r="S36" s="40">
        <v>0</v>
      </c>
      <c r="T36" s="40">
        <v>26.576889999999999</v>
      </c>
      <c r="U36" s="40">
        <v>7.1999999999999998E-3</v>
      </c>
      <c r="V36" s="56">
        <v>0</v>
      </c>
      <c r="W36" s="56">
        <v>86.356399999999994</v>
      </c>
      <c r="X36" s="56">
        <v>0</v>
      </c>
      <c r="Y36" s="56">
        <v>0</v>
      </c>
      <c r="Z36" s="56">
        <v>2.9790000000000001</v>
      </c>
      <c r="AA36" s="56">
        <v>111.39580000000001</v>
      </c>
      <c r="AB36" s="56">
        <v>0</v>
      </c>
      <c r="AC36" s="56">
        <v>0</v>
      </c>
      <c r="AD36" s="56">
        <v>49.921599999999998</v>
      </c>
      <c r="AE36" s="56">
        <v>33.459699999999998</v>
      </c>
      <c r="AF36" s="56">
        <v>250.22302999999999</v>
      </c>
      <c r="AG36" s="56">
        <v>120.84399999999999</v>
      </c>
      <c r="AH36" s="56">
        <v>1236.0550000000001</v>
      </c>
      <c r="AI36" s="56">
        <v>592.95215000000007</v>
      </c>
      <c r="AJ36" s="56">
        <v>0.95255000000000001</v>
      </c>
      <c r="AK36" s="56">
        <v>0</v>
      </c>
      <c r="AL36" s="56">
        <v>0</v>
      </c>
      <c r="AM36" s="56">
        <v>0</v>
      </c>
      <c r="AN36" s="56">
        <v>0</v>
      </c>
      <c r="AO36" s="56">
        <v>0</v>
      </c>
      <c r="AP36" s="56">
        <v>0</v>
      </c>
      <c r="AQ36" s="56">
        <v>563.79999999999995</v>
      </c>
      <c r="AR36" s="56">
        <v>0</v>
      </c>
      <c r="AS36" s="56">
        <v>25.49</v>
      </c>
      <c r="AT36" s="56">
        <v>52.828000000000003</v>
      </c>
      <c r="AU36" s="56">
        <v>307.80599999999998</v>
      </c>
      <c r="AV36" s="56">
        <v>0</v>
      </c>
      <c r="AW36" s="56">
        <v>0</v>
      </c>
      <c r="AX36" s="41">
        <f t="shared" si="1"/>
        <v>7279.0374200000006</v>
      </c>
    </row>
    <row r="37" spans="1:50" s="16" customFormat="1" x14ac:dyDescent="0.25">
      <c r="A37" s="2" t="s">
        <v>57</v>
      </c>
      <c r="B37" s="40">
        <v>87.350759999999994</v>
      </c>
      <c r="C37" s="40">
        <v>38</v>
      </c>
      <c r="D37" s="40">
        <v>11.013</v>
      </c>
      <c r="E37" s="40">
        <v>0.24</v>
      </c>
      <c r="F37" s="40">
        <v>11.608000000000001</v>
      </c>
      <c r="G37" s="40">
        <v>0</v>
      </c>
      <c r="H37" s="40">
        <v>2.8420000000000001</v>
      </c>
      <c r="I37" s="40">
        <v>0</v>
      </c>
      <c r="J37" s="40">
        <v>0</v>
      </c>
      <c r="K37" s="40">
        <v>74.213719999999995</v>
      </c>
      <c r="L37" s="40">
        <v>0</v>
      </c>
      <c r="M37" s="40">
        <v>4.79</v>
      </c>
      <c r="N37" s="40">
        <v>0.02</v>
      </c>
      <c r="O37" s="40">
        <v>0</v>
      </c>
      <c r="P37" s="40">
        <v>0.60785</v>
      </c>
      <c r="Q37" s="40">
        <v>0</v>
      </c>
      <c r="R37" s="40">
        <v>0</v>
      </c>
      <c r="S37" s="40">
        <v>0</v>
      </c>
      <c r="T37" s="40">
        <v>2.8024499999999999</v>
      </c>
      <c r="U37" s="40">
        <v>0</v>
      </c>
      <c r="V37" s="56">
        <v>0</v>
      </c>
      <c r="W37" s="56">
        <v>0</v>
      </c>
      <c r="X37" s="56">
        <v>0</v>
      </c>
      <c r="Y37" s="56">
        <v>0</v>
      </c>
      <c r="Z37" s="56">
        <v>1.1910000000000001</v>
      </c>
      <c r="AA37" s="56">
        <v>0</v>
      </c>
      <c r="AB37" s="56">
        <v>0</v>
      </c>
      <c r="AC37" s="56">
        <v>0</v>
      </c>
      <c r="AD37" s="56">
        <v>0</v>
      </c>
      <c r="AE37" s="56">
        <v>0</v>
      </c>
      <c r="AF37" s="56">
        <v>31.643999999999998</v>
      </c>
      <c r="AG37" s="56">
        <v>15.2958</v>
      </c>
      <c r="AH37" s="56">
        <v>174.059</v>
      </c>
      <c r="AI37" s="56">
        <v>16.313500000000001</v>
      </c>
      <c r="AJ37" s="56">
        <v>0</v>
      </c>
      <c r="AK37" s="56">
        <v>0</v>
      </c>
      <c r="AL37" s="56">
        <v>0</v>
      </c>
      <c r="AM37" s="56">
        <v>0</v>
      </c>
      <c r="AN37" s="56">
        <v>0</v>
      </c>
      <c r="AO37" s="56">
        <v>0</v>
      </c>
      <c r="AP37" s="56">
        <v>0</v>
      </c>
      <c r="AQ37" s="56">
        <v>0</v>
      </c>
      <c r="AR37" s="56">
        <v>0</v>
      </c>
      <c r="AS37" s="56">
        <v>0</v>
      </c>
      <c r="AT37" s="56">
        <v>0</v>
      </c>
      <c r="AU37" s="56">
        <v>0</v>
      </c>
      <c r="AV37" s="56">
        <v>0</v>
      </c>
      <c r="AW37" s="56">
        <v>0</v>
      </c>
      <c r="AX37" s="41">
        <f t="shared" si="1"/>
        <v>471.99108000000001</v>
      </c>
    </row>
    <row r="38" spans="1:50" s="16" customFormat="1" x14ac:dyDescent="0.25">
      <c r="A38" s="2" t="s">
        <v>58</v>
      </c>
      <c r="B38" s="40">
        <v>1928.0981000000002</v>
      </c>
      <c r="C38" s="40">
        <v>-1.679</v>
      </c>
      <c r="D38" s="40">
        <v>483.88</v>
      </c>
      <c r="E38" s="40">
        <v>11.05</v>
      </c>
      <c r="F38" s="40">
        <v>152.05799999999999</v>
      </c>
      <c r="G38" s="40">
        <v>-2</v>
      </c>
      <c r="H38" s="40">
        <v>35.631800000000005</v>
      </c>
      <c r="I38" s="40">
        <v>0</v>
      </c>
      <c r="J38" s="40">
        <v>0</v>
      </c>
      <c r="K38" s="40">
        <v>619.91269999999997</v>
      </c>
      <c r="L38" s="40">
        <v>11.806700000000001</v>
      </c>
      <c r="M38" s="40">
        <v>96.041730000000001</v>
      </c>
      <c r="N38" s="40">
        <v>0.94</v>
      </c>
      <c r="O38" s="40">
        <v>0</v>
      </c>
      <c r="P38" s="40">
        <v>20</v>
      </c>
      <c r="Q38" s="40">
        <v>0</v>
      </c>
      <c r="R38" s="40">
        <v>0</v>
      </c>
      <c r="S38" s="40">
        <v>0</v>
      </c>
      <c r="T38" s="40">
        <v>6.7106400000000006</v>
      </c>
      <c r="U38" s="40">
        <v>6.9691000000000001</v>
      </c>
      <c r="V38" s="56">
        <v>0</v>
      </c>
      <c r="W38" s="56">
        <v>197.0146</v>
      </c>
      <c r="X38" s="56">
        <v>0</v>
      </c>
      <c r="Y38" s="56">
        <v>0</v>
      </c>
      <c r="Z38" s="56">
        <v>20.114999999999998</v>
      </c>
      <c r="AA38" s="56">
        <v>75.032139999999998</v>
      </c>
      <c r="AB38" s="56">
        <v>0</v>
      </c>
      <c r="AC38" s="56">
        <v>0</v>
      </c>
      <c r="AD38" s="56">
        <v>106.67610000000001</v>
      </c>
      <c r="AE38" s="56">
        <v>85.126190000000008</v>
      </c>
      <c r="AF38" s="56">
        <v>146.63464999999999</v>
      </c>
      <c r="AG38" s="56">
        <v>246.95505</v>
      </c>
      <c r="AH38" s="56">
        <v>1483.037</v>
      </c>
      <c r="AI38" s="56">
        <v>445.16020000000003</v>
      </c>
      <c r="AJ38" s="56">
        <v>1.2323499999999998</v>
      </c>
      <c r="AK38" s="56">
        <v>0</v>
      </c>
      <c r="AL38" s="56">
        <v>0</v>
      </c>
      <c r="AM38" s="56">
        <v>0</v>
      </c>
      <c r="AN38" s="56">
        <v>0</v>
      </c>
      <c r="AO38" s="56">
        <v>0</v>
      </c>
      <c r="AP38" s="56">
        <v>0</v>
      </c>
      <c r="AQ38" s="56">
        <v>178.32165000000001</v>
      </c>
      <c r="AR38" s="56">
        <v>45</v>
      </c>
      <c r="AS38" s="56">
        <v>9.6</v>
      </c>
      <c r="AT38" s="56">
        <v>76.575690000000009</v>
      </c>
      <c r="AU38" s="56">
        <v>175.852</v>
      </c>
      <c r="AV38" s="56">
        <v>0</v>
      </c>
      <c r="AW38" s="56">
        <v>0</v>
      </c>
      <c r="AX38" s="41">
        <f t="shared" si="1"/>
        <v>6661.7523899999997</v>
      </c>
    </row>
    <row r="39" spans="1:50" s="16" customFormat="1" x14ac:dyDescent="0.25">
      <c r="A39" s="2" t="s">
        <v>11</v>
      </c>
      <c r="B39" s="40">
        <v>26748.283829999997</v>
      </c>
      <c r="C39" s="40">
        <v>11924.02874</v>
      </c>
      <c r="D39" s="40">
        <v>1200</v>
      </c>
      <c r="E39" s="40">
        <v>30.324999999999999</v>
      </c>
      <c r="F39" s="40">
        <v>512.16145000000006</v>
      </c>
      <c r="G39" s="40">
        <v>0</v>
      </c>
      <c r="H39" s="40">
        <v>293.09234000000004</v>
      </c>
      <c r="I39" s="40">
        <v>9688.5449100000005</v>
      </c>
      <c r="J39" s="40">
        <v>57.918900000000001</v>
      </c>
      <c r="K39" s="40">
        <v>3124.4930399999998</v>
      </c>
      <c r="L39" s="40">
        <v>73.551450000000003</v>
      </c>
      <c r="M39" s="40">
        <v>1555.99575</v>
      </c>
      <c r="N39" s="40">
        <v>559.66687999999999</v>
      </c>
      <c r="O39" s="40">
        <v>0</v>
      </c>
      <c r="P39" s="40">
        <v>173.08831000000001</v>
      </c>
      <c r="Q39" s="40">
        <v>40</v>
      </c>
      <c r="R39" s="40">
        <v>0</v>
      </c>
      <c r="S39" s="40">
        <v>185.5635</v>
      </c>
      <c r="T39" s="40">
        <v>569.80769999999995</v>
      </c>
      <c r="U39" s="40">
        <v>90</v>
      </c>
      <c r="V39" s="56">
        <v>0</v>
      </c>
      <c r="W39" s="56">
        <v>687.16001000000006</v>
      </c>
      <c r="X39" s="56">
        <v>0</v>
      </c>
      <c r="Y39" s="56">
        <v>0</v>
      </c>
      <c r="Z39" s="56">
        <v>1232.5</v>
      </c>
      <c r="AA39" s="56">
        <v>2772.6113</v>
      </c>
      <c r="AB39" s="56">
        <v>0</v>
      </c>
      <c r="AC39" s="56">
        <v>0</v>
      </c>
      <c r="AD39" s="56">
        <v>175</v>
      </c>
      <c r="AE39" s="56">
        <v>0</v>
      </c>
      <c r="AF39" s="56">
        <v>357.35604000000001</v>
      </c>
      <c r="AG39" s="56">
        <v>3201.9354500000004</v>
      </c>
      <c r="AH39" s="56">
        <v>0</v>
      </c>
      <c r="AI39" s="56">
        <v>8764.9610099999991</v>
      </c>
      <c r="AJ39" s="56">
        <v>0</v>
      </c>
      <c r="AK39" s="56">
        <v>0</v>
      </c>
      <c r="AL39" s="56">
        <v>0</v>
      </c>
      <c r="AM39" s="56">
        <v>0</v>
      </c>
      <c r="AN39" s="56">
        <v>0</v>
      </c>
      <c r="AO39" s="56">
        <v>0</v>
      </c>
      <c r="AP39" s="56">
        <v>29.897880000000001</v>
      </c>
      <c r="AQ39" s="56">
        <v>1473.36725</v>
      </c>
      <c r="AR39" s="56">
        <v>1.65</v>
      </c>
      <c r="AS39" s="56">
        <v>0</v>
      </c>
      <c r="AT39" s="56">
        <v>0</v>
      </c>
      <c r="AU39" s="56">
        <v>0</v>
      </c>
      <c r="AV39" s="56">
        <v>0</v>
      </c>
      <c r="AW39" s="56">
        <v>0</v>
      </c>
      <c r="AX39" s="41">
        <f t="shared" si="1"/>
        <v>75522.960739999966</v>
      </c>
    </row>
    <row r="40" spans="1:50" s="16" customFormat="1" x14ac:dyDescent="0.25">
      <c r="A40" s="3" t="s">
        <v>59</v>
      </c>
      <c r="B40" s="40">
        <v>7204.5901100000001</v>
      </c>
      <c r="C40" s="40">
        <v>350</v>
      </c>
      <c r="D40" s="40">
        <v>390</v>
      </c>
      <c r="E40" s="40">
        <v>17.25</v>
      </c>
      <c r="F40" s="40">
        <v>1.2849999999999999</v>
      </c>
      <c r="G40" s="40">
        <v>0</v>
      </c>
      <c r="H40" s="40">
        <v>59.377949999999998</v>
      </c>
      <c r="I40" s="40">
        <v>0</v>
      </c>
      <c r="J40" s="40">
        <v>0</v>
      </c>
      <c r="K40" s="40">
        <v>1145.5783999999999</v>
      </c>
      <c r="L40" s="40">
        <v>58.960440000000006</v>
      </c>
      <c r="M40" s="40">
        <v>325.90934000000004</v>
      </c>
      <c r="N40" s="40">
        <v>59.32</v>
      </c>
      <c r="O40" s="40">
        <v>0</v>
      </c>
      <c r="P40" s="40">
        <v>354.15004999999996</v>
      </c>
      <c r="Q40" s="40">
        <v>0</v>
      </c>
      <c r="R40" s="40">
        <v>0</v>
      </c>
      <c r="S40" s="40">
        <v>0</v>
      </c>
      <c r="T40" s="40">
        <v>30.373570000000001</v>
      </c>
      <c r="U40" s="40">
        <v>0</v>
      </c>
      <c r="V40" s="56">
        <v>0</v>
      </c>
      <c r="W40" s="56">
        <v>22.86065</v>
      </c>
      <c r="X40" s="56">
        <v>600</v>
      </c>
      <c r="Y40" s="56">
        <v>0</v>
      </c>
      <c r="Z40" s="56">
        <v>0</v>
      </c>
      <c r="AA40" s="56">
        <v>345.15550000000002</v>
      </c>
      <c r="AB40" s="56">
        <v>0</v>
      </c>
      <c r="AC40" s="56">
        <v>0</v>
      </c>
      <c r="AD40" s="56">
        <v>136.83999</v>
      </c>
      <c r="AE40" s="56">
        <v>0</v>
      </c>
      <c r="AF40" s="56">
        <v>28.256889999999999</v>
      </c>
      <c r="AG40" s="56">
        <v>11.76065</v>
      </c>
      <c r="AH40" s="56">
        <v>136.756</v>
      </c>
      <c r="AI40" s="56">
        <v>526.42403999999999</v>
      </c>
      <c r="AJ40" s="56">
        <v>2.1594499999999996</v>
      </c>
      <c r="AK40" s="56">
        <v>0</v>
      </c>
      <c r="AL40" s="56">
        <v>0</v>
      </c>
      <c r="AM40" s="56">
        <v>0</v>
      </c>
      <c r="AN40" s="56">
        <v>0</v>
      </c>
      <c r="AO40" s="56">
        <v>0</v>
      </c>
      <c r="AP40" s="56">
        <v>0</v>
      </c>
      <c r="AQ40" s="56">
        <v>32</v>
      </c>
      <c r="AR40" s="56">
        <v>0</v>
      </c>
      <c r="AS40" s="56">
        <v>28.58221</v>
      </c>
      <c r="AT40" s="56">
        <v>41.706199999999995</v>
      </c>
      <c r="AU40" s="56">
        <v>218.11240000000001</v>
      </c>
      <c r="AV40" s="56">
        <v>0</v>
      </c>
      <c r="AW40" s="56">
        <v>0</v>
      </c>
      <c r="AX40" s="41">
        <f t="shared" si="1"/>
        <v>12127.408840000002</v>
      </c>
    </row>
    <row r="41" spans="1:50" s="16" customFormat="1" x14ac:dyDescent="0.25">
      <c r="A41" s="2" t="s">
        <v>60</v>
      </c>
      <c r="B41" s="40">
        <v>35123.473740000001</v>
      </c>
      <c r="C41" s="40">
        <v>1500</v>
      </c>
      <c r="D41" s="40">
        <v>1175</v>
      </c>
      <c r="E41" s="40">
        <v>48.674999999999997</v>
      </c>
      <c r="F41" s="40">
        <v>160.66999999999999</v>
      </c>
      <c r="G41" s="40">
        <v>19.55</v>
      </c>
      <c r="H41" s="40">
        <v>350.27479999999997</v>
      </c>
      <c r="I41" s="40">
        <v>0</v>
      </c>
      <c r="J41" s="40">
        <v>32.582500000000003</v>
      </c>
      <c r="K41" s="40">
        <v>4376.8304600000001</v>
      </c>
      <c r="L41" s="40">
        <v>123.77046</v>
      </c>
      <c r="M41" s="40">
        <v>360.43013999999999</v>
      </c>
      <c r="N41" s="40">
        <v>169.04510000000002</v>
      </c>
      <c r="O41" s="40">
        <v>0</v>
      </c>
      <c r="P41" s="40">
        <v>53.78425</v>
      </c>
      <c r="Q41" s="40">
        <v>0</v>
      </c>
      <c r="R41" s="40">
        <v>0</v>
      </c>
      <c r="S41" s="40">
        <v>0</v>
      </c>
      <c r="T41" s="40">
        <v>352.86646999999999</v>
      </c>
      <c r="U41" s="40">
        <v>0</v>
      </c>
      <c r="V41" s="56">
        <v>0</v>
      </c>
      <c r="W41" s="56">
        <v>60.271699999999996</v>
      </c>
      <c r="X41" s="56">
        <v>1.3872</v>
      </c>
      <c r="Y41" s="56">
        <v>0</v>
      </c>
      <c r="Z41" s="56">
        <v>0</v>
      </c>
      <c r="AA41" s="56">
        <v>118.6879</v>
      </c>
      <c r="AB41" s="56">
        <v>0</v>
      </c>
      <c r="AC41" s="56">
        <v>0</v>
      </c>
      <c r="AD41" s="56">
        <v>58.691400000000002</v>
      </c>
      <c r="AE41" s="56">
        <v>30.486930000000001</v>
      </c>
      <c r="AF41" s="56">
        <v>146.15995000000001</v>
      </c>
      <c r="AG41" s="56">
        <v>158.51695000000001</v>
      </c>
      <c r="AH41" s="56">
        <v>0</v>
      </c>
      <c r="AI41" s="56">
        <v>528.65764999999999</v>
      </c>
      <c r="AJ41" s="56">
        <v>13.64306</v>
      </c>
      <c r="AK41" s="56">
        <v>10</v>
      </c>
      <c r="AL41" s="56">
        <v>0</v>
      </c>
      <c r="AM41" s="56">
        <v>0</v>
      </c>
      <c r="AN41" s="56">
        <v>0</v>
      </c>
      <c r="AO41" s="56">
        <v>0</v>
      </c>
      <c r="AP41" s="56">
        <v>0</v>
      </c>
      <c r="AQ41" s="56">
        <v>0</v>
      </c>
      <c r="AR41" s="56">
        <v>0</v>
      </c>
      <c r="AS41" s="56">
        <v>56.910150000000002</v>
      </c>
      <c r="AT41" s="56">
        <v>44.113099999999996</v>
      </c>
      <c r="AU41" s="56">
        <v>607.98476000000005</v>
      </c>
      <c r="AV41" s="56">
        <v>0</v>
      </c>
      <c r="AW41" s="56">
        <v>73.067399999999992</v>
      </c>
      <c r="AX41" s="41">
        <f t="shared" si="1"/>
        <v>45755.531069999997</v>
      </c>
    </row>
    <row r="42" spans="1:50" s="16" customFormat="1" x14ac:dyDescent="0.25">
      <c r="A42" s="2" t="s">
        <v>61</v>
      </c>
      <c r="B42" s="40">
        <v>7990.8277300000009</v>
      </c>
      <c r="C42" s="40">
        <v>151.548</v>
      </c>
      <c r="D42" s="40">
        <v>356.70699999999999</v>
      </c>
      <c r="E42" s="40">
        <v>15.3</v>
      </c>
      <c r="F42" s="40">
        <v>56.195</v>
      </c>
      <c r="G42" s="40">
        <v>0</v>
      </c>
      <c r="H42" s="40">
        <v>90.774039999999999</v>
      </c>
      <c r="I42" s="40">
        <v>0</v>
      </c>
      <c r="J42" s="40">
        <v>5.94</v>
      </c>
      <c r="K42" s="40">
        <v>898.24059999999997</v>
      </c>
      <c r="L42" s="40">
        <v>5.7569499999999998</v>
      </c>
      <c r="M42" s="40">
        <v>72.621250000000003</v>
      </c>
      <c r="N42" s="40">
        <v>0.4</v>
      </c>
      <c r="O42" s="40">
        <v>0</v>
      </c>
      <c r="P42" s="40">
        <v>0.18855000000000002</v>
      </c>
      <c r="Q42" s="40">
        <v>0</v>
      </c>
      <c r="R42" s="40">
        <v>0</v>
      </c>
      <c r="S42" s="40">
        <v>0</v>
      </c>
      <c r="T42" s="40">
        <v>36.982550000000003</v>
      </c>
      <c r="U42" s="40">
        <v>7.9989999999999997</v>
      </c>
      <c r="V42" s="56">
        <v>0</v>
      </c>
      <c r="W42" s="56">
        <v>60.7547</v>
      </c>
      <c r="X42" s="56">
        <v>0</v>
      </c>
      <c r="Y42" s="56">
        <v>0</v>
      </c>
      <c r="Z42" s="56">
        <v>0</v>
      </c>
      <c r="AA42" s="56">
        <v>179.56909999999999</v>
      </c>
      <c r="AB42" s="56">
        <v>0</v>
      </c>
      <c r="AC42" s="56">
        <v>0</v>
      </c>
      <c r="AD42" s="56">
        <v>28.67775</v>
      </c>
      <c r="AE42" s="56">
        <v>2.6959599999999999</v>
      </c>
      <c r="AF42" s="56">
        <v>4.6716099999999994</v>
      </c>
      <c r="AG42" s="56">
        <v>328.14015000000001</v>
      </c>
      <c r="AH42" s="56">
        <v>0</v>
      </c>
      <c r="AI42" s="56">
        <v>288.14345000000003</v>
      </c>
      <c r="AJ42" s="56">
        <v>1.9029</v>
      </c>
      <c r="AK42" s="56">
        <v>0</v>
      </c>
      <c r="AL42" s="56">
        <v>0</v>
      </c>
      <c r="AM42" s="56">
        <v>0</v>
      </c>
      <c r="AN42" s="56">
        <v>0</v>
      </c>
      <c r="AO42" s="56">
        <v>0</v>
      </c>
      <c r="AP42" s="56">
        <v>0</v>
      </c>
      <c r="AQ42" s="56">
        <v>68.825500000000005</v>
      </c>
      <c r="AR42" s="56">
        <v>11.2456</v>
      </c>
      <c r="AS42" s="56">
        <v>81.8</v>
      </c>
      <c r="AT42" s="56">
        <v>44.19</v>
      </c>
      <c r="AU42" s="56">
        <v>56.091000000000001</v>
      </c>
      <c r="AV42" s="56">
        <v>0</v>
      </c>
      <c r="AW42" s="56">
        <v>0</v>
      </c>
      <c r="AX42" s="41">
        <f t="shared" si="1"/>
        <v>10846.188389999999</v>
      </c>
    </row>
    <row r="43" spans="1:50" s="16" customFormat="1" x14ac:dyDescent="0.25">
      <c r="A43" s="1" t="s">
        <v>62</v>
      </c>
      <c r="B43" s="40">
        <v>6567.3743600000007</v>
      </c>
      <c r="C43" s="40">
        <v>179.83600000000001</v>
      </c>
      <c r="D43" s="40">
        <v>432</v>
      </c>
      <c r="E43" s="40">
        <v>24.45</v>
      </c>
      <c r="F43" s="40">
        <v>138.80099999999999</v>
      </c>
      <c r="G43" s="40">
        <v>6</v>
      </c>
      <c r="H43" s="40">
        <v>94.43010000000001</v>
      </c>
      <c r="I43" s="40">
        <v>0</v>
      </c>
      <c r="J43" s="40">
        <v>8.2059999999999995</v>
      </c>
      <c r="K43" s="40">
        <v>1332.1740500000001</v>
      </c>
      <c r="L43" s="40">
        <v>174.57772</v>
      </c>
      <c r="M43" s="40">
        <v>140.07939999999999</v>
      </c>
      <c r="N43" s="40">
        <v>3.3</v>
      </c>
      <c r="O43" s="40">
        <v>0.18834999999999999</v>
      </c>
      <c r="P43" s="40">
        <v>1.24556</v>
      </c>
      <c r="Q43" s="40">
        <v>0</v>
      </c>
      <c r="R43" s="40">
        <v>0</v>
      </c>
      <c r="S43" s="40">
        <v>8.6300000000000005E-3</v>
      </c>
      <c r="T43" s="40">
        <v>75.86354</v>
      </c>
      <c r="U43" s="40">
        <v>0</v>
      </c>
      <c r="V43" s="56">
        <v>0</v>
      </c>
      <c r="W43" s="56">
        <v>0</v>
      </c>
      <c r="X43" s="56">
        <v>0</v>
      </c>
      <c r="Y43" s="56">
        <v>0</v>
      </c>
      <c r="Z43" s="56">
        <v>29.988</v>
      </c>
      <c r="AA43" s="56">
        <v>11.361000000000001</v>
      </c>
      <c r="AB43" s="56">
        <v>0</v>
      </c>
      <c r="AC43" s="56">
        <v>0</v>
      </c>
      <c r="AD43" s="56">
        <v>340.30829999999997</v>
      </c>
      <c r="AE43" s="56">
        <v>0</v>
      </c>
      <c r="AF43" s="56">
        <v>28.07452</v>
      </c>
      <c r="AG43" s="56">
        <v>911.35730000000001</v>
      </c>
      <c r="AH43" s="56">
        <v>1244.258</v>
      </c>
      <c r="AI43" s="56">
        <v>592.3886</v>
      </c>
      <c r="AJ43" s="56">
        <v>2.4816500000000001</v>
      </c>
      <c r="AK43" s="56">
        <v>0</v>
      </c>
      <c r="AL43" s="56">
        <v>0</v>
      </c>
      <c r="AM43" s="56">
        <v>0</v>
      </c>
      <c r="AN43" s="56">
        <v>0</v>
      </c>
      <c r="AO43" s="56">
        <v>0</v>
      </c>
      <c r="AP43" s="56">
        <v>0</v>
      </c>
      <c r="AQ43" s="56">
        <v>0</v>
      </c>
      <c r="AR43" s="56">
        <v>0</v>
      </c>
      <c r="AS43" s="56">
        <v>441.47490000000005</v>
      </c>
      <c r="AT43" s="56">
        <v>117.64125</v>
      </c>
      <c r="AU43" s="56">
        <v>500.34199999999998</v>
      </c>
      <c r="AV43" s="56">
        <v>0</v>
      </c>
      <c r="AW43" s="56">
        <v>0</v>
      </c>
      <c r="AX43" s="41">
        <f t="shared" si="1"/>
        <v>13398.210230000001</v>
      </c>
    </row>
    <row r="44" spans="1:50" s="16" customFormat="1" x14ac:dyDescent="0.25">
      <c r="A44" s="2" t="s">
        <v>63</v>
      </c>
      <c r="B44" s="40">
        <v>4665.1903000000002</v>
      </c>
      <c r="C44" s="40">
        <v>150</v>
      </c>
      <c r="D44" s="40">
        <v>270</v>
      </c>
      <c r="E44" s="40">
        <v>14</v>
      </c>
      <c r="F44" s="40">
        <v>43.384599999999999</v>
      </c>
      <c r="G44" s="40">
        <v>0</v>
      </c>
      <c r="H44" s="40">
        <v>33.726500000000001</v>
      </c>
      <c r="I44" s="40">
        <v>0</v>
      </c>
      <c r="J44" s="40">
        <v>0</v>
      </c>
      <c r="K44" s="40">
        <v>612.22384999999997</v>
      </c>
      <c r="L44" s="40">
        <v>13.866250000000001</v>
      </c>
      <c r="M44" s="40">
        <v>88.131050000000002</v>
      </c>
      <c r="N44" s="40">
        <v>0</v>
      </c>
      <c r="O44" s="40">
        <v>0</v>
      </c>
      <c r="P44" s="40">
        <v>33.474150000000002</v>
      </c>
      <c r="Q44" s="40">
        <v>0</v>
      </c>
      <c r="R44" s="40">
        <v>0</v>
      </c>
      <c r="S44" s="40">
        <v>4.054E-2</v>
      </c>
      <c r="T44" s="40">
        <v>15.729839999999999</v>
      </c>
      <c r="U44" s="40">
        <v>0</v>
      </c>
      <c r="V44" s="56">
        <v>0</v>
      </c>
      <c r="W44" s="56">
        <v>0</v>
      </c>
      <c r="X44" s="56">
        <v>0</v>
      </c>
      <c r="Y44" s="56">
        <v>0</v>
      </c>
      <c r="Z44" s="56">
        <v>0</v>
      </c>
      <c r="AA44" s="56">
        <v>36.894400000000005</v>
      </c>
      <c r="AB44" s="56">
        <v>0</v>
      </c>
      <c r="AC44" s="56">
        <v>0</v>
      </c>
      <c r="AD44" s="56">
        <v>74.729749999999996</v>
      </c>
      <c r="AE44" s="56">
        <v>273.63040000000001</v>
      </c>
      <c r="AF44" s="56">
        <v>13.06771</v>
      </c>
      <c r="AG44" s="56">
        <v>116.61975</v>
      </c>
      <c r="AH44" s="56">
        <v>0</v>
      </c>
      <c r="AI44" s="56">
        <v>150.19585000000001</v>
      </c>
      <c r="AJ44" s="56">
        <v>1.10575</v>
      </c>
      <c r="AK44" s="56">
        <v>0</v>
      </c>
      <c r="AL44" s="56">
        <v>0</v>
      </c>
      <c r="AM44" s="56">
        <v>0</v>
      </c>
      <c r="AN44" s="56">
        <v>0</v>
      </c>
      <c r="AO44" s="56">
        <v>0</v>
      </c>
      <c r="AP44" s="56">
        <v>0</v>
      </c>
      <c r="AQ44" s="56">
        <v>7</v>
      </c>
      <c r="AR44" s="56">
        <v>0</v>
      </c>
      <c r="AS44" s="56">
        <v>44.5</v>
      </c>
      <c r="AT44" s="56">
        <v>46.4358</v>
      </c>
      <c r="AU44" s="56">
        <v>106.8</v>
      </c>
      <c r="AV44" s="56">
        <v>0</v>
      </c>
      <c r="AW44" s="56">
        <v>0</v>
      </c>
      <c r="AX44" s="41">
        <f t="shared" si="1"/>
        <v>6810.7464900000014</v>
      </c>
    </row>
    <row r="45" spans="1:50" s="16" customFormat="1" x14ac:dyDescent="0.25">
      <c r="A45" s="2" t="s">
        <v>64</v>
      </c>
      <c r="B45" s="40">
        <v>1361.7469199999998</v>
      </c>
      <c r="C45" s="40">
        <v>39.177999999999997</v>
      </c>
      <c r="D45" s="40">
        <v>95.939750000000004</v>
      </c>
      <c r="E45" s="40">
        <v>9.6</v>
      </c>
      <c r="F45" s="40">
        <v>31.085000000000001</v>
      </c>
      <c r="G45" s="40">
        <v>0</v>
      </c>
      <c r="H45" s="40">
        <v>31.6892</v>
      </c>
      <c r="I45" s="40">
        <v>0</v>
      </c>
      <c r="J45" s="40">
        <v>0</v>
      </c>
      <c r="K45" s="40">
        <v>317.83665000000002</v>
      </c>
      <c r="L45" s="40">
        <v>1.3374000000000001</v>
      </c>
      <c r="M45" s="40">
        <v>13.26675</v>
      </c>
      <c r="N45" s="40">
        <v>6.5</v>
      </c>
      <c r="O45" s="40">
        <v>0</v>
      </c>
      <c r="P45" s="40">
        <v>11.6126</v>
      </c>
      <c r="Q45" s="40">
        <v>0</v>
      </c>
      <c r="R45" s="40">
        <v>0</v>
      </c>
      <c r="S45" s="40">
        <v>0</v>
      </c>
      <c r="T45" s="40">
        <v>6.6220299999999996</v>
      </c>
      <c r="U45" s="40">
        <v>0</v>
      </c>
      <c r="V45" s="56">
        <v>0</v>
      </c>
      <c r="W45" s="56">
        <v>0</v>
      </c>
      <c r="X45" s="56">
        <v>0</v>
      </c>
      <c r="Y45" s="56">
        <v>0</v>
      </c>
      <c r="Z45" s="56">
        <v>0</v>
      </c>
      <c r="AA45" s="56">
        <v>5.2838500000000002</v>
      </c>
      <c r="AB45" s="56">
        <v>0</v>
      </c>
      <c r="AC45" s="56">
        <v>0</v>
      </c>
      <c r="AD45" s="56">
        <v>0</v>
      </c>
      <c r="AE45" s="56">
        <v>2.8701699999999999</v>
      </c>
      <c r="AF45" s="56">
        <v>0</v>
      </c>
      <c r="AG45" s="56">
        <v>23.5276</v>
      </c>
      <c r="AH45" s="56">
        <v>466.85899999999998</v>
      </c>
      <c r="AI45" s="56">
        <v>121.03825000000001</v>
      </c>
      <c r="AJ45" s="56">
        <v>0.15844999999999998</v>
      </c>
      <c r="AK45" s="56">
        <v>0</v>
      </c>
      <c r="AL45" s="56">
        <v>0</v>
      </c>
      <c r="AM45" s="56">
        <v>0</v>
      </c>
      <c r="AN45" s="56">
        <v>0</v>
      </c>
      <c r="AO45" s="56">
        <v>0</v>
      </c>
      <c r="AP45" s="56">
        <v>0.72</v>
      </c>
      <c r="AQ45" s="56">
        <v>12</v>
      </c>
      <c r="AR45" s="56">
        <v>0</v>
      </c>
      <c r="AS45" s="56">
        <v>0</v>
      </c>
      <c r="AT45" s="56">
        <v>0</v>
      </c>
      <c r="AU45" s="56">
        <v>43.974699999999999</v>
      </c>
      <c r="AV45" s="56">
        <v>0</v>
      </c>
      <c r="AW45" s="56">
        <v>0</v>
      </c>
      <c r="AX45" s="41">
        <f t="shared" si="1"/>
        <v>2602.8463199999997</v>
      </c>
    </row>
    <row r="46" spans="1:50" s="16" customFormat="1" x14ac:dyDescent="0.25">
      <c r="A46" s="2" t="s">
        <v>65</v>
      </c>
      <c r="B46" s="40">
        <v>367.00245000000001</v>
      </c>
      <c r="C46" s="40">
        <v>31.912749999999999</v>
      </c>
      <c r="D46" s="40">
        <v>51.411999999999999</v>
      </c>
      <c r="E46" s="40">
        <v>1.38</v>
      </c>
      <c r="F46" s="40">
        <v>50.223500000000001</v>
      </c>
      <c r="G46" s="40">
        <v>0</v>
      </c>
      <c r="H46" s="40">
        <v>10.873049999999999</v>
      </c>
      <c r="I46" s="40">
        <v>0</v>
      </c>
      <c r="J46" s="40">
        <v>0</v>
      </c>
      <c r="K46" s="40">
        <v>154.02667000000002</v>
      </c>
      <c r="L46" s="40">
        <v>0.31689000000000001</v>
      </c>
      <c r="M46" s="40">
        <v>86.513000000000005</v>
      </c>
      <c r="N46" s="40">
        <v>1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3.2530000000000001</v>
      </c>
      <c r="U46" s="40">
        <v>0</v>
      </c>
      <c r="V46" s="56">
        <v>0</v>
      </c>
      <c r="W46" s="56">
        <v>0.32</v>
      </c>
      <c r="X46" s="56">
        <v>0</v>
      </c>
      <c r="Y46" s="56">
        <v>0</v>
      </c>
      <c r="Z46" s="56">
        <v>35.237449999999995</v>
      </c>
      <c r="AA46" s="56">
        <v>7.8</v>
      </c>
      <c r="AB46" s="56">
        <v>0</v>
      </c>
      <c r="AC46" s="56">
        <v>0</v>
      </c>
      <c r="AD46" s="56">
        <v>56.837699999999998</v>
      </c>
      <c r="AE46" s="56">
        <v>2.5758400000000004</v>
      </c>
      <c r="AF46" s="56">
        <v>5.0410200000000005</v>
      </c>
      <c r="AG46" s="56">
        <v>0.76700000000000002</v>
      </c>
      <c r="AH46" s="56">
        <v>211</v>
      </c>
      <c r="AI46" s="56">
        <v>37.306100000000001</v>
      </c>
      <c r="AJ46" s="56">
        <v>0</v>
      </c>
      <c r="AK46" s="56">
        <v>0</v>
      </c>
      <c r="AL46" s="56">
        <v>0</v>
      </c>
      <c r="AM46" s="56">
        <v>0</v>
      </c>
      <c r="AN46" s="56">
        <v>0</v>
      </c>
      <c r="AO46" s="56">
        <v>0</v>
      </c>
      <c r="AP46" s="56">
        <v>0</v>
      </c>
      <c r="AQ46" s="56">
        <v>0</v>
      </c>
      <c r="AR46" s="56">
        <v>0</v>
      </c>
      <c r="AS46" s="56">
        <v>10.5</v>
      </c>
      <c r="AT46" s="56">
        <v>0</v>
      </c>
      <c r="AU46" s="56">
        <v>13.654</v>
      </c>
      <c r="AV46" s="56">
        <v>0</v>
      </c>
      <c r="AW46" s="56">
        <v>0</v>
      </c>
      <c r="AX46" s="41">
        <f t="shared" si="1"/>
        <v>1138.9524200000001</v>
      </c>
    </row>
    <row r="47" spans="1:50" s="16" customFormat="1" x14ac:dyDescent="0.25">
      <c r="A47" s="2" t="s">
        <v>66</v>
      </c>
      <c r="B47" s="40">
        <v>5396.2519599999996</v>
      </c>
      <c r="C47" s="40">
        <v>946.30160000000001</v>
      </c>
      <c r="D47" s="40">
        <v>420</v>
      </c>
      <c r="E47" s="40">
        <v>8.6750000000000007</v>
      </c>
      <c r="F47" s="40">
        <v>535.13900000000001</v>
      </c>
      <c r="G47" s="40">
        <v>0</v>
      </c>
      <c r="H47" s="40">
        <v>126.31411</v>
      </c>
      <c r="I47" s="40">
        <v>0</v>
      </c>
      <c r="J47" s="40">
        <v>0</v>
      </c>
      <c r="K47" s="40">
        <v>1787.8178600000001</v>
      </c>
      <c r="L47" s="40">
        <v>0</v>
      </c>
      <c r="M47" s="40">
        <v>231.05331000000001</v>
      </c>
      <c r="N47" s="40">
        <v>43.6</v>
      </c>
      <c r="O47" s="40">
        <v>0</v>
      </c>
      <c r="P47" s="40">
        <v>122.97516999999999</v>
      </c>
      <c r="Q47" s="40">
        <v>0</v>
      </c>
      <c r="R47" s="40">
        <v>0</v>
      </c>
      <c r="S47" s="40">
        <v>15.563600000000001</v>
      </c>
      <c r="T47" s="40">
        <v>86.926600000000008</v>
      </c>
      <c r="U47" s="40">
        <v>5</v>
      </c>
      <c r="V47" s="56">
        <v>0</v>
      </c>
      <c r="W47" s="56">
        <v>97.37639999999999</v>
      </c>
      <c r="X47" s="56">
        <v>0</v>
      </c>
      <c r="Y47" s="56">
        <v>0</v>
      </c>
      <c r="Z47" s="56">
        <v>0</v>
      </c>
      <c r="AA47" s="56">
        <v>182.5557</v>
      </c>
      <c r="AB47" s="56">
        <v>0</v>
      </c>
      <c r="AC47" s="56">
        <v>0</v>
      </c>
      <c r="AD47" s="56">
        <v>198.69114999999999</v>
      </c>
      <c r="AE47" s="56">
        <v>16.171420000000001</v>
      </c>
      <c r="AF47" s="56">
        <v>25.154299999999999</v>
      </c>
      <c r="AG47" s="56">
        <v>367.13</v>
      </c>
      <c r="AH47" s="56">
        <v>4151.8599999999997</v>
      </c>
      <c r="AI47" s="56">
        <v>1043.3262999999999</v>
      </c>
      <c r="AJ47" s="56">
        <v>2.6742499999999998</v>
      </c>
      <c r="AK47" s="56">
        <v>0</v>
      </c>
      <c r="AL47" s="56">
        <v>0</v>
      </c>
      <c r="AM47" s="56">
        <v>0</v>
      </c>
      <c r="AN47" s="56">
        <v>0</v>
      </c>
      <c r="AO47" s="56">
        <v>0</v>
      </c>
      <c r="AP47" s="56">
        <v>0</v>
      </c>
      <c r="AQ47" s="56">
        <v>82.729249999999993</v>
      </c>
      <c r="AR47" s="56">
        <v>0</v>
      </c>
      <c r="AS47" s="56">
        <v>0</v>
      </c>
      <c r="AT47" s="56">
        <v>80.967330000000004</v>
      </c>
      <c r="AU47" s="56">
        <v>569.05600000000004</v>
      </c>
      <c r="AV47" s="56">
        <v>0</v>
      </c>
      <c r="AW47" s="56">
        <v>0</v>
      </c>
      <c r="AX47" s="41">
        <f t="shared" si="1"/>
        <v>16543.310310000001</v>
      </c>
    </row>
    <row r="48" spans="1:50" s="16" customFormat="1" x14ac:dyDescent="0.25">
      <c r="A48" s="2" t="s">
        <v>67</v>
      </c>
      <c r="B48" s="40">
        <v>12447.17843</v>
      </c>
      <c r="C48" s="40">
        <v>2206.77</v>
      </c>
      <c r="D48" s="40">
        <v>1383</v>
      </c>
      <c r="E48" s="40">
        <v>16.274999999999999</v>
      </c>
      <c r="F48" s="40">
        <v>391.98970000000003</v>
      </c>
      <c r="G48" s="40">
        <v>65</v>
      </c>
      <c r="H48" s="40">
        <v>171.77095</v>
      </c>
      <c r="I48" s="40">
        <v>0</v>
      </c>
      <c r="J48" s="40">
        <v>0</v>
      </c>
      <c r="K48" s="40">
        <v>4325.9434600000004</v>
      </c>
      <c r="L48" s="40">
        <v>344.93852000000004</v>
      </c>
      <c r="M48" s="40">
        <v>306.82868000000002</v>
      </c>
      <c r="N48" s="40">
        <v>82.1</v>
      </c>
      <c r="O48" s="40">
        <v>15.29856</v>
      </c>
      <c r="P48" s="40">
        <v>242.90002999999999</v>
      </c>
      <c r="Q48" s="40">
        <v>0</v>
      </c>
      <c r="R48" s="40">
        <v>0</v>
      </c>
      <c r="S48" s="40">
        <v>0</v>
      </c>
      <c r="T48" s="40">
        <v>68.892600000000002</v>
      </c>
      <c r="U48" s="40">
        <v>2.55958</v>
      </c>
      <c r="V48" s="56">
        <v>0</v>
      </c>
      <c r="W48" s="56">
        <v>215.95400000000001</v>
      </c>
      <c r="X48" s="56">
        <v>0</v>
      </c>
      <c r="Y48" s="56">
        <v>0</v>
      </c>
      <c r="Z48" s="56">
        <v>116.43</v>
      </c>
      <c r="AA48" s="56">
        <v>806.84460000000001</v>
      </c>
      <c r="AB48" s="56">
        <v>0</v>
      </c>
      <c r="AC48" s="56">
        <v>0</v>
      </c>
      <c r="AD48" s="56">
        <v>263.69365000000005</v>
      </c>
      <c r="AE48" s="56">
        <v>56.993769999999998</v>
      </c>
      <c r="AF48" s="56">
        <v>121.26055000000001</v>
      </c>
      <c r="AG48" s="56">
        <v>285.3981</v>
      </c>
      <c r="AH48" s="56">
        <v>467.29700000000003</v>
      </c>
      <c r="AI48" s="56">
        <v>1636.31855</v>
      </c>
      <c r="AJ48" s="56">
        <v>4.6211499999999992</v>
      </c>
      <c r="AK48" s="56">
        <v>0</v>
      </c>
      <c r="AL48" s="56">
        <v>0</v>
      </c>
      <c r="AM48" s="56">
        <v>0</v>
      </c>
      <c r="AN48" s="56">
        <v>0</v>
      </c>
      <c r="AO48" s="56">
        <v>0</v>
      </c>
      <c r="AP48" s="56">
        <v>0</v>
      </c>
      <c r="AQ48" s="56">
        <v>1034.5</v>
      </c>
      <c r="AR48" s="56">
        <v>0</v>
      </c>
      <c r="AS48" s="56">
        <v>330</v>
      </c>
      <c r="AT48" s="56">
        <v>291.39999999999998</v>
      </c>
      <c r="AU48" s="56">
        <v>971.25485000000003</v>
      </c>
      <c r="AV48" s="56">
        <v>0</v>
      </c>
      <c r="AW48" s="56">
        <v>0</v>
      </c>
      <c r="AX48" s="41">
        <f t="shared" si="1"/>
        <v>28673.411729999996</v>
      </c>
    </row>
    <row r="49" spans="1:50" s="16" customFormat="1" x14ac:dyDescent="0.25">
      <c r="A49" s="2" t="s">
        <v>68</v>
      </c>
      <c r="B49" s="40">
        <v>1291.44463</v>
      </c>
      <c r="C49" s="40">
        <v>1128.702</v>
      </c>
      <c r="D49" s="40">
        <v>111</v>
      </c>
      <c r="E49" s="40">
        <v>4.55</v>
      </c>
      <c r="F49" s="40">
        <v>93.278999999999996</v>
      </c>
      <c r="G49" s="40">
        <v>0</v>
      </c>
      <c r="H49" s="40">
        <v>26.05715</v>
      </c>
      <c r="I49" s="40">
        <v>0</v>
      </c>
      <c r="J49" s="40">
        <v>0</v>
      </c>
      <c r="K49" s="40">
        <v>510.35149999999999</v>
      </c>
      <c r="L49" s="40">
        <v>0</v>
      </c>
      <c r="M49" s="40">
        <v>20.443249999999999</v>
      </c>
      <c r="N49" s="40">
        <v>0</v>
      </c>
      <c r="O49" s="40">
        <v>0</v>
      </c>
      <c r="P49" s="40">
        <v>0.45280000000000004</v>
      </c>
      <c r="Q49" s="40">
        <v>0</v>
      </c>
      <c r="R49" s="40">
        <v>0</v>
      </c>
      <c r="S49" s="40">
        <v>1.0081499999999999</v>
      </c>
      <c r="T49" s="40">
        <v>7.8013300000000001</v>
      </c>
      <c r="U49" s="40">
        <v>0</v>
      </c>
      <c r="V49" s="56">
        <v>0</v>
      </c>
      <c r="W49" s="56">
        <v>165.54249999999999</v>
      </c>
      <c r="X49" s="56">
        <v>0</v>
      </c>
      <c r="Y49" s="56">
        <v>0</v>
      </c>
      <c r="Z49" s="56">
        <v>21.077999999999999</v>
      </c>
      <c r="AA49" s="56">
        <v>78.022899999999993</v>
      </c>
      <c r="AB49" s="56">
        <v>0</v>
      </c>
      <c r="AC49" s="56">
        <v>0</v>
      </c>
      <c r="AD49" s="56">
        <v>190.89136999999999</v>
      </c>
      <c r="AE49" s="56">
        <v>42.61992</v>
      </c>
      <c r="AF49" s="56">
        <v>29.94125</v>
      </c>
      <c r="AG49" s="56">
        <v>8.5873999999999988</v>
      </c>
      <c r="AH49" s="56">
        <v>940.60599999999999</v>
      </c>
      <c r="AI49" s="56">
        <v>236.95945</v>
      </c>
      <c r="AJ49" s="56">
        <v>0.69420000000000004</v>
      </c>
      <c r="AK49" s="56">
        <v>0</v>
      </c>
      <c r="AL49" s="56">
        <v>0</v>
      </c>
      <c r="AM49" s="56">
        <v>0</v>
      </c>
      <c r="AN49" s="56">
        <v>0</v>
      </c>
      <c r="AO49" s="56">
        <v>0</v>
      </c>
      <c r="AP49" s="56">
        <v>0</v>
      </c>
      <c r="AQ49" s="56">
        <v>55.246400000000001</v>
      </c>
      <c r="AR49" s="56">
        <v>0</v>
      </c>
      <c r="AS49" s="56">
        <v>16.854749999999999</v>
      </c>
      <c r="AT49" s="56">
        <v>8.1310000000000002</v>
      </c>
      <c r="AU49" s="56">
        <v>166.74100000000001</v>
      </c>
      <c r="AV49" s="56">
        <v>0</v>
      </c>
      <c r="AW49" s="56">
        <v>0</v>
      </c>
      <c r="AX49" s="41">
        <f t="shared" si="1"/>
        <v>5157.0059500000007</v>
      </c>
    </row>
    <row r="50" spans="1:50" s="16" customFormat="1" x14ac:dyDescent="0.25">
      <c r="A50" s="2" t="s">
        <v>69</v>
      </c>
      <c r="B50" s="40">
        <v>10452.824619999999</v>
      </c>
      <c r="C50" s="40">
        <v>728.00099999999998</v>
      </c>
      <c r="D50" s="40">
        <v>760.41759999999999</v>
      </c>
      <c r="E50" s="40">
        <v>29.55</v>
      </c>
      <c r="F50" s="40">
        <v>141.73124999999999</v>
      </c>
      <c r="G50" s="40">
        <v>12.5</v>
      </c>
      <c r="H50" s="40">
        <v>314.19450000000001</v>
      </c>
      <c r="I50" s="40">
        <v>0</v>
      </c>
      <c r="J50" s="40">
        <v>0</v>
      </c>
      <c r="K50" s="40">
        <v>2041.33521</v>
      </c>
      <c r="L50" s="40">
        <v>94.484320000000011</v>
      </c>
      <c r="M50" s="40">
        <v>214.3776</v>
      </c>
      <c r="N50" s="40">
        <v>850.66526999999996</v>
      </c>
      <c r="O50" s="40">
        <v>0</v>
      </c>
      <c r="P50" s="40">
        <v>59.165239999999997</v>
      </c>
      <c r="Q50" s="40">
        <v>29.206599999999998</v>
      </c>
      <c r="R50" s="40">
        <v>0</v>
      </c>
      <c r="S50" s="40">
        <v>0</v>
      </c>
      <c r="T50" s="40">
        <v>45.859900000000003</v>
      </c>
      <c r="U50" s="40">
        <v>0</v>
      </c>
      <c r="V50" s="56">
        <v>0</v>
      </c>
      <c r="W50" s="56">
        <v>3.6</v>
      </c>
      <c r="X50" s="56">
        <v>0</v>
      </c>
      <c r="Y50" s="56">
        <v>0</v>
      </c>
      <c r="Z50" s="56">
        <v>52.040999999999997</v>
      </c>
      <c r="AA50" s="56">
        <v>207.37649999999999</v>
      </c>
      <c r="AB50" s="56">
        <v>0</v>
      </c>
      <c r="AC50" s="56">
        <v>0</v>
      </c>
      <c r="AD50" s="56">
        <v>218.52744000000001</v>
      </c>
      <c r="AE50" s="56">
        <v>23.860060000000001</v>
      </c>
      <c r="AF50" s="56">
        <v>94.048109999999994</v>
      </c>
      <c r="AG50" s="56">
        <v>2540.0781000000002</v>
      </c>
      <c r="AH50" s="56">
        <v>1530.6669999999999</v>
      </c>
      <c r="AI50" s="56">
        <v>809.83564999999999</v>
      </c>
      <c r="AJ50" s="56">
        <v>4.2898500000000004</v>
      </c>
      <c r="AK50" s="56">
        <v>0</v>
      </c>
      <c r="AL50" s="56">
        <v>0</v>
      </c>
      <c r="AM50" s="56">
        <v>0</v>
      </c>
      <c r="AN50" s="56">
        <v>0</v>
      </c>
      <c r="AO50" s="56">
        <v>0</v>
      </c>
      <c r="AP50" s="56">
        <v>0</v>
      </c>
      <c r="AQ50" s="56">
        <v>219.61367999999999</v>
      </c>
      <c r="AR50" s="56">
        <v>67</v>
      </c>
      <c r="AS50" s="56">
        <v>47.189489999999999</v>
      </c>
      <c r="AT50" s="56">
        <v>116.80369999999999</v>
      </c>
      <c r="AU50" s="56">
        <v>561.85900000000004</v>
      </c>
      <c r="AV50" s="56">
        <v>0</v>
      </c>
      <c r="AW50" s="56">
        <v>0</v>
      </c>
      <c r="AX50" s="41">
        <f t="shared" si="1"/>
        <v>22271.10269</v>
      </c>
    </row>
    <row r="51" spans="1:50" s="16" customFormat="1" x14ac:dyDescent="0.25">
      <c r="A51" s="2" t="s">
        <v>12</v>
      </c>
      <c r="B51" s="40">
        <v>1382.36815</v>
      </c>
      <c r="C51" s="40">
        <v>1262.2978999999998</v>
      </c>
      <c r="D51" s="40">
        <v>180</v>
      </c>
      <c r="E51" s="40">
        <v>3.06</v>
      </c>
      <c r="F51" s="40">
        <v>32.866999999999997</v>
      </c>
      <c r="G51" s="40">
        <v>0</v>
      </c>
      <c r="H51" s="40">
        <v>22.396349999999998</v>
      </c>
      <c r="I51" s="40">
        <v>0</v>
      </c>
      <c r="J51" s="40">
        <v>0</v>
      </c>
      <c r="K51" s="40">
        <v>262.48748999999998</v>
      </c>
      <c r="L51" s="40">
        <v>0</v>
      </c>
      <c r="M51" s="40">
        <v>0</v>
      </c>
      <c r="N51" s="40">
        <v>0</v>
      </c>
      <c r="O51" s="40">
        <v>0</v>
      </c>
      <c r="P51" s="40">
        <v>1.5648</v>
      </c>
      <c r="Q51" s="40">
        <v>0</v>
      </c>
      <c r="R51" s="40">
        <v>0</v>
      </c>
      <c r="S51" s="40">
        <v>0</v>
      </c>
      <c r="T51" s="40">
        <v>2.2568099999999998</v>
      </c>
      <c r="U51" s="40">
        <v>0</v>
      </c>
      <c r="V51" s="56">
        <v>0</v>
      </c>
      <c r="W51" s="56">
        <v>0</v>
      </c>
      <c r="X51" s="56">
        <v>0</v>
      </c>
      <c r="Y51" s="56">
        <v>0</v>
      </c>
      <c r="Z51" s="56">
        <v>0</v>
      </c>
      <c r="AA51" s="56">
        <v>8.1300000000000008</v>
      </c>
      <c r="AB51" s="56">
        <v>0</v>
      </c>
      <c r="AC51" s="56">
        <v>0</v>
      </c>
      <c r="AD51" s="56">
        <v>13.817200000000001</v>
      </c>
      <c r="AE51" s="56">
        <v>0</v>
      </c>
      <c r="AF51" s="56">
        <v>40.495489999999997</v>
      </c>
      <c r="AG51" s="56">
        <v>10.6288</v>
      </c>
      <c r="AH51" s="56">
        <v>0</v>
      </c>
      <c r="AI51" s="56">
        <v>73.351649999999992</v>
      </c>
      <c r="AJ51" s="56">
        <v>0</v>
      </c>
      <c r="AK51" s="56">
        <v>0</v>
      </c>
      <c r="AL51" s="56">
        <v>0</v>
      </c>
      <c r="AM51" s="56">
        <v>0</v>
      </c>
      <c r="AN51" s="56">
        <v>0</v>
      </c>
      <c r="AO51" s="56">
        <v>0</v>
      </c>
      <c r="AP51" s="56">
        <v>0</v>
      </c>
      <c r="AQ51" s="56">
        <v>0</v>
      </c>
      <c r="AR51" s="56">
        <v>0</v>
      </c>
      <c r="AS51" s="56">
        <v>12.6</v>
      </c>
      <c r="AT51" s="56">
        <v>0</v>
      </c>
      <c r="AU51" s="56">
        <v>0</v>
      </c>
      <c r="AV51" s="56">
        <v>0</v>
      </c>
      <c r="AW51" s="56">
        <v>0</v>
      </c>
      <c r="AX51" s="41">
        <f t="shared" si="1"/>
        <v>3308.3216399999997</v>
      </c>
    </row>
    <row r="52" spans="1:50" s="16" customFormat="1" x14ac:dyDescent="0.25">
      <c r="A52" s="2" t="s">
        <v>70</v>
      </c>
      <c r="B52" s="40">
        <v>3797.5748900000003</v>
      </c>
      <c r="C52" s="40">
        <v>700</v>
      </c>
      <c r="D52" s="40">
        <v>240</v>
      </c>
      <c r="E52" s="40">
        <v>12.6302</v>
      </c>
      <c r="F52" s="40">
        <v>32.43</v>
      </c>
      <c r="G52" s="40">
        <v>0</v>
      </c>
      <c r="H52" s="40">
        <v>29.617439999999998</v>
      </c>
      <c r="I52" s="40">
        <v>0</v>
      </c>
      <c r="J52" s="40">
        <v>0</v>
      </c>
      <c r="K52" s="40">
        <v>671.76465000000007</v>
      </c>
      <c r="L52" s="40">
        <v>11.497</v>
      </c>
      <c r="M52" s="40">
        <v>5.2927900000000001</v>
      </c>
      <c r="N52" s="40">
        <v>15.6</v>
      </c>
      <c r="O52" s="40">
        <v>0</v>
      </c>
      <c r="P52" s="40">
        <v>0</v>
      </c>
      <c r="Q52" s="40">
        <v>0</v>
      </c>
      <c r="R52" s="40">
        <v>0</v>
      </c>
      <c r="S52" s="40">
        <v>0</v>
      </c>
      <c r="T52" s="40">
        <v>27.020769999999999</v>
      </c>
      <c r="U52" s="40">
        <v>172.64</v>
      </c>
      <c r="V52" s="56">
        <v>0</v>
      </c>
      <c r="W52" s="56">
        <v>0</v>
      </c>
      <c r="X52" s="56">
        <v>0</v>
      </c>
      <c r="Y52" s="56">
        <v>0</v>
      </c>
      <c r="Z52" s="56">
        <v>0</v>
      </c>
      <c r="AA52" s="56">
        <v>145.21921</v>
      </c>
      <c r="AB52" s="56">
        <v>0</v>
      </c>
      <c r="AC52" s="56">
        <v>0</v>
      </c>
      <c r="AD52" s="56">
        <v>73.525800000000004</v>
      </c>
      <c r="AE52" s="56">
        <v>36.961349999999996</v>
      </c>
      <c r="AF52" s="56">
        <v>26.38494</v>
      </c>
      <c r="AG52" s="56">
        <v>8.0502000000000002</v>
      </c>
      <c r="AH52" s="56">
        <v>0</v>
      </c>
      <c r="AI52" s="56">
        <v>231.40105</v>
      </c>
      <c r="AJ52" s="56">
        <v>0</v>
      </c>
      <c r="AK52" s="56">
        <v>0</v>
      </c>
      <c r="AL52" s="56">
        <v>0</v>
      </c>
      <c r="AM52" s="56">
        <v>0</v>
      </c>
      <c r="AN52" s="56">
        <v>0</v>
      </c>
      <c r="AO52" s="56">
        <v>0</v>
      </c>
      <c r="AP52" s="56">
        <v>0</v>
      </c>
      <c r="AQ52" s="56">
        <v>13</v>
      </c>
      <c r="AR52" s="56">
        <v>0</v>
      </c>
      <c r="AS52" s="56">
        <v>11</v>
      </c>
      <c r="AT52" s="56">
        <v>17.97</v>
      </c>
      <c r="AU52" s="56">
        <v>203.36370000000002</v>
      </c>
      <c r="AV52" s="56">
        <v>0</v>
      </c>
      <c r="AW52" s="56">
        <v>0</v>
      </c>
      <c r="AX52" s="41">
        <f t="shared" si="1"/>
        <v>6482.9439900000016</v>
      </c>
    </row>
    <row r="53" spans="1:50" s="16" customFormat="1" x14ac:dyDescent="0.25">
      <c r="A53" s="2" t="s">
        <v>71</v>
      </c>
      <c r="B53" s="40">
        <v>577.31843000000003</v>
      </c>
      <c r="C53" s="40">
        <v>13</v>
      </c>
      <c r="D53" s="40">
        <v>45</v>
      </c>
      <c r="E53" s="40">
        <v>3.0649999999999999</v>
      </c>
      <c r="F53" s="40">
        <v>55.177</v>
      </c>
      <c r="G53" s="40">
        <v>0</v>
      </c>
      <c r="H53" s="40">
        <v>52.054600000000001</v>
      </c>
      <c r="I53" s="40">
        <v>0</v>
      </c>
      <c r="J53" s="40">
        <v>0</v>
      </c>
      <c r="K53" s="40">
        <v>163.30367999999999</v>
      </c>
      <c r="L53" s="40">
        <v>0</v>
      </c>
      <c r="M53" s="40">
        <v>0</v>
      </c>
      <c r="N53" s="40">
        <v>0.1</v>
      </c>
      <c r="O53" s="40">
        <v>0</v>
      </c>
      <c r="P53" s="40">
        <v>1.5686500000000001</v>
      </c>
      <c r="Q53" s="40">
        <v>0</v>
      </c>
      <c r="R53" s="40">
        <v>0</v>
      </c>
      <c r="S53" s="40">
        <v>12.518750000000001</v>
      </c>
      <c r="T53" s="40">
        <v>2.3600500000000002</v>
      </c>
      <c r="U53" s="40">
        <v>0</v>
      </c>
      <c r="V53" s="56">
        <v>0</v>
      </c>
      <c r="W53" s="56">
        <v>0</v>
      </c>
      <c r="X53" s="56">
        <v>0</v>
      </c>
      <c r="Y53" s="56">
        <v>0</v>
      </c>
      <c r="Z53" s="56">
        <v>0</v>
      </c>
      <c r="AA53" s="56">
        <v>0.87</v>
      </c>
      <c r="AB53" s="56">
        <v>0</v>
      </c>
      <c r="AC53" s="56">
        <v>0</v>
      </c>
      <c r="AD53" s="56">
        <v>5.0999999999999996</v>
      </c>
      <c r="AE53" s="56">
        <v>2.44787</v>
      </c>
      <c r="AF53" s="56">
        <v>0</v>
      </c>
      <c r="AG53" s="56">
        <v>30.315999999999999</v>
      </c>
      <c r="AH53" s="56">
        <v>697.41899999999998</v>
      </c>
      <c r="AI53" s="56">
        <v>238.8236</v>
      </c>
      <c r="AJ53" s="56">
        <v>0.16705</v>
      </c>
      <c r="AK53" s="56">
        <v>0</v>
      </c>
      <c r="AL53" s="56">
        <v>0</v>
      </c>
      <c r="AM53" s="56">
        <v>0</v>
      </c>
      <c r="AN53" s="56">
        <v>0</v>
      </c>
      <c r="AO53" s="56">
        <v>0</v>
      </c>
      <c r="AP53" s="56">
        <v>0</v>
      </c>
      <c r="AQ53" s="56">
        <v>27</v>
      </c>
      <c r="AR53" s="56">
        <v>0</v>
      </c>
      <c r="AS53" s="56">
        <v>0</v>
      </c>
      <c r="AT53" s="56">
        <v>35.5</v>
      </c>
      <c r="AU53" s="56">
        <v>16.049720000000001</v>
      </c>
      <c r="AV53" s="56">
        <v>0</v>
      </c>
      <c r="AW53" s="56">
        <v>0</v>
      </c>
      <c r="AX53" s="41">
        <f t="shared" si="1"/>
        <v>1979.1594000000002</v>
      </c>
    </row>
    <row r="54" spans="1:50" s="16" customFormat="1" x14ac:dyDescent="0.25">
      <c r="A54" s="2" t="s">
        <v>72</v>
      </c>
      <c r="B54" s="40">
        <v>4614.1821500000005</v>
      </c>
      <c r="C54" s="40">
        <v>1321.9148500000001</v>
      </c>
      <c r="D54" s="40">
        <v>320</v>
      </c>
      <c r="E54" s="40">
        <v>17</v>
      </c>
      <c r="F54" s="40">
        <v>61.991</v>
      </c>
      <c r="G54" s="40">
        <v>0</v>
      </c>
      <c r="H54" s="40">
        <v>56.578099999999999</v>
      </c>
      <c r="I54" s="40">
        <v>0</v>
      </c>
      <c r="J54" s="40">
        <v>0</v>
      </c>
      <c r="K54" s="40">
        <v>943.83759999999995</v>
      </c>
      <c r="L54" s="40">
        <v>186.41</v>
      </c>
      <c r="M54" s="40">
        <v>259.43799000000001</v>
      </c>
      <c r="N54" s="40">
        <v>322.66064</v>
      </c>
      <c r="O54" s="40">
        <v>0</v>
      </c>
      <c r="P54" s="40">
        <v>0.47160000000000002</v>
      </c>
      <c r="Q54" s="40">
        <v>0</v>
      </c>
      <c r="R54" s="40">
        <v>0</v>
      </c>
      <c r="S54" s="40">
        <v>0</v>
      </c>
      <c r="T54" s="40">
        <v>34.309400000000004</v>
      </c>
      <c r="U54" s="40">
        <v>0</v>
      </c>
      <c r="V54" s="56">
        <v>0</v>
      </c>
      <c r="W54" s="56">
        <v>0</v>
      </c>
      <c r="X54" s="56">
        <v>0</v>
      </c>
      <c r="Y54" s="56">
        <v>0</v>
      </c>
      <c r="Z54" s="56">
        <v>0</v>
      </c>
      <c r="AA54" s="56">
        <v>196.27269000000001</v>
      </c>
      <c r="AB54" s="56">
        <v>0</v>
      </c>
      <c r="AC54" s="56">
        <v>0</v>
      </c>
      <c r="AD54" s="56">
        <v>69.169749999999993</v>
      </c>
      <c r="AE54" s="56">
        <v>81.305679999999995</v>
      </c>
      <c r="AF54" s="56">
        <v>46.935870000000001</v>
      </c>
      <c r="AG54" s="56">
        <v>2120.6645199999998</v>
      </c>
      <c r="AH54" s="56">
        <v>146.29300000000001</v>
      </c>
      <c r="AI54" s="56">
        <v>297.37205</v>
      </c>
      <c r="AJ54" s="56">
        <v>2.5185500000000003</v>
      </c>
      <c r="AK54" s="56">
        <v>0</v>
      </c>
      <c r="AL54" s="56">
        <v>0</v>
      </c>
      <c r="AM54" s="56">
        <v>0</v>
      </c>
      <c r="AN54" s="56">
        <v>0</v>
      </c>
      <c r="AO54" s="56">
        <v>0</v>
      </c>
      <c r="AP54" s="56">
        <v>0</v>
      </c>
      <c r="AQ54" s="56">
        <v>93.5</v>
      </c>
      <c r="AR54" s="56">
        <v>0</v>
      </c>
      <c r="AS54" s="56">
        <v>17</v>
      </c>
      <c r="AT54" s="56">
        <v>92.7</v>
      </c>
      <c r="AU54" s="56">
        <v>283.923</v>
      </c>
      <c r="AV54" s="56">
        <v>0</v>
      </c>
      <c r="AW54" s="56">
        <v>0</v>
      </c>
      <c r="AX54" s="41">
        <f t="shared" si="1"/>
        <v>11586.44844</v>
      </c>
    </row>
    <row r="55" spans="1:50" s="16" customFormat="1" x14ac:dyDescent="0.25">
      <c r="A55" s="2" t="s">
        <v>13</v>
      </c>
      <c r="B55" s="40">
        <v>2851.8870999999999</v>
      </c>
      <c r="C55" s="40">
        <v>755.35064999999997</v>
      </c>
      <c r="D55" s="40">
        <v>203</v>
      </c>
      <c r="E55" s="40">
        <v>6.4</v>
      </c>
      <c r="F55" s="40">
        <v>61.170199999999994</v>
      </c>
      <c r="G55" s="40">
        <v>0</v>
      </c>
      <c r="H55" s="40">
        <v>70.08005</v>
      </c>
      <c r="I55" s="40">
        <v>0</v>
      </c>
      <c r="J55" s="40">
        <v>0</v>
      </c>
      <c r="K55" s="40">
        <v>417.33360999999996</v>
      </c>
      <c r="L55" s="40">
        <v>6.2699799999999994</v>
      </c>
      <c r="M55" s="40">
        <v>122.50245</v>
      </c>
      <c r="N55" s="40">
        <v>3.5</v>
      </c>
      <c r="O55" s="40">
        <v>12.443899999999999</v>
      </c>
      <c r="P55" s="40">
        <v>0</v>
      </c>
      <c r="Q55" s="40">
        <v>0</v>
      </c>
      <c r="R55" s="40">
        <v>0</v>
      </c>
      <c r="S55" s="40">
        <v>0</v>
      </c>
      <c r="T55" s="40">
        <v>26.087540000000001</v>
      </c>
      <c r="U55" s="40">
        <v>1.6265499999999999</v>
      </c>
      <c r="V55" s="56">
        <v>0</v>
      </c>
      <c r="W55" s="56">
        <v>54.621250000000003</v>
      </c>
      <c r="X55" s="56">
        <v>0</v>
      </c>
      <c r="Y55" s="56">
        <v>0</v>
      </c>
      <c r="Z55" s="56">
        <v>11.787000000000001</v>
      </c>
      <c r="AA55" s="56">
        <v>140.10310000000001</v>
      </c>
      <c r="AB55" s="56">
        <v>0</v>
      </c>
      <c r="AC55" s="56">
        <v>0</v>
      </c>
      <c r="AD55" s="56">
        <v>67.262729999999991</v>
      </c>
      <c r="AE55" s="56">
        <v>0</v>
      </c>
      <c r="AF55" s="56">
        <v>27.34995</v>
      </c>
      <c r="AG55" s="56">
        <v>69.236550000000008</v>
      </c>
      <c r="AH55" s="56">
        <v>661.25800000000004</v>
      </c>
      <c r="AI55" s="56">
        <v>490.84146999999996</v>
      </c>
      <c r="AJ55" s="56">
        <v>1.1527000000000001</v>
      </c>
      <c r="AK55" s="56">
        <v>0</v>
      </c>
      <c r="AL55" s="56">
        <v>0</v>
      </c>
      <c r="AM55" s="56">
        <v>0</v>
      </c>
      <c r="AN55" s="56">
        <v>0</v>
      </c>
      <c r="AO55" s="56">
        <v>0</v>
      </c>
      <c r="AP55" s="56">
        <v>0</v>
      </c>
      <c r="AQ55" s="56">
        <v>7</v>
      </c>
      <c r="AR55" s="56">
        <v>0</v>
      </c>
      <c r="AS55" s="56">
        <v>1.2</v>
      </c>
      <c r="AT55" s="56">
        <v>0</v>
      </c>
      <c r="AU55" s="56">
        <v>6.21875</v>
      </c>
      <c r="AV55" s="56">
        <v>0</v>
      </c>
      <c r="AW55" s="56">
        <v>36</v>
      </c>
      <c r="AX55" s="41">
        <f t="shared" si="1"/>
        <v>6111.6835300000002</v>
      </c>
    </row>
    <row r="56" spans="1:50" s="16" customFormat="1" x14ac:dyDescent="0.25">
      <c r="A56" s="2" t="s">
        <v>26</v>
      </c>
      <c r="B56" s="40">
        <v>946.90512999999999</v>
      </c>
      <c r="C56" s="40">
        <v>180</v>
      </c>
      <c r="D56" s="40">
        <v>310</v>
      </c>
      <c r="E56" s="40">
        <v>7</v>
      </c>
      <c r="F56" s="40">
        <v>167.37174999999999</v>
      </c>
      <c r="G56" s="40">
        <v>8</v>
      </c>
      <c r="H56" s="40">
        <v>41.188550000000006</v>
      </c>
      <c r="I56" s="40">
        <v>0</v>
      </c>
      <c r="J56" s="40">
        <v>0</v>
      </c>
      <c r="K56" s="40">
        <v>133.88240999999999</v>
      </c>
      <c r="L56" s="40">
        <v>247.41655</v>
      </c>
      <c r="M56" s="40">
        <v>136.23908</v>
      </c>
      <c r="N56" s="40">
        <v>0.06</v>
      </c>
      <c r="O56" s="40">
        <v>0</v>
      </c>
      <c r="P56" s="40">
        <v>6.5</v>
      </c>
      <c r="Q56" s="40">
        <v>0</v>
      </c>
      <c r="R56" s="40">
        <v>758</v>
      </c>
      <c r="S56" s="40">
        <v>9</v>
      </c>
      <c r="T56" s="40">
        <v>19.73743</v>
      </c>
      <c r="U56" s="40">
        <v>0</v>
      </c>
      <c r="V56" s="56">
        <v>0</v>
      </c>
      <c r="W56" s="56">
        <v>0</v>
      </c>
      <c r="X56" s="56">
        <v>0</v>
      </c>
      <c r="Y56" s="56">
        <v>0</v>
      </c>
      <c r="Z56" s="56">
        <v>10.391999999999999</v>
      </c>
      <c r="AA56" s="56">
        <v>60.295499999999997</v>
      </c>
      <c r="AB56" s="56">
        <v>0</v>
      </c>
      <c r="AC56" s="56">
        <v>0</v>
      </c>
      <c r="AD56" s="56">
        <v>19.547750000000001</v>
      </c>
      <c r="AE56" s="56">
        <v>5.7496999999999998</v>
      </c>
      <c r="AF56" s="56">
        <v>64.222430000000003</v>
      </c>
      <c r="AG56" s="56">
        <v>25.611549999999998</v>
      </c>
      <c r="AH56" s="56">
        <v>85.867000000000004</v>
      </c>
      <c r="AI56" s="56">
        <v>342.90747999999996</v>
      </c>
      <c r="AJ56" s="56">
        <v>170.90365</v>
      </c>
      <c r="AK56" s="56">
        <v>0</v>
      </c>
      <c r="AL56" s="56">
        <v>0</v>
      </c>
      <c r="AM56" s="56">
        <v>0</v>
      </c>
      <c r="AN56" s="56">
        <v>0</v>
      </c>
      <c r="AO56" s="56">
        <v>0</v>
      </c>
      <c r="AP56" s="56">
        <v>0</v>
      </c>
      <c r="AQ56" s="56">
        <v>56</v>
      </c>
      <c r="AR56" s="56">
        <v>0</v>
      </c>
      <c r="AS56" s="56">
        <v>0</v>
      </c>
      <c r="AT56" s="56">
        <v>11.7</v>
      </c>
      <c r="AU56" s="56">
        <v>0</v>
      </c>
      <c r="AV56" s="56">
        <v>0</v>
      </c>
      <c r="AW56" s="56">
        <v>0</v>
      </c>
      <c r="AX56" s="41">
        <f t="shared" si="1"/>
        <v>3824.4979600000001</v>
      </c>
    </row>
    <row r="57" spans="1:50" s="16" customFormat="1" ht="12.75" customHeight="1" x14ac:dyDescent="0.25">
      <c r="A57" s="2" t="s">
        <v>73</v>
      </c>
      <c r="B57" s="40">
        <v>101.38042999999999</v>
      </c>
      <c r="C57" s="40">
        <v>15</v>
      </c>
      <c r="D57" s="40">
        <v>11</v>
      </c>
      <c r="E57" s="40">
        <v>0.3</v>
      </c>
      <c r="F57" s="40">
        <v>5.9610000000000003</v>
      </c>
      <c r="G57" s="40">
        <v>0</v>
      </c>
      <c r="H57" s="40">
        <v>1.169</v>
      </c>
      <c r="I57" s="40">
        <v>0</v>
      </c>
      <c r="J57" s="40">
        <v>0</v>
      </c>
      <c r="K57" s="40">
        <v>23.19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0.89854999999999996</v>
      </c>
      <c r="U57" s="40">
        <v>0</v>
      </c>
      <c r="V57" s="56">
        <v>0</v>
      </c>
      <c r="W57" s="56">
        <v>0</v>
      </c>
      <c r="X57" s="56">
        <v>0</v>
      </c>
      <c r="Y57" s="56">
        <v>0</v>
      </c>
      <c r="Z57" s="56">
        <v>0</v>
      </c>
      <c r="AA57" s="56">
        <v>0</v>
      </c>
      <c r="AB57" s="56">
        <v>0</v>
      </c>
      <c r="AC57" s="56">
        <v>0</v>
      </c>
      <c r="AD57" s="56">
        <v>5.4050000000000002</v>
      </c>
      <c r="AE57" s="56">
        <v>0</v>
      </c>
      <c r="AF57" s="56">
        <v>35.088999999999999</v>
      </c>
      <c r="AG57" s="56">
        <v>0.42399999999999999</v>
      </c>
      <c r="AH57" s="56">
        <v>34</v>
      </c>
      <c r="AI57" s="56">
        <v>14.3841</v>
      </c>
      <c r="AJ57" s="56">
        <v>0</v>
      </c>
      <c r="AK57" s="56">
        <v>0</v>
      </c>
      <c r="AL57" s="56">
        <v>0</v>
      </c>
      <c r="AM57" s="56">
        <v>0</v>
      </c>
      <c r="AN57" s="56">
        <v>0</v>
      </c>
      <c r="AO57" s="56">
        <v>0</v>
      </c>
      <c r="AP57" s="56">
        <v>0</v>
      </c>
      <c r="AQ57" s="56">
        <v>0</v>
      </c>
      <c r="AR57" s="56">
        <v>0</v>
      </c>
      <c r="AS57" s="56">
        <v>0</v>
      </c>
      <c r="AT57" s="56">
        <v>0</v>
      </c>
      <c r="AU57" s="56">
        <v>0</v>
      </c>
      <c r="AV57" s="56">
        <v>0</v>
      </c>
      <c r="AW57" s="56">
        <v>0</v>
      </c>
      <c r="AX57" s="41">
        <f t="shared" si="1"/>
        <v>248.20107999999999</v>
      </c>
    </row>
    <row r="58" spans="1:50" s="16" customFormat="1" x14ac:dyDescent="0.25">
      <c r="A58" s="2" t="s">
        <v>14</v>
      </c>
      <c r="B58" s="40">
        <v>39799.022149999997</v>
      </c>
      <c r="C58" s="40">
        <v>7032.3506500000003</v>
      </c>
      <c r="D58" s="40">
        <v>2908.5604500000004</v>
      </c>
      <c r="E58" s="40">
        <v>74.172699999999992</v>
      </c>
      <c r="F58" s="40">
        <v>1921.3390400000001</v>
      </c>
      <c r="G58" s="40">
        <v>193</v>
      </c>
      <c r="H58" s="40">
        <v>1217.08176</v>
      </c>
      <c r="I58" s="40">
        <v>0</v>
      </c>
      <c r="J58" s="40">
        <v>180.96632</v>
      </c>
      <c r="K58" s="40">
        <v>6322.8354300000001</v>
      </c>
      <c r="L58" s="40">
        <v>127.36402000000001</v>
      </c>
      <c r="M58" s="40">
        <v>1771.8470400000001</v>
      </c>
      <c r="N58" s="40">
        <v>1844.9951000000001</v>
      </c>
      <c r="O58" s="40">
        <v>117.40450999999999</v>
      </c>
      <c r="P58" s="40">
        <v>40.000080000000004</v>
      </c>
      <c r="Q58" s="40">
        <v>247.12970000000001</v>
      </c>
      <c r="R58" s="40">
        <v>0</v>
      </c>
      <c r="S58" s="40">
        <v>305.32366999999999</v>
      </c>
      <c r="T58" s="40">
        <v>225.70612</v>
      </c>
      <c r="U58" s="40">
        <v>0</v>
      </c>
      <c r="V58" s="56">
        <v>0</v>
      </c>
      <c r="W58" s="56">
        <v>0</v>
      </c>
      <c r="X58" s="56">
        <v>0</v>
      </c>
      <c r="Y58" s="56">
        <v>0</v>
      </c>
      <c r="Z58" s="56">
        <v>734.23199999999997</v>
      </c>
      <c r="AA58" s="56">
        <v>5999.1234299999996</v>
      </c>
      <c r="AB58" s="56">
        <v>0</v>
      </c>
      <c r="AC58" s="56">
        <v>0</v>
      </c>
      <c r="AD58" s="56">
        <v>630.22</v>
      </c>
      <c r="AE58" s="56">
        <v>161.07321999999999</v>
      </c>
      <c r="AF58" s="56">
        <v>409.0437</v>
      </c>
      <c r="AG58" s="56">
        <v>2638.1576500000001</v>
      </c>
      <c r="AH58" s="56">
        <v>2105.4920000000002</v>
      </c>
      <c r="AI58" s="56">
        <v>4324.72624</v>
      </c>
      <c r="AJ58" s="56">
        <v>18.530249999999999</v>
      </c>
      <c r="AK58" s="56">
        <v>0</v>
      </c>
      <c r="AL58" s="56">
        <v>0</v>
      </c>
      <c r="AM58" s="56">
        <v>0</v>
      </c>
      <c r="AN58" s="56">
        <v>0</v>
      </c>
      <c r="AO58" s="56">
        <v>0</v>
      </c>
      <c r="AP58" s="56">
        <v>0</v>
      </c>
      <c r="AQ58" s="56">
        <v>1180.2</v>
      </c>
      <c r="AR58" s="56">
        <v>777.51099999999997</v>
      </c>
      <c r="AS58" s="56">
        <v>528.47752000000003</v>
      </c>
      <c r="AT58" s="56">
        <v>168.6</v>
      </c>
      <c r="AU58" s="56">
        <v>1220.4000000000001</v>
      </c>
      <c r="AV58" s="56">
        <v>0</v>
      </c>
      <c r="AW58" s="56">
        <v>0</v>
      </c>
      <c r="AX58" s="41">
        <f t="shared" si="1"/>
        <v>85224.885749999972</v>
      </c>
    </row>
    <row r="59" spans="1:50" s="16" customFormat="1" x14ac:dyDescent="0.25">
      <c r="A59" s="2" t="s">
        <v>28</v>
      </c>
      <c r="B59" s="40">
        <v>16918.236679999998</v>
      </c>
      <c r="C59" s="40">
        <v>1402.4966000000002</v>
      </c>
      <c r="D59" s="40">
        <v>1050</v>
      </c>
      <c r="E59" s="40">
        <v>48.825000000000003</v>
      </c>
      <c r="F59" s="40">
        <v>161.86150000000001</v>
      </c>
      <c r="G59" s="40">
        <v>2.78</v>
      </c>
      <c r="H59" s="40">
        <v>327.19069999999999</v>
      </c>
      <c r="I59" s="40">
        <v>0</v>
      </c>
      <c r="J59" s="40">
        <v>11.2875</v>
      </c>
      <c r="K59" s="40">
        <v>2163.9864400000001</v>
      </c>
      <c r="L59" s="40">
        <v>48.739800000000002</v>
      </c>
      <c r="M59" s="40">
        <v>433.81541999999996</v>
      </c>
      <c r="N59" s="40">
        <v>150.07</v>
      </c>
      <c r="O59" s="40">
        <v>11.094850000000001</v>
      </c>
      <c r="P59" s="40">
        <v>0</v>
      </c>
      <c r="Q59" s="40">
        <v>0</v>
      </c>
      <c r="R59" s="40">
        <v>0</v>
      </c>
      <c r="S59" s="40">
        <v>0</v>
      </c>
      <c r="T59" s="40">
        <v>100.0312</v>
      </c>
      <c r="U59" s="40">
        <v>0</v>
      </c>
      <c r="V59" s="56">
        <v>0</v>
      </c>
      <c r="W59" s="56">
        <v>441.39299999999997</v>
      </c>
      <c r="X59" s="56">
        <v>0</v>
      </c>
      <c r="Y59" s="56">
        <v>31.8139</v>
      </c>
      <c r="Z59" s="56">
        <v>281.56400000000002</v>
      </c>
      <c r="AA59" s="56">
        <v>104.62475000000001</v>
      </c>
      <c r="AB59" s="56">
        <v>0</v>
      </c>
      <c r="AC59" s="56">
        <v>0</v>
      </c>
      <c r="AD59" s="56">
        <v>317.10354999999998</v>
      </c>
      <c r="AE59" s="56">
        <v>36.192599999999999</v>
      </c>
      <c r="AF59" s="56">
        <v>97.640240000000006</v>
      </c>
      <c r="AG59" s="56">
        <v>536.25155000000007</v>
      </c>
      <c r="AH59" s="56">
        <v>2137.1999999999998</v>
      </c>
      <c r="AI59" s="56">
        <v>1258.9114999999999</v>
      </c>
      <c r="AJ59" s="56">
        <v>5.5796000000000001</v>
      </c>
      <c r="AK59" s="56">
        <v>0</v>
      </c>
      <c r="AL59" s="56">
        <v>0</v>
      </c>
      <c r="AM59" s="56">
        <v>0</v>
      </c>
      <c r="AN59" s="56">
        <v>24.165749999999999</v>
      </c>
      <c r="AO59" s="56">
        <v>0</v>
      </c>
      <c r="AP59" s="56">
        <v>0</v>
      </c>
      <c r="AQ59" s="56">
        <v>568.28334999999993</v>
      </c>
      <c r="AR59" s="56">
        <v>0</v>
      </c>
      <c r="AS59" s="56">
        <v>22.009450000000001</v>
      </c>
      <c r="AT59" s="56">
        <v>34.484250000000003</v>
      </c>
      <c r="AU59" s="56">
        <v>104.285</v>
      </c>
      <c r="AV59" s="56">
        <v>0</v>
      </c>
      <c r="AW59" s="56">
        <v>0</v>
      </c>
      <c r="AX59" s="41">
        <f t="shared" si="1"/>
        <v>28831.918179999997</v>
      </c>
    </row>
    <row r="60" spans="1:50" s="16" customFormat="1" x14ac:dyDescent="0.25">
      <c r="A60" s="2" t="s">
        <v>29</v>
      </c>
      <c r="B60" s="40">
        <v>264815.91820000001</v>
      </c>
      <c r="C60" s="40">
        <v>75550.665250000005</v>
      </c>
      <c r="D60" s="40">
        <v>13796.636699999999</v>
      </c>
      <c r="E60" s="40">
        <v>375.45</v>
      </c>
      <c r="F60" s="40">
        <v>6450.4127500000004</v>
      </c>
      <c r="G60" s="40">
        <v>10.45</v>
      </c>
      <c r="H60" s="40">
        <v>4898.8342499999999</v>
      </c>
      <c r="I60" s="40">
        <v>0</v>
      </c>
      <c r="J60" s="40">
        <v>925.28380000000004</v>
      </c>
      <c r="K60" s="40">
        <v>25943.419859999998</v>
      </c>
      <c r="L60" s="40">
        <v>5383.6848600000003</v>
      </c>
      <c r="M60" s="40">
        <v>7831.65175</v>
      </c>
      <c r="N60" s="40">
        <v>3740.3582200000001</v>
      </c>
      <c r="O60" s="40">
        <v>0</v>
      </c>
      <c r="P60" s="40">
        <v>329.76863000000003</v>
      </c>
      <c r="Q60" s="40">
        <v>373.16165000000001</v>
      </c>
      <c r="R60" s="40">
        <v>0</v>
      </c>
      <c r="S60" s="40">
        <v>211.09762000000001</v>
      </c>
      <c r="T60" s="40">
        <v>5069.6865399999997</v>
      </c>
      <c r="U60" s="40">
        <v>1528.9147</v>
      </c>
      <c r="V60" s="56">
        <v>1013.40734</v>
      </c>
      <c r="W60" s="56">
        <v>6834.9368400000003</v>
      </c>
      <c r="X60" s="56">
        <v>185.86250000000001</v>
      </c>
      <c r="Y60" s="56">
        <v>18.05</v>
      </c>
      <c r="Z60" s="56">
        <v>14328.65</v>
      </c>
      <c r="AA60" s="56">
        <v>17741.717410000001</v>
      </c>
      <c r="AB60" s="56">
        <v>0</v>
      </c>
      <c r="AC60" s="56">
        <v>413.0711</v>
      </c>
      <c r="AD60" s="56">
        <v>1667.42336</v>
      </c>
      <c r="AE60" s="56">
        <v>0</v>
      </c>
      <c r="AF60" s="56">
        <v>3185.98506</v>
      </c>
      <c r="AG60" s="56">
        <v>4040.1003500000002</v>
      </c>
      <c r="AH60" s="56">
        <v>388</v>
      </c>
      <c r="AI60" s="56">
        <v>12633.56554</v>
      </c>
      <c r="AJ60" s="56">
        <v>85.535149999999987</v>
      </c>
      <c r="AK60" s="56">
        <v>0</v>
      </c>
      <c r="AL60" s="56">
        <v>0</v>
      </c>
      <c r="AM60" s="56">
        <v>0</v>
      </c>
      <c r="AN60" s="56">
        <v>0</v>
      </c>
      <c r="AO60" s="56">
        <v>0</v>
      </c>
      <c r="AP60" s="56">
        <v>0</v>
      </c>
      <c r="AQ60" s="56">
        <v>2104.1000099999997</v>
      </c>
      <c r="AR60" s="56">
        <v>36.654919999999997</v>
      </c>
      <c r="AS60" s="56">
        <v>229.68782000000002</v>
      </c>
      <c r="AT60" s="56">
        <v>53.420449999999995</v>
      </c>
      <c r="AU60" s="56">
        <v>789.1</v>
      </c>
      <c r="AV60" s="56">
        <v>0</v>
      </c>
      <c r="AW60" s="56">
        <v>127.27472999999999</v>
      </c>
      <c r="AX60" s="41">
        <f t="shared" si="1"/>
        <v>483111.93736000004</v>
      </c>
    </row>
    <row r="61" spans="1:50" s="16" customFormat="1" x14ac:dyDescent="0.25">
      <c r="A61" s="2" t="s">
        <v>74</v>
      </c>
      <c r="B61" s="40">
        <v>3872.1571099999996</v>
      </c>
      <c r="C61" s="40">
        <v>186.66499999999999</v>
      </c>
      <c r="D61" s="40">
        <v>228.39400000000001</v>
      </c>
      <c r="E61" s="40">
        <v>11.110100000000001</v>
      </c>
      <c r="F61" s="40">
        <v>82.804500000000004</v>
      </c>
      <c r="G61" s="40">
        <v>-10.8</v>
      </c>
      <c r="H61" s="40">
        <v>115.19925000000001</v>
      </c>
      <c r="I61" s="40">
        <v>0</v>
      </c>
      <c r="J61" s="40">
        <v>0.81</v>
      </c>
      <c r="K61" s="40">
        <v>545.49209999999994</v>
      </c>
      <c r="L61" s="40">
        <v>15.32765</v>
      </c>
      <c r="M61" s="40">
        <v>56.993290000000002</v>
      </c>
      <c r="N61" s="40">
        <v>0</v>
      </c>
      <c r="O61" s="40">
        <v>20.823310000000003</v>
      </c>
      <c r="P61" s="40">
        <v>64.75</v>
      </c>
      <c r="Q61" s="40">
        <v>0</v>
      </c>
      <c r="R61" s="40">
        <v>0</v>
      </c>
      <c r="S61" s="40">
        <v>0</v>
      </c>
      <c r="T61" s="40">
        <v>37.139069999999997</v>
      </c>
      <c r="U61" s="40">
        <v>0</v>
      </c>
      <c r="V61" s="56">
        <v>0</v>
      </c>
      <c r="W61" s="56">
        <v>0</v>
      </c>
      <c r="X61" s="56">
        <v>0</v>
      </c>
      <c r="Y61" s="56">
        <v>0</v>
      </c>
      <c r="Z61" s="56">
        <v>57.373890000000003</v>
      </c>
      <c r="AA61" s="56">
        <v>45.06823</v>
      </c>
      <c r="AB61" s="56">
        <v>0</v>
      </c>
      <c r="AC61" s="56">
        <v>0</v>
      </c>
      <c r="AD61" s="56">
        <v>89.411450000000002</v>
      </c>
      <c r="AE61" s="56">
        <v>22.706060000000001</v>
      </c>
      <c r="AF61" s="56">
        <v>6.6161599999999998</v>
      </c>
      <c r="AG61" s="56">
        <v>102.40939999999999</v>
      </c>
      <c r="AH61" s="56">
        <v>773.53700000000003</v>
      </c>
      <c r="AI61" s="56">
        <v>346.39474999999999</v>
      </c>
      <c r="AJ61" s="56">
        <v>1.1376500000000001</v>
      </c>
      <c r="AK61" s="56">
        <v>0</v>
      </c>
      <c r="AL61" s="56">
        <v>0</v>
      </c>
      <c r="AM61" s="56">
        <v>0</v>
      </c>
      <c r="AN61" s="56">
        <v>0</v>
      </c>
      <c r="AO61" s="56">
        <v>0</v>
      </c>
      <c r="AP61" s="56">
        <v>0</v>
      </c>
      <c r="AQ61" s="56">
        <v>61.5</v>
      </c>
      <c r="AR61" s="56">
        <v>0</v>
      </c>
      <c r="AS61" s="56">
        <v>69.742000000000004</v>
      </c>
      <c r="AT61" s="56">
        <v>46.698500000000003</v>
      </c>
      <c r="AU61" s="56">
        <v>131.90600000000001</v>
      </c>
      <c r="AV61" s="56">
        <v>37.307300000000005</v>
      </c>
      <c r="AW61" s="56">
        <v>0</v>
      </c>
      <c r="AX61" s="41">
        <f t="shared" si="1"/>
        <v>7018.6737699999994</v>
      </c>
    </row>
    <row r="62" spans="1:50" s="16" customFormat="1" x14ac:dyDescent="0.25">
      <c r="A62" s="2" t="s">
        <v>75</v>
      </c>
      <c r="B62" s="40">
        <v>4890.8025700000007</v>
      </c>
      <c r="C62" s="40">
        <v>360</v>
      </c>
      <c r="D62" s="40">
        <v>409</v>
      </c>
      <c r="E62" s="40">
        <v>27.110299999999999</v>
      </c>
      <c r="F62" s="40">
        <v>249.98599999999999</v>
      </c>
      <c r="G62" s="40">
        <v>42.5</v>
      </c>
      <c r="H62" s="40">
        <v>126.54082000000001</v>
      </c>
      <c r="I62" s="40">
        <v>0</v>
      </c>
      <c r="J62" s="40">
        <v>0</v>
      </c>
      <c r="K62" s="40">
        <v>1494.9537800000001</v>
      </c>
      <c r="L62" s="40">
        <v>80.540929999999989</v>
      </c>
      <c r="M62" s="40">
        <v>101.26455</v>
      </c>
      <c r="N62" s="40">
        <v>13.05</v>
      </c>
      <c r="O62" s="40">
        <v>1.86585</v>
      </c>
      <c r="P62" s="40">
        <v>0</v>
      </c>
      <c r="Q62" s="40">
        <v>0</v>
      </c>
      <c r="R62" s="40">
        <v>0</v>
      </c>
      <c r="S62" s="40">
        <v>2</v>
      </c>
      <c r="T62" s="40">
        <v>25.527150000000002</v>
      </c>
      <c r="U62" s="40">
        <v>3</v>
      </c>
      <c r="V62" s="56">
        <v>0</v>
      </c>
      <c r="W62" s="56">
        <v>100.47815</v>
      </c>
      <c r="X62" s="56">
        <v>0</v>
      </c>
      <c r="Y62" s="56">
        <v>0</v>
      </c>
      <c r="Z62" s="56">
        <v>35.31</v>
      </c>
      <c r="AA62" s="56">
        <v>23.11215</v>
      </c>
      <c r="AB62" s="56">
        <v>0</v>
      </c>
      <c r="AC62" s="56">
        <v>0</v>
      </c>
      <c r="AD62" s="56">
        <v>162.65564999999998</v>
      </c>
      <c r="AE62" s="56">
        <v>213.03664000000001</v>
      </c>
      <c r="AF62" s="56">
        <v>68.539259999999999</v>
      </c>
      <c r="AG62" s="56">
        <v>87.3005</v>
      </c>
      <c r="AH62" s="56">
        <v>3001.6120000000001</v>
      </c>
      <c r="AI62" s="56">
        <v>1222.0617</v>
      </c>
      <c r="AJ62" s="56">
        <v>1.5569000000000002</v>
      </c>
      <c r="AK62" s="56">
        <v>0</v>
      </c>
      <c r="AL62" s="56">
        <v>0</v>
      </c>
      <c r="AM62" s="56">
        <v>0</v>
      </c>
      <c r="AN62" s="56">
        <v>0</v>
      </c>
      <c r="AO62" s="56">
        <v>0</v>
      </c>
      <c r="AP62" s="56">
        <v>0</v>
      </c>
      <c r="AQ62" s="56">
        <v>234.80804999999998</v>
      </c>
      <c r="AR62" s="56">
        <v>0</v>
      </c>
      <c r="AS62" s="56">
        <v>0</v>
      </c>
      <c r="AT62" s="56">
        <v>80.5</v>
      </c>
      <c r="AU62" s="56">
        <v>381.18965000000003</v>
      </c>
      <c r="AV62" s="56">
        <v>0</v>
      </c>
      <c r="AW62" s="56">
        <v>0</v>
      </c>
      <c r="AX62" s="41">
        <f t="shared" si="1"/>
        <v>13440.302600000001</v>
      </c>
    </row>
    <row r="63" spans="1:50" s="16" customFormat="1" x14ac:dyDescent="0.25">
      <c r="A63" s="2" t="s">
        <v>76</v>
      </c>
      <c r="B63" s="40">
        <v>5050.0670099999998</v>
      </c>
      <c r="C63" s="40">
        <v>216</v>
      </c>
      <c r="D63" s="40">
        <v>349</v>
      </c>
      <c r="E63" s="40">
        <v>11.55</v>
      </c>
      <c r="F63" s="40">
        <v>44.578000000000003</v>
      </c>
      <c r="G63" s="40">
        <v>0</v>
      </c>
      <c r="H63" s="40">
        <v>87.510300000000001</v>
      </c>
      <c r="I63" s="40">
        <v>0</v>
      </c>
      <c r="J63" s="40">
        <v>1.752</v>
      </c>
      <c r="K63" s="40">
        <v>850.36390000000006</v>
      </c>
      <c r="L63" s="40">
        <v>18.426539999999999</v>
      </c>
      <c r="M63" s="40">
        <v>44.268550000000005</v>
      </c>
      <c r="N63" s="40">
        <v>6.5659999999999998</v>
      </c>
      <c r="O63" s="40">
        <v>0</v>
      </c>
      <c r="P63" s="40">
        <v>0</v>
      </c>
      <c r="Q63" s="40">
        <v>0</v>
      </c>
      <c r="R63" s="40">
        <v>0</v>
      </c>
      <c r="S63" s="40">
        <v>75</v>
      </c>
      <c r="T63" s="40">
        <v>37.202349999999996</v>
      </c>
      <c r="U63" s="40">
        <v>0</v>
      </c>
      <c r="V63" s="56">
        <v>0</v>
      </c>
      <c r="W63" s="56">
        <v>15.228999999999999</v>
      </c>
      <c r="X63" s="56">
        <v>0</v>
      </c>
      <c r="Y63" s="56">
        <v>0</v>
      </c>
      <c r="Z63" s="56">
        <v>0</v>
      </c>
      <c r="AA63" s="56">
        <v>168.1969</v>
      </c>
      <c r="AB63" s="56">
        <v>0</v>
      </c>
      <c r="AC63" s="56">
        <v>0</v>
      </c>
      <c r="AD63" s="56">
        <v>96.710750000000004</v>
      </c>
      <c r="AE63" s="56">
        <v>59.237349999999999</v>
      </c>
      <c r="AF63" s="56">
        <v>8.4798099999999987</v>
      </c>
      <c r="AG63" s="56">
        <v>11.760209999999999</v>
      </c>
      <c r="AH63" s="56">
        <v>0</v>
      </c>
      <c r="AI63" s="56">
        <v>281.875</v>
      </c>
      <c r="AJ63" s="56">
        <v>1.1862000000000001</v>
      </c>
      <c r="AK63" s="56">
        <v>0</v>
      </c>
      <c r="AL63" s="56">
        <v>0</v>
      </c>
      <c r="AM63" s="56">
        <v>0</v>
      </c>
      <c r="AN63" s="56">
        <v>0</v>
      </c>
      <c r="AO63" s="56">
        <v>0</v>
      </c>
      <c r="AP63" s="56">
        <v>0</v>
      </c>
      <c r="AQ63" s="56">
        <v>10</v>
      </c>
      <c r="AR63" s="56">
        <v>0</v>
      </c>
      <c r="AS63" s="56">
        <v>10.629049999999999</v>
      </c>
      <c r="AT63" s="56">
        <v>0</v>
      </c>
      <c r="AU63" s="56">
        <v>122.7</v>
      </c>
      <c r="AV63" s="56">
        <v>0</v>
      </c>
      <c r="AW63" s="56">
        <v>0</v>
      </c>
      <c r="AX63" s="41">
        <f t="shared" si="1"/>
        <v>7578.2889200000009</v>
      </c>
    </row>
    <row r="64" spans="1:50" s="16" customFormat="1" x14ac:dyDescent="0.25">
      <c r="A64" s="2" t="s">
        <v>77</v>
      </c>
      <c r="B64" s="40">
        <v>6705.7756799999997</v>
      </c>
      <c r="C64" s="40">
        <v>5868.5824499999999</v>
      </c>
      <c r="D64" s="40">
        <v>541.04999999999995</v>
      </c>
      <c r="E64" s="40">
        <v>10.65</v>
      </c>
      <c r="F64" s="40">
        <v>50.170999999999999</v>
      </c>
      <c r="G64" s="40">
        <v>0</v>
      </c>
      <c r="H64" s="40">
        <v>58.349849999999996</v>
      </c>
      <c r="I64" s="40">
        <v>0</v>
      </c>
      <c r="J64" s="40">
        <v>0</v>
      </c>
      <c r="K64" s="40">
        <v>724.4665500000001</v>
      </c>
      <c r="L64" s="40">
        <v>9.7217900000000004</v>
      </c>
      <c r="M64" s="40">
        <v>54.194600000000001</v>
      </c>
      <c r="N64" s="40">
        <v>11.9</v>
      </c>
      <c r="O64" s="40">
        <v>2.13815</v>
      </c>
      <c r="P64" s="40">
        <v>27.002179999999999</v>
      </c>
      <c r="Q64" s="40">
        <v>0</v>
      </c>
      <c r="R64" s="40">
        <v>0</v>
      </c>
      <c r="S64" s="40">
        <v>17.866700000000002</v>
      </c>
      <c r="T64" s="40">
        <v>283.87015000000002</v>
      </c>
      <c r="U64" s="40">
        <v>0</v>
      </c>
      <c r="V64" s="56">
        <v>0</v>
      </c>
      <c r="W64" s="56">
        <v>0</v>
      </c>
      <c r="X64" s="56">
        <v>0</v>
      </c>
      <c r="Y64" s="56">
        <v>0</v>
      </c>
      <c r="Z64" s="56">
        <v>0</v>
      </c>
      <c r="AA64" s="56">
        <v>198.73714999999999</v>
      </c>
      <c r="AB64" s="56">
        <v>0</v>
      </c>
      <c r="AC64" s="56">
        <v>0</v>
      </c>
      <c r="AD64" s="56">
        <v>116.11215</v>
      </c>
      <c r="AE64" s="56">
        <v>79.187269999999998</v>
      </c>
      <c r="AF64" s="56">
        <v>227.84664999999998</v>
      </c>
      <c r="AG64" s="56">
        <v>2587.2075</v>
      </c>
      <c r="AH64" s="56">
        <v>0</v>
      </c>
      <c r="AI64" s="56">
        <v>249.46904999999998</v>
      </c>
      <c r="AJ64" s="56">
        <v>1.50305</v>
      </c>
      <c r="AK64" s="56">
        <v>0</v>
      </c>
      <c r="AL64" s="56">
        <v>0</v>
      </c>
      <c r="AM64" s="56">
        <v>0</v>
      </c>
      <c r="AN64" s="56">
        <v>0</v>
      </c>
      <c r="AO64" s="56">
        <v>0</v>
      </c>
      <c r="AP64" s="56">
        <v>0</v>
      </c>
      <c r="AQ64" s="56">
        <v>8</v>
      </c>
      <c r="AR64" s="56">
        <v>409.58890000000002</v>
      </c>
      <c r="AS64" s="56">
        <v>14.676350000000001</v>
      </c>
      <c r="AT64" s="56">
        <v>0</v>
      </c>
      <c r="AU64" s="56">
        <v>52.369</v>
      </c>
      <c r="AV64" s="56">
        <v>0</v>
      </c>
      <c r="AW64" s="56">
        <v>0</v>
      </c>
      <c r="AX64" s="41">
        <f t="shared" si="1"/>
        <v>18310.436170000001</v>
      </c>
    </row>
    <row r="65" spans="1:50" s="16" customFormat="1" ht="12.75" customHeight="1" x14ac:dyDescent="0.25">
      <c r="A65" s="2" t="s">
        <v>15</v>
      </c>
      <c r="B65" s="40">
        <v>25412.90827</v>
      </c>
      <c r="C65" s="40">
        <v>1501.5</v>
      </c>
      <c r="D65" s="40">
        <v>767</v>
      </c>
      <c r="E65" s="40">
        <v>38.774999999999999</v>
      </c>
      <c r="F65" s="40">
        <v>100.512</v>
      </c>
      <c r="G65" s="40">
        <v>0</v>
      </c>
      <c r="H65" s="40">
        <v>565.64819999999997</v>
      </c>
      <c r="I65" s="40">
        <v>66.034199999999998</v>
      </c>
      <c r="J65" s="40">
        <v>29.606000000000002</v>
      </c>
      <c r="K65" s="40">
        <v>1884.4947999999999</v>
      </c>
      <c r="L65" s="40">
        <v>95.171949999999995</v>
      </c>
      <c r="M65" s="40">
        <v>473.51044999999999</v>
      </c>
      <c r="N65" s="40">
        <v>641.11321999999996</v>
      </c>
      <c r="O65" s="40">
        <v>27.233259999999998</v>
      </c>
      <c r="P65" s="40">
        <v>0</v>
      </c>
      <c r="Q65" s="40">
        <v>0</v>
      </c>
      <c r="R65" s="40">
        <v>0</v>
      </c>
      <c r="S65" s="40">
        <v>117.37483</v>
      </c>
      <c r="T65" s="40">
        <v>200.20674</v>
      </c>
      <c r="U65" s="40">
        <v>0</v>
      </c>
      <c r="V65" s="56">
        <v>0</v>
      </c>
      <c r="W65" s="56">
        <v>0</v>
      </c>
      <c r="X65" s="56">
        <v>0</v>
      </c>
      <c r="Y65" s="56">
        <v>0</v>
      </c>
      <c r="Z65" s="56">
        <v>0</v>
      </c>
      <c r="AA65" s="56">
        <v>772.58581000000004</v>
      </c>
      <c r="AB65" s="56">
        <v>0</v>
      </c>
      <c r="AC65" s="56">
        <v>0</v>
      </c>
      <c r="AD65" s="56">
        <v>20.899249999999999</v>
      </c>
      <c r="AE65" s="56">
        <v>0</v>
      </c>
      <c r="AF65" s="56">
        <v>59.230620000000002</v>
      </c>
      <c r="AG65" s="56">
        <v>3563.48837</v>
      </c>
      <c r="AH65" s="56">
        <v>0</v>
      </c>
      <c r="AI65" s="56">
        <v>650.81375000000003</v>
      </c>
      <c r="AJ65" s="56">
        <v>6.8914999999999997</v>
      </c>
      <c r="AK65" s="56">
        <v>0</v>
      </c>
      <c r="AL65" s="56">
        <v>0</v>
      </c>
      <c r="AM65" s="56">
        <v>0</v>
      </c>
      <c r="AN65" s="56">
        <v>0</v>
      </c>
      <c r="AO65" s="56">
        <v>0</v>
      </c>
      <c r="AP65" s="56">
        <v>0</v>
      </c>
      <c r="AQ65" s="56">
        <v>79.745999999999995</v>
      </c>
      <c r="AR65" s="56">
        <v>0</v>
      </c>
      <c r="AS65" s="56">
        <v>0</v>
      </c>
      <c r="AT65" s="56">
        <v>0.56514999999999993</v>
      </c>
      <c r="AU65" s="56">
        <v>2.6560000000000001</v>
      </c>
      <c r="AV65" s="56">
        <v>0</v>
      </c>
      <c r="AW65" s="56">
        <v>0</v>
      </c>
      <c r="AX65" s="41">
        <f t="shared" si="1"/>
        <v>37077.965370000005</v>
      </c>
    </row>
    <row r="66" spans="1:50" s="16" customFormat="1" x14ac:dyDescent="0.25">
      <c r="A66" s="2" t="s">
        <v>78</v>
      </c>
      <c r="B66" s="40">
        <v>5630.2574800000002</v>
      </c>
      <c r="C66" s="40">
        <v>154.69392000000002</v>
      </c>
      <c r="D66" s="40">
        <v>201.2336</v>
      </c>
      <c r="E66" s="40">
        <v>12.074999999999999</v>
      </c>
      <c r="F66" s="40">
        <v>48.2958</v>
      </c>
      <c r="G66" s="40">
        <v>0</v>
      </c>
      <c r="H66" s="40">
        <v>85.631489999999999</v>
      </c>
      <c r="I66" s="40">
        <v>0</v>
      </c>
      <c r="J66" s="40">
        <v>0</v>
      </c>
      <c r="K66" s="40">
        <v>1156.9546</v>
      </c>
      <c r="L66" s="40">
        <v>12.63917</v>
      </c>
      <c r="M66" s="40">
        <v>234.66215</v>
      </c>
      <c r="N66" s="40">
        <v>47.72</v>
      </c>
      <c r="O66" s="40">
        <v>0.99685000000000001</v>
      </c>
      <c r="P66" s="40">
        <v>0.30375000000000002</v>
      </c>
      <c r="Q66" s="40">
        <v>0</v>
      </c>
      <c r="R66" s="40">
        <v>0</v>
      </c>
      <c r="S66" s="40">
        <v>143.1</v>
      </c>
      <c r="T66" s="40">
        <v>66.803749999999994</v>
      </c>
      <c r="U66" s="40">
        <v>0</v>
      </c>
      <c r="V66" s="56">
        <v>0</v>
      </c>
      <c r="W66" s="56">
        <v>0</v>
      </c>
      <c r="X66" s="56">
        <v>0</v>
      </c>
      <c r="Y66" s="56">
        <v>0</v>
      </c>
      <c r="Z66" s="56">
        <v>0</v>
      </c>
      <c r="AA66" s="56">
        <v>678.7242</v>
      </c>
      <c r="AB66" s="56">
        <v>0</v>
      </c>
      <c r="AC66" s="56">
        <v>0</v>
      </c>
      <c r="AD66" s="56">
        <v>46.920490000000001</v>
      </c>
      <c r="AE66" s="56">
        <v>181.31206</v>
      </c>
      <c r="AF66" s="56">
        <v>17.396090000000001</v>
      </c>
      <c r="AG66" s="56">
        <v>372.19346999999999</v>
      </c>
      <c r="AH66" s="56">
        <v>0</v>
      </c>
      <c r="AI66" s="56">
        <v>266.74599999999998</v>
      </c>
      <c r="AJ66" s="56">
        <v>1.4936500000000001</v>
      </c>
      <c r="AK66" s="56">
        <v>0</v>
      </c>
      <c r="AL66" s="56">
        <v>0</v>
      </c>
      <c r="AM66" s="56">
        <v>0</v>
      </c>
      <c r="AN66" s="56">
        <v>0</v>
      </c>
      <c r="AO66" s="56">
        <v>0</v>
      </c>
      <c r="AP66" s="56">
        <v>45.487699999999997</v>
      </c>
      <c r="AQ66" s="56">
        <v>235.37947</v>
      </c>
      <c r="AR66" s="56">
        <v>0</v>
      </c>
      <c r="AS66" s="56">
        <v>83.05364999999999</v>
      </c>
      <c r="AT66" s="56">
        <v>62.526110000000003</v>
      </c>
      <c r="AU66" s="56">
        <v>301.82808</v>
      </c>
      <c r="AV66" s="56">
        <v>0</v>
      </c>
      <c r="AW66" s="56">
        <v>0</v>
      </c>
      <c r="AX66" s="41">
        <f t="shared" si="1"/>
        <v>10088.428530000001</v>
      </c>
    </row>
    <row r="67" spans="1:50" s="16" customFormat="1" ht="12.75" customHeight="1" x14ac:dyDescent="0.25">
      <c r="A67" s="2" t="s">
        <v>16</v>
      </c>
      <c r="B67" s="40">
        <v>53920.763159999995</v>
      </c>
      <c r="C67" s="40">
        <v>16004.630150000001</v>
      </c>
      <c r="D67" s="40">
        <v>2664.2781500000001</v>
      </c>
      <c r="E67" s="40">
        <v>123.47499999999999</v>
      </c>
      <c r="F67" s="40">
        <v>783.76409999999998</v>
      </c>
      <c r="G67" s="40">
        <v>26</v>
      </c>
      <c r="H67" s="40">
        <v>745.30029000000002</v>
      </c>
      <c r="I67" s="40">
        <v>60.301850000000002</v>
      </c>
      <c r="J67" s="40">
        <v>70.377880000000005</v>
      </c>
      <c r="K67" s="40">
        <v>4816.3618099999994</v>
      </c>
      <c r="L67" s="40">
        <v>206.63854000000001</v>
      </c>
      <c r="M67" s="40">
        <v>1734.9809299999999</v>
      </c>
      <c r="N67" s="40">
        <v>645.79243000000008</v>
      </c>
      <c r="O67" s="40">
        <v>0</v>
      </c>
      <c r="P67" s="40">
        <v>44.320949999999996</v>
      </c>
      <c r="Q67" s="40">
        <v>60</v>
      </c>
      <c r="R67" s="40">
        <v>0</v>
      </c>
      <c r="S67" s="40">
        <v>270.04174999999998</v>
      </c>
      <c r="T67" s="40">
        <v>1144.4499099999998</v>
      </c>
      <c r="U67" s="40">
        <v>0</v>
      </c>
      <c r="V67" s="56">
        <v>0</v>
      </c>
      <c r="W67" s="56">
        <v>1556.6751899999999</v>
      </c>
      <c r="X67" s="56">
        <v>0</v>
      </c>
      <c r="Y67" s="56">
        <v>0</v>
      </c>
      <c r="Z67" s="56">
        <v>1500</v>
      </c>
      <c r="AA67" s="56">
        <v>3250.4612200000001</v>
      </c>
      <c r="AB67" s="56">
        <v>0</v>
      </c>
      <c r="AC67" s="56">
        <v>114.06</v>
      </c>
      <c r="AD67" s="56">
        <v>597.28655000000003</v>
      </c>
      <c r="AE67" s="56">
        <v>0</v>
      </c>
      <c r="AF67" s="56">
        <v>588.38056000000006</v>
      </c>
      <c r="AG67" s="56">
        <v>2582.4272000000001</v>
      </c>
      <c r="AH67" s="56">
        <v>0</v>
      </c>
      <c r="AI67" s="56">
        <v>4413.7725499999997</v>
      </c>
      <c r="AJ67" s="56">
        <v>18.908950000000001</v>
      </c>
      <c r="AK67" s="56">
        <v>0</v>
      </c>
      <c r="AL67" s="56">
        <v>0</v>
      </c>
      <c r="AM67" s="56">
        <v>0</v>
      </c>
      <c r="AN67" s="56">
        <v>0</v>
      </c>
      <c r="AO67" s="56">
        <v>0</v>
      </c>
      <c r="AP67" s="56">
        <v>0</v>
      </c>
      <c r="AQ67" s="56">
        <v>1816.5</v>
      </c>
      <c r="AR67" s="56">
        <v>3</v>
      </c>
      <c r="AS67" s="56">
        <v>0</v>
      </c>
      <c r="AT67" s="56">
        <v>467.37584999999996</v>
      </c>
      <c r="AU67" s="56">
        <v>1506.4286499999998</v>
      </c>
      <c r="AV67" s="56">
        <v>0</v>
      </c>
      <c r="AW67" s="56">
        <v>912.56</v>
      </c>
      <c r="AX67" s="41">
        <f t="shared" ref="AX67:AX98" si="2">SUM(B67:AW67)</f>
        <v>102649.31362</v>
      </c>
    </row>
    <row r="68" spans="1:50" s="16" customFormat="1" x14ac:dyDescent="0.25">
      <c r="A68" s="2" t="s">
        <v>79</v>
      </c>
      <c r="B68" s="40">
        <v>530.28006000000005</v>
      </c>
      <c r="C68" s="40">
        <v>22</v>
      </c>
      <c r="D68" s="40">
        <v>38</v>
      </c>
      <c r="E68" s="40">
        <v>1.1000000000000001</v>
      </c>
      <c r="F68" s="40">
        <v>29.705400000000001</v>
      </c>
      <c r="G68" s="40">
        <v>0</v>
      </c>
      <c r="H68" s="40">
        <v>19.256349999999998</v>
      </c>
      <c r="I68" s="40">
        <v>0</v>
      </c>
      <c r="J68" s="40">
        <v>0</v>
      </c>
      <c r="K68" s="40">
        <v>324.33690000000001</v>
      </c>
      <c r="L68" s="40">
        <v>0.1</v>
      </c>
      <c r="M68" s="40">
        <v>1.7270999999999999</v>
      </c>
      <c r="N68" s="40">
        <v>5.15</v>
      </c>
      <c r="O68" s="40">
        <v>0</v>
      </c>
      <c r="P68" s="40">
        <v>3.0256999999999996</v>
      </c>
      <c r="Q68" s="40">
        <v>0</v>
      </c>
      <c r="R68" s="40">
        <v>0</v>
      </c>
      <c r="S68" s="40">
        <v>2.8000000000000001E-2</v>
      </c>
      <c r="T68" s="40">
        <v>0.40033999999999997</v>
      </c>
      <c r="U68" s="40">
        <v>0</v>
      </c>
      <c r="V68" s="56">
        <v>0</v>
      </c>
      <c r="W68" s="56">
        <v>0</v>
      </c>
      <c r="X68" s="56">
        <v>0</v>
      </c>
      <c r="Y68" s="56">
        <v>0</v>
      </c>
      <c r="Z68" s="56">
        <v>0</v>
      </c>
      <c r="AA68" s="56">
        <v>0.65</v>
      </c>
      <c r="AB68" s="56">
        <v>0</v>
      </c>
      <c r="AC68" s="56">
        <v>0</v>
      </c>
      <c r="AD68" s="56">
        <v>5.2285000000000004</v>
      </c>
      <c r="AE68" s="56">
        <v>57.62724</v>
      </c>
      <c r="AF68" s="56">
        <v>41.377960000000002</v>
      </c>
      <c r="AG68" s="56">
        <v>14.6</v>
      </c>
      <c r="AH68" s="56">
        <v>209.98400000000001</v>
      </c>
      <c r="AI68" s="56">
        <v>67.828749999999999</v>
      </c>
      <c r="AJ68" s="56">
        <v>0.23995</v>
      </c>
      <c r="AK68" s="56">
        <v>0</v>
      </c>
      <c r="AL68" s="56">
        <v>0</v>
      </c>
      <c r="AM68" s="56">
        <v>0</v>
      </c>
      <c r="AN68" s="56">
        <v>0</v>
      </c>
      <c r="AO68" s="56">
        <v>0</v>
      </c>
      <c r="AP68" s="56">
        <v>0</v>
      </c>
      <c r="AQ68" s="56">
        <v>156.6</v>
      </c>
      <c r="AR68" s="56">
        <v>0</v>
      </c>
      <c r="AS68" s="56">
        <v>0</v>
      </c>
      <c r="AT68" s="56">
        <v>10.295249999999999</v>
      </c>
      <c r="AU68" s="56">
        <v>101.22272</v>
      </c>
      <c r="AV68" s="56">
        <v>0</v>
      </c>
      <c r="AW68" s="56">
        <v>0</v>
      </c>
      <c r="AX68" s="41">
        <f t="shared" si="2"/>
        <v>1640.7642199999996</v>
      </c>
    </row>
    <row r="69" spans="1:50" s="16" customFormat="1" x14ac:dyDescent="0.25">
      <c r="A69" s="2" t="s">
        <v>80</v>
      </c>
      <c r="B69" s="40">
        <v>4924.8031799999999</v>
      </c>
      <c r="C69" s="40">
        <v>1919.3520000000001</v>
      </c>
      <c r="D69" s="40">
        <v>360</v>
      </c>
      <c r="E69" s="40">
        <v>10.95</v>
      </c>
      <c r="F69" s="40">
        <v>113.703</v>
      </c>
      <c r="G69" s="40">
        <v>-12</v>
      </c>
      <c r="H69" s="40">
        <v>49.327500000000001</v>
      </c>
      <c r="I69" s="40">
        <v>0</v>
      </c>
      <c r="J69" s="40">
        <v>0</v>
      </c>
      <c r="K69" s="40">
        <v>869.6009499999999</v>
      </c>
      <c r="L69" s="40">
        <v>5.3280000000000003</v>
      </c>
      <c r="M69" s="40">
        <v>294.26504999999997</v>
      </c>
      <c r="N69" s="40">
        <v>1.8</v>
      </c>
      <c r="O69" s="40">
        <v>0</v>
      </c>
      <c r="P69" s="40">
        <v>3.3338000000000001</v>
      </c>
      <c r="Q69" s="40">
        <v>0</v>
      </c>
      <c r="R69" s="40">
        <v>0</v>
      </c>
      <c r="S69" s="40">
        <v>0</v>
      </c>
      <c r="T69" s="40">
        <v>18.771650000000001</v>
      </c>
      <c r="U69" s="40">
        <v>0</v>
      </c>
      <c r="V69" s="56">
        <v>0</v>
      </c>
      <c r="W69" s="56">
        <v>0</v>
      </c>
      <c r="X69" s="56">
        <v>0</v>
      </c>
      <c r="Y69" s="56">
        <v>0</v>
      </c>
      <c r="Z69" s="56">
        <v>0</v>
      </c>
      <c r="AA69" s="56">
        <v>118.88</v>
      </c>
      <c r="AB69" s="56">
        <v>0</v>
      </c>
      <c r="AC69" s="56">
        <v>0</v>
      </c>
      <c r="AD69" s="56">
        <v>67.810949999999991</v>
      </c>
      <c r="AE69" s="56">
        <v>79.571839999999995</v>
      </c>
      <c r="AF69" s="56">
        <v>86.437070000000006</v>
      </c>
      <c r="AG69" s="56">
        <v>7.9080000000000004</v>
      </c>
      <c r="AH69" s="56">
        <v>0</v>
      </c>
      <c r="AI69" s="56">
        <v>262.62029999999999</v>
      </c>
      <c r="AJ69" s="56">
        <v>0.62214999999999998</v>
      </c>
      <c r="AK69" s="56">
        <v>0</v>
      </c>
      <c r="AL69" s="56">
        <v>0</v>
      </c>
      <c r="AM69" s="56">
        <v>0</v>
      </c>
      <c r="AN69" s="56">
        <v>0</v>
      </c>
      <c r="AO69" s="56">
        <v>0</v>
      </c>
      <c r="AP69" s="56">
        <v>0</v>
      </c>
      <c r="AQ69" s="56">
        <v>33</v>
      </c>
      <c r="AR69" s="56">
        <v>0</v>
      </c>
      <c r="AS69" s="56">
        <v>6.3730000000000002</v>
      </c>
      <c r="AT69" s="56">
        <v>85.614999999999995</v>
      </c>
      <c r="AU69" s="56">
        <v>289.92250000000001</v>
      </c>
      <c r="AV69" s="56">
        <v>0</v>
      </c>
      <c r="AW69" s="56">
        <v>0</v>
      </c>
      <c r="AX69" s="41">
        <f t="shared" si="2"/>
        <v>9597.9959399999971</v>
      </c>
    </row>
    <row r="70" spans="1:50" s="16" customFormat="1" x14ac:dyDescent="0.25">
      <c r="A70" s="2" t="s">
        <v>81</v>
      </c>
      <c r="B70" s="40">
        <v>527.62618000000009</v>
      </c>
      <c r="C70" s="40">
        <v>15</v>
      </c>
      <c r="D70" s="40">
        <v>30</v>
      </c>
      <c r="E70" s="40">
        <v>2.95</v>
      </c>
      <c r="F70" s="40">
        <v>30.353000000000002</v>
      </c>
      <c r="G70" s="40">
        <v>1.2</v>
      </c>
      <c r="H70" s="40">
        <v>13.0557</v>
      </c>
      <c r="I70" s="40">
        <v>0</v>
      </c>
      <c r="J70" s="40">
        <v>0</v>
      </c>
      <c r="K70" s="40">
        <v>174.54949999999999</v>
      </c>
      <c r="L70" s="40">
        <v>3.6280199999999998</v>
      </c>
      <c r="M70" s="40">
        <v>21.401400000000002</v>
      </c>
      <c r="N70" s="40">
        <v>0.8</v>
      </c>
      <c r="O70" s="40">
        <v>1.16475</v>
      </c>
      <c r="P70" s="40">
        <v>6.4160900000000005</v>
      </c>
      <c r="Q70" s="40">
        <v>0</v>
      </c>
      <c r="R70" s="40">
        <v>0</v>
      </c>
      <c r="S70" s="40">
        <v>0</v>
      </c>
      <c r="T70" s="40">
        <v>3.2342</v>
      </c>
      <c r="U70" s="40">
        <v>0</v>
      </c>
      <c r="V70" s="56">
        <v>0</v>
      </c>
      <c r="W70" s="56">
        <v>6</v>
      </c>
      <c r="X70" s="56">
        <v>0</v>
      </c>
      <c r="Y70" s="56">
        <v>0</v>
      </c>
      <c r="Z70" s="56">
        <v>14</v>
      </c>
      <c r="AA70" s="56">
        <v>2.76</v>
      </c>
      <c r="AB70" s="56">
        <v>0</v>
      </c>
      <c r="AC70" s="56">
        <v>0</v>
      </c>
      <c r="AD70" s="56">
        <v>15.489049999999999</v>
      </c>
      <c r="AE70" s="56">
        <v>0</v>
      </c>
      <c r="AF70" s="56">
        <v>2.5747100000000001</v>
      </c>
      <c r="AG70" s="56">
        <v>5.5933999999999999</v>
      </c>
      <c r="AH70" s="56">
        <v>540.59699999999998</v>
      </c>
      <c r="AI70" s="56">
        <v>83.607799999999997</v>
      </c>
      <c r="AJ70" s="56">
        <v>0.12190000000000001</v>
      </c>
      <c r="AK70" s="56">
        <v>0</v>
      </c>
      <c r="AL70" s="56">
        <v>0</v>
      </c>
      <c r="AM70" s="56">
        <v>0</v>
      </c>
      <c r="AN70" s="56">
        <v>0</v>
      </c>
      <c r="AO70" s="56">
        <v>0</v>
      </c>
      <c r="AP70" s="56">
        <v>0.5</v>
      </c>
      <c r="AQ70" s="56">
        <v>12.96</v>
      </c>
      <c r="AR70" s="56">
        <v>0</v>
      </c>
      <c r="AS70" s="56">
        <v>0.96499999999999997</v>
      </c>
      <c r="AT70" s="56">
        <v>11.29162</v>
      </c>
      <c r="AU70" s="56">
        <v>51.944050000000004</v>
      </c>
      <c r="AV70" s="56">
        <v>0</v>
      </c>
      <c r="AW70" s="56">
        <v>0</v>
      </c>
      <c r="AX70" s="41">
        <f t="shared" si="2"/>
        <v>1579.7833700000001</v>
      </c>
    </row>
    <row r="71" spans="1:50" s="16" customFormat="1" x14ac:dyDescent="0.25">
      <c r="A71" s="2" t="s">
        <v>17</v>
      </c>
      <c r="B71" s="40">
        <v>21689.659</v>
      </c>
      <c r="C71" s="40">
        <v>826.8</v>
      </c>
      <c r="D71" s="40">
        <v>1500</v>
      </c>
      <c r="E71" s="40">
        <v>30.6</v>
      </c>
      <c r="F71" s="40">
        <v>239.52620000000002</v>
      </c>
      <c r="G71" s="40">
        <v>40</v>
      </c>
      <c r="H71" s="40">
        <v>340.55334000000005</v>
      </c>
      <c r="I71" s="40">
        <v>4652.08716</v>
      </c>
      <c r="J71" s="40">
        <v>0</v>
      </c>
      <c r="K71" s="40">
        <v>1835.8010099999999</v>
      </c>
      <c r="L71" s="40">
        <v>71.566050000000004</v>
      </c>
      <c r="M71" s="40">
        <v>312.33565000000004</v>
      </c>
      <c r="N71" s="40">
        <v>4.9000000000000004</v>
      </c>
      <c r="O71" s="40">
        <v>0</v>
      </c>
      <c r="P71" s="40">
        <v>0</v>
      </c>
      <c r="Q71" s="40">
        <v>0</v>
      </c>
      <c r="R71" s="40">
        <v>0</v>
      </c>
      <c r="S71" s="40">
        <v>29.488</v>
      </c>
      <c r="T71" s="40">
        <v>228.95928000000001</v>
      </c>
      <c r="U71" s="40">
        <v>0</v>
      </c>
      <c r="V71" s="56">
        <v>0</v>
      </c>
      <c r="W71" s="56">
        <v>0</v>
      </c>
      <c r="X71" s="56">
        <v>0</v>
      </c>
      <c r="Y71" s="56">
        <v>0</v>
      </c>
      <c r="Z71" s="56">
        <v>279.27</v>
      </c>
      <c r="AA71" s="56">
        <v>1091.8995500000001</v>
      </c>
      <c r="AB71" s="56">
        <v>0</v>
      </c>
      <c r="AC71" s="56">
        <v>0</v>
      </c>
      <c r="AD71" s="56">
        <v>0</v>
      </c>
      <c r="AE71" s="56">
        <v>0</v>
      </c>
      <c r="AF71" s="56">
        <v>24.015000000000001</v>
      </c>
      <c r="AG71" s="56">
        <v>2087.45415</v>
      </c>
      <c r="AH71" s="56">
        <v>0</v>
      </c>
      <c r="AI71" s="56">
        <v>3564.3508299999999</v>
      </c>
      <c r="AJ71" s="56">
        <v>6.1296499999999998</v>
      </c>
      <c r="AK71" s="56">
        <v>0</v>
      </c>
      <c r="AL71" s="56">
        <v>0</v>
      </c>
      <c r="AM71" s="56">
        <v>0</v>
      </c>
      <c r="AN71" s="56">
        <v>0</v>
      </c>
      <c r="AO71" s="56">
        <v>0</v>
      </c>
      <c r="AP71" s="56">
        <v>5.6</v>
      </c>
      <c r="AQ71" s="56">
        <v>105.4</v>
      </c>
      <c r="AR71" s="56">
        <v>0</v>
      </c>
      <c r="AS71" s="56">
        <v>0</v>
      </c>
      <c r="AT71" s="56">
        <v>0</v>
      </c>
      <c r="AU71" s="56">
        <v>185</v>
      </c>
      <c r="AV71" s="56">
        <v>0</v>
      </c>
      <c r="AW71" s="56">
        <v>0</v>
      </c>
      <c r="AX71" s="41">
        <f t="shared" si="2"/>
        <v>39151.394870000004</v>
      </c>
    </row>
    <row r="72" spans="1:50" s="16" customFormat="1" x14ac:dyDescent="0.25">
      <c r="A72" s="2" t="s">
        <v>82</v>
      </c>
      <c r="B72" s="40">
        <v>9748.0126600000003</v>
      </c>
      <c r="C72" s="40">
        <v>1402.7070000000001</v>
      </c>
      <c r="D72" s="40">
        <v>612</v>
      </c>
      <c r="E72" s="40">
        <v>55.5</v>
      </c>
      <c r="F72" s="40">
        <v>302.12225000000001</v>
      </c>
      <c r="G72" s="40">
        <v>15</v>
      </c>
      <c r="H72" s="40">
        <v>183.62916000000001</v>
      </c>
      <c r="I72" s="40">
        <v>0</v>
      </c>
      <c r="J72" s="40">
        <v>0</v>
      </c>
      <c r="K72" s="40">
        <v>2208.4686200000001</v>
      </c>
      <c r="L72" s="40">
        <v>31.860749999999999</v>
      </c>
      <c r="M72" s="40">
        <v>91.515410000000003</v>
      </c>
      <c r="N72" s="40">
        <v>1.7</v>
      </c>
      <c r="O72" s="40">
        <v>0</v>
      </c>
      <c r="P72" s="40">
        <v>2.2720199999999999</v>
      </c>
      <c r="Q72" s="40">
        <v>0</v>
      </c>
      <c r="R72" s="40">
        <v>0</v>
      </c>
      <c r="S72" s="40">
        <v>5.4950000000000006E-2</v>
      </c>
      <c r="T72" s="40">
        <v>66.287689999999998</v>
      </c>
      <c r="U72" s="40">
        <v>0</v>
      </c>
      <c r="V72" s="56">
        <v>0</v>
      </c>
      <c r="W72" s="56">
        <v>0</v>
      </c>
      <c r="X72" s="56">
        <v>0</v>
      </c>
      <c r="Y72" s="56">
        <v>0</v>
      </c>
      <c r="Z72" s="56">
        <v>0</v>
      </c>
      <c r="AA72" s="56">
        <v>61.387</v>
      </c>
      <c r="AB72" s="56">
        <v>0</v>
      </c>
      <c r="AC72" s="56">
        <v>5.8823999999999996</v>
      </c>
      <c r="AD72" s="56">
        <v>180.97815</v>
      </c>
      <c r="AE72" s="56">
        <v>0</v>
      </c>
      <c r="AF72" s="56">
        <v>52.530360000000002</v>
      </c>
      <c r="AG72" s="56">
        <v>89.246449999999996</v>
      </c>
      <c r="AH72" s="56">
        <v>2935.8380000000002</v>
      </c>
      <c r="AI72" s="56">
        <v>1174.5332599999999</v>
      </c>
      <c r="AJ72" s="56">
        <v>1.3624000000000001</v>
      </c>
      <c r="AK72" s="56">
        <v>0</v>
      </c>
      <c r="AL72" s="56">
        <v>0</v>
      </c>
      <c r="AM72" s="56">
        <v>0</v>
      </c>
      <c r="AN72" s="56">
        <v>0</v>
      </c>
      <c r="AO72" s="56">
        <v>0</v>
      </c>
      <c r="AP72" s="56">
        <v>0</v>
      </c>
      <c r="AQ72" s="56">
        <v>323.7</v>
      </c>
      <c r="AR72" s="56">
        <v>0</v>
      </c>
      <c r="AS72" s="56">
        <v>7.3176499999999995</v>
      </c>
      <c r="AT72" s="56">
        <v>28.215</v>
      </c>
      <c r="AU72" s="56">
        <v>302.16829999999999</v>
      </c>
      <c r="AV72" s="56">
        <v>10.925000000000001</v>
      </c>
      <c r="AW72" s="56">
        <v>0</v>
      </c>
      <c r="AX72" s="41">
        <f t="shared" si="2"/>
        <v>19895.21448000001</v>
      </c>
    </row>
    <row r="73" spans="1:50" s="16" customFormat="1" x14ac:dyDescent="0.25">
      <c r="A73" s="1" t="s">
        <v>18</v>
      </c>
      <c r="B73" s="40">
        <v>12106.001460000001</v>
      </c>
      <c r="C73" s="40">
        <v>1630.6575500000001</v>
      </c>
      <c r="D73" s="40">
        <v>611.3424</v>
      </c>
      <c r="E73" s="40">
        <v>34.15</v>
      </c>
      <c r="F73" s="40">
        <v>102.8262</v>
      </c>
      <c r="G73" s="40">
        <v>3.2</v>
      </c>
      <c r="H73" s="40">
        <v>92.43910000000001</v>
      </c>
      <c r="I73" s="40">
        <v>0</v>
      </c>
      <c r="J73" s="40">
        <v>3.01</v>
      </c>
      <c r="K73" s="40">
        <v>1082.81305</v>
      </c>
      <c r="L73" s="40">
        <v>43.007379999999998</v>
      </c>
      <c r="M73" s="40">
        <v>201.50202999999999</v>
      </c>
      <c r="N73" s="40">
        <v>43.5</v>
      </c>
      <c r="O73" s="40">
        <v>7.6176000000000004</v>
      </c>
      <c r="P73" s="40">
        <v>0</v>
      </c>
      <c r="Q73" s="40">
        <v>0</v>
      </c>
      <c r="R73" s="40">
        <v>0</v>
      </c>
      <c r="S73" s="40">
        <v>0</v>
      </c>
      <c r="T73" s="40">
        <v>113.80136</v>
      </c>
      <c r="U73" s="40">
        <v>0</v>
      </c>
      <c r="V73" s="56">
        <v>0</v>
      </c>
      <c r="W73" s="56">
        <v>0</v>
      </c>
      <c r="X73" s="56">
        <v>0</v>
      </c>
      <c r="Y73" s="56">
        <v>0</v>
      </c>
      <c r="Z73" s="56">
        <v>0</v>
      </c>
      <c r="AA73" s="56">
        <v>207.17</v>
      </c>
      <c r="AB73" s="56">
        <v>0</v>
      </c>
      <c r="AC73" s="56">
        <v>0</v>
      </c>
      <c r="AD73" s="56">
        <v>170.5531</v>
      </c>
      <c r="AE73" s="56">
        <v>16.252549999999999</v>
      </c>
      <c r="AF73" s="56">
        <v>61.419470000000004</v>
      </c>
      <c r="AG73" s="56">
        <v>319.51609999999999</v>
      </c>
      <c r="AH73" s="56">
        <v>359.16199999999998</v>
      </c>
      <c r="AI73" s="56">
        <v>791.06706999999994</v>
      </c>
      <c r="AJ73" s="56">
        <v>3.2496499999999999</v>
      </c>
      <c r="AK73" s="56">
        <v>0</v>
      </c>
      <c r="AL73" s="56">
        <v>0</v>
      </c>
      <c r="AM73" s="56">
        <v>0</v>
      </c>
      <c r="AN73" s="56">
        <v>0</v>
      </c>
      <c r="AO73" s="56">
        <v>0</v>
      </c>
      <c r="AP73" s="56">
        <v>0</v>
      </c>
      <c r="AQ73" s="56">
        <v>1374</v>
      </c>
      <c r="AR73" s="56">
        <v>0</v>
      </c>
      <c r="AS73" s="56">
        <v>0</v>
      </c>
      <c r="AT73" s="56">
        <v>82.3</v>
      </c>
      <c r="AU73" s="56">
        <v>674.64784999999995</v>
      </c>
      <c r="AV73" s="56">
        <v>0</v>
      </c>
      <c r="AW73" s="56">
        <v>0</v>
      </c>
      <c r="AX73" s="41">
        <f t="shared" si="2"/>
        <v>20135.205920000004</v>
      </c>
    </row>
    <row r="74" spans="1:50" s="16" customFormat="1" x14ac:dyDescent="0.25">
      <c r="A74" s="2" t="s">
        <v>83</v>
      </c>
      <c r="B74" s="40">
        <v>7497.5294400000002</v>
      </c>
      <c r="C74" s="40">
        <v>435</v>
      </c>
      <c r="D74" s="40">
        <v>340</v>
      </c>
      <c r="E74" s="40">
        <v>7.8</v>
      </c>
      <c r="F74" s="40">
        <v>62.429949999999998</v>
      </c>
      <c r="G74" s="40">
        <v>24</v>
      </c>
      <c r="H74" s="40">
        <v>58.148000000000003</v>
      </c>
      <c r="I74" s="40">
        <v>0</v>
      </c>
      <c r="J74" s="40">
        <v>0</v>
      </c>
      <c r="K74" s="40">
        <v>1004.85378</v>
      </c>
      <c r="L74" s="40">
        <v>1.2649999999999999</v>
      </c>
      <c r="M74" s="40">
        <v>71.834519999999998</v>
      </c>
      <c r="N74" s="40">
        <v>27.87</v>
      </c>
      <c r="O74" s="40">
        <v>0</v>
      </c>
      <c r="P74" s="40">
        <v>0</v>
      </c>
      <c r="Q74" s="40">
        <v>0</v>
      </c>
      <c r="R74" s="40">
        <v>0</v>
      </c>
      <c r="S74" s="40">
        <v>9.8837900000000012</v>
      </c>
      <c r="T74" s="40">
        <v>64.363820000000004</v>
      </c>
      <c r="U74" s="40">
        <v>0</v>
      </c>
      <c r="V74" s="56">
        <v>0</v>
      </c>
      <c r="W74" s="56">
        <v>0</v>
      </c>
      <c r="X74" s="56">
        <v>0</v>
      </c>
      <c r="Y74" s="56">
        <v>0</v>
      </c>
      <c r="Z74" s="56">
        <v>0</v>
      </c>
      <c r="AA74" s="56">
        <v>766.53923999999995</v>
      </c>
      <c r="AB74" s="56">
        <v>0</v>
      </c>
      <c r="AC74" s="56">
        <v>0</v>
      </c>
      <c r="AD74" s="56">
        <v>0</v>
      </c>
      <c r="AE74" s="56">
        <v>11.540389999999999</v>
      </c>
      <c r="AF74" s="56">
        <v>6.51769</v>
      </c>
      <c r="AG74" s="56">
        <v>294.82155999999998</v>
      </c>
      <c r="AH74" s="56">
        <v>0</v>
      </c>
      <c r="AI74" s="56">
        <v>120.40544</v>
      </c>
      <c r="AJ74" s="56">
        <v>1.12155</v>
      </c>
      <c r="AK74" s="56">
        <v>0</v>
      </c>
      <c r="AL74" s="56">
        <v>0</v>
      </c>
      <c r="AM74" s="56">
        <v>0</v>
      </c>
      <c r="AN74" s="56">
        <v>0</v>
      </c>
      <c r="AO74" s="56">
        <v>0</v>
      </c>
      <c r="AP74" s="56">
        <v>11</v>
      </c>
      <c r="AQ74" s="56">
        <v>191.2</v>
      </c>
      <c r="AR74" s="56">
        <v>10</v>
      </c>
      <c r="AS74" s="56">
        <v>24.9</v>
      </c>
      <c r="AT74" s="56">
        <v>204.25225</v>
      </c>
      <c r="AU74" s="56">
        <v>610.59500000000003</v>
      </c>
      <c r="AV74" s="56">
        <v>0</v>
      </c>
      <c r="AW74" s="56">
        <v>0</v>
      </c>
      <c r="AX74" s="41">
        <f t="shared" si="2"/>
        <v>11857.871419999999</v>
      </c>
    </row>
    <row r="75" spans="1:50" s="16" customFormat="1" x14ac:dyDescent="0.25">
      <c r="A75" s="2" t="s">
        <v>19</v>
      </c>
      <c r="B75" s="40">
        <v>8477.2479000000003</v>
      </c>
      <c r="C75" s="40">
        <v>1105.9096499999998</v>
      </c>
      <c r="D75" s="40">
        <v>650</v>
      </c>
      <c r="E75" s="40">
        <v>9.375</v>
      </c>
      <c r="F75" s="40">
        <v>282.5326</v>
      </c>
      <c r="G75" s="40">
        <v>0</v>
      </c>
      <c r="H75" s="40">
        <v>101.52764999999999</v>
      </c>
      <c r="I75" s="40">
        <v>0</v>
      </c>
      <c r="J75" s="40">
        <v>0</v>
      </c>
      <c r="K75" s="40">
        <v>947.66425000000004</v>
      </c>
      <c r="L75" s="40">
        <v>7.2883999999999993</v>
      </c>
      <c r="M75" s="40">
        <v>231.44185000000002</v>
      </c>
      <c r="N75" s="40">
        <v>167.51</v>
      </c>
      <c r="O75" s="40">
        <v>0</v>
      </c>
      <c r="P75" s="40">
        <v>8.7428500000000007</v>
      </c>
      <c r="Q75" s="40">
        <v>0</v>
      </c>
      <c r="R75" s="40">
        <v>0</v>
      </c>
      <c r="S75" s="40">
        <v>27.50084</v>
      </c>
      <c r="T75" s="40">
        <v>37.631050000000002</v>
      </c>
      <c r="U75" s="40">
        <v>0</v>
      </c>
      <c r="V75" s="56">
        <v>6.0000000000000001E-3</v>
      </c>
      <c r="W75" s="56">
        <v>877.93078000000003</v>
      </c>
      <c r="X75" s="56">
        <v>0</v>
      </c>
      <c r="Y75" s="56">
        <v>0</v>
      </c>
      <c r="Z75" s="56">
        <v>249.298</v>
      </c>
      <c r="AA75" s="56">
        <v>656.72609999999997</v>
      </c>
      <c r="AB75" s="56">
        <v>0</v>
      </c>
      <c r="AC75" s="56">
        <v>0</v>
      </c>
      <c r="AD75" s="56">
        <v>50.341349999999998</v>
      </c>
      <c r="AE75" s="56">
        <v>0</v>
      </c>
      <c r="AF75" s="56">
        <v>28.874580000000002</v>
      </c>
      <c r="AG75" s="56">
        <v>124.12514999999999</v>
      </c>
      <c r="AH75" s="56">
        <v>0</v>
      </c>
      <c r="AI75" s="56">
        <v>296.37815000000001</v>
      </c>
      <c r="AJ75" s="56">
        <v>2.4488000000000003</v>
      </c>
      <c r="AK75" s="56">
        <v>0</v>
      </c>
      <c r="AL75" s="56">
        <v>0</v>
      </c>
      <c r="AM75" s="56">
        <v>0</v>
      </c>
      <c r="AN75" s="56">
        <v>0</v>
      </c>
      <c r="AO75" s="56">
        <v>0</v>
      </c>
      <c r="AP75" s="56">
        <v>0</v>
      </c>
      <c r="AQ75" s="56">
        <v>9</v>
      </c>
      <c r="AR75" s="56">
        <v>95.14</v>
      </c>
      <c r="AS75" s="56">
        <v>21.15</v>
      </c>
      <c r="AT75" s="56">
        <v>2.2111000000000001</v>
      </c>
      <c r="AU75" s="56">
        <v>22.96</v>
      </c>
      <c r="AV75" s="56">
        <v>0</v>
      </c>
      <c r="AW75" s="56">
        <v>0</v>
      </c>
      <c r="AX75" s="41">
        <f t="shared" si="2"/>
        <v>14490.96205</v>
      </c>
    </row>
    <row r="76" spans="1:50" s="16" customFormat="1" x14ac:dyDescent="0.25">
      <c r="A76" s="2" t="s">
        <v>84</v>
      </c>
      <c r="B76" s="40">
        <v>3350.4572200000002</v>
      </c>
      <c r="C76" s="40">
        <v>597.91155000000003</v>
      </c>
      <c r="D76" s="40">
        <v>235</v>
      </c>
      <c r="E76" s="40">
        <v>10.37</v>
      </c>
      <c r="F76" s="40">
        <v>30.202999999999999</v>
      </c>
      <c r="G76" s="40">
        <v>0</v>
      </c>
      <c r="H76" s="40">
        <v>28.82095</v>
      </c>
      <c r="I76" s="40">
        <v>0</v>
      </c>
      <c r="J76" s="40">
        <v>0</v>
      </c>
      <c r="K76" s="40">
        <v>521.40413999999998</v>
      </c>
      <c r="L76" s="40">
        <v>11.222100000000001</v>
      </c>
      <c r="M76" s="40">
        <v>89.987499999999997</v>
      </c>
      <c r="N76" s="40">
        <v>31.08005</v>
      </c>
      <c r="O76" s="40">
        <v>15.302950000000001</v>
      </c>
      <c r="P76" s="40">
        <v>0</v>
      </c>
      <c r="Q76" s="40">
        <v>0</v>
      </c>
      <c r="R76" s="40">
        <v>0</v>
      </c>
      <c r="S76" s="40">
        <v>15.7105</v>
      </c>
      <c r="T76" s="40">
        <v>6.1231999999999998</v>
      </c>
      <c r="U76" s="40">
        <v>0</v>
      </c>
      <c r="V76" s="56">
        <v>0</v>
      </c>
      <c r="W76" s="56">
        <v>0</v>
      </c>
      <c r="X76" s="56">
        <v>0</v>
      </c>
      <c r="Y76" s="56">
        <v>0</v>
      </c>
      <c r="Z76" s="56">
        <v>0</v>
      </c>
      <c r="AA76" s="56">
        <v>148.49</v>
      </c>
      <c r="AB76" s="56">
        <v>0</v>
      </c>
      <c r="AC76" s="56">
        <v>0</v>
      </c>
      <c r="AD76" s="56">
        <v>30.805150000000001</v>
      </c>
      <c r="AE76" s="56">
        <v>127.30149</v>
      </c>
      <c r="AF76" s="56">
        <v>15.89573</v>
      </c>
      <c r="AG76" s="56">
        <v>10.765000000000001</v>
      </c>
      <c r="AH76" s="56">
        <v>0</v>
      </c>
      <c r="AI76" s="56">
        <v>112.71589999999999</v>
      </c>
      <c r="AJ76" s="56">
        <v>0.71189999999999998</v>
      </c>
      <c r="AK76" s="56">
        <v>0</v>
      </c>
      <c r="AL76" s="56">
        <v>0</v>
      </c>
      <c r="AM76" s="56">
        <v>0</v>
      </c>
      <c r="AN76" s="56">
        <v>0</v>
      </c>
      <c r="AO76" s="56">
        <v>0</v>
      </c>
      <c r="AP76" s="56">
        <v>0</v>
      </c>
      <c r="AQ76" s="56">
        <v>0</v>
      </c>
      <c r="AR76" s="56">
        <v>0</v>
      </c>
      <c r="AS76" s="56">
        <v>6</v>
      </c>
      <c r="AT76" s="56">
        <v>5.9983399999999998</v>
      </c>
      <c r="AU76" s="56">
        <v>61.755000000000003</v>
      </c>
      <c r="AV76" s="56">
        <v>0</v>
      </c>
      <c r="AW76" s="56">
        <v>0</v>
      </c>
      <c r="AX76" s="41">
        <f t="shared" si="2"/>
        <v>5464.0316700000012</v>
      </c>
    </row>
    <row r="77" spans="1:50" s="16" customFormat="1" x14ac:dyDescent="0.25">
      <c r="A77" s="2" t="s">
        <v>85</v>
      </c>
      <c r="B77" s="40">
        <v>1107.4348600000001</v>
      </c>
      <c r="C77" s="40">
        <v>71.459999999999994</v>
      </c>
      <c r="D77" s="40">
        <v>49.7</v>
      </c>
      <c r="E77" s="40">
        <v>1.1499999999999999</v>
      </c>
      <c r="F77" s="40">
        <v>14.877000000000001</v>
      </c>
      <c r="G77" s="40">
        <v>0</v>
      </c>
      <c r="H77" s="40">
        <v>19.123799999999999</v>
      </c>
      <c r="I77" s="40">
        <v>0</v>
      </c>
      <c r="J77" s="40">
        <v>0</v>
      </c>
      <c r="K77" s="40">
        <v>164.01469</v>
      </c>
      <c r="L77" s="40">
        <v>4.1779999999999999</v>
      </c>
      <c r="M77" s="40">
        <v>4.0589000000000004</v>
      </c>
      <c r="N77" s="40">
        <v>0</v>
      </c>
      <c r="O77" s="40">
        <v>0</v>
      </c>
      <c r="P77" s="40">
        <v>1.5499999999999999E-3</v>
      </c>
      <c r="Q77" s="40">
        <v>0</v>
      </c>
      <c r="R77" s="40">
        <v>0</v>
      </c>
      <c r="S77" s="40">
        <v>0</v>
      </c>
      <c r="T77" s="40">
        <v>3.0972</v>
      </c>
      <c r="U77" s="40">
        <v>0</v>
      </c>
      <c r="V77" s="56">
        <v>0</v>
      </c>
      <c r="W77" s="56">
        <v>0</v>
      </c>
      <c r="X77" s="56">
        <v>0</v>
      </c>
      <c r="Y77" s="56">
        <v>0</v>
      </c>
      <c r="Z77" s="56">
        <v>0</v>
      </c>
      <c r="AA77" s="56">
        <v>0.2356</v>
      </c>
      <c r="AB77" s="56">
        <v>0</v>
      </c>
      <c r="AC77" s="56">
        <v>0</v>
      </c>
      <c r="AD77" s="56">
        <v>4.4887499999999996</v>
      </c>
      <c r="AE77" s="56">
        <v>13.886940000000001</v>
      </c>
      <c r="AF77" s="56">
        <v>3.6109</v>
      </c>
      <c r="AG77" s="56">
        <v>6.8926000000000007</v>
      </c>
      <c r="AH77" s="56">
        <v>0</v>
      </c>
      <c r="AI77" s="56">
        <v>19.878700000000002</v>
      </c>
      <c r="AJ77" s="56">
        <v>0.12659999999999999</v>
      </c>
      <c r="AK77" s="56">
        <v>0</v>
      </c>
      <c r="AL77" s="56">
        <v>0</v>
      </c>
      <c r="AM77" s="56">
        <v>0</v>
      </c>
      <c r="AN77" s="56">
        <v>0</v>
      </c>
      <c r="AO77" s="56">
        <v>0</v>
      </c>
      <c r="AP77" s="56">
        <v>0</v>
      </c>
      <c r="AQ77" s="56">
        <v>0</v>
      </c>
      <c r="AR77" s="56">
        <v>0</v>
      </c>
      <c r="AS77" s="56">
        <v>0</v>
      </c>
      <c r="AT77" s="56">
        <v>6.6185</v>
      </c>
      <c r="AU77" s="56">
        <v>49.509</v>
      </c>
      <c r="AV77" s="56">
        <v>0</v>
      </c>
      <c r="AW77" s="56">
        <v>0</v>
      </c>
      <c r="AX77" s="41">
        <f t="shared" si="2"/>
        <v>1544.3435900000002</v>
      </c>
    </row>
    <row r="78" spans="1:50" s="16" customFormat="1" x14ac:dyDescent="0.25">
      <c r="A78" s="2" t="s">
        <v>86</v>
      </c>
      <c r="B78" s="40">
        <v>1644.2244099999998</v>
      </c>
      <c r="C78" s="40">
        <v>148.85004999999998</v>
      </c>
      <c r="D78" s="40">
        <v>100.1</v>
      </c>
      <c r="E78" s="40">
        <v>9.2782</v>
      </c>
      <c r="F78" s="40">
        <v>39.24</v>
      </c>
      <c r="G78" s="40">
        <v>0</v>
      </c>
      <c r="H78" s="40">
        <v>40.047750000000001</v>
      </c>
      <c r="I78" s="40">
        <v>0</v>
      </c>
      <c r="J78" s="40">
        <v>0</v>
      </c>
      <c r="K78" s="40">
        <v>560.37237000000005</v>
      </c>
      <c r="L78" s="40">
        <v>13.340999999999999</v>
      </c>
      <c r="M78" s="40">
        <v>54.324300000000001</v>
      </c>
      <c r="N78" s="40">
        <v>0</v>
      </c>
      <c r="O78" s="40">
        <v>0</v>
      </c>
      <c r="P78" s="40">
        <v>34.5</v>
      </c>
      <c r="Q78" s="40">
        <v>0</v>
      </c>
      <c r="R78" s="40">
        <v>0</v>
      </c>
      <c r="S78" s="40">
        <v>0</v>
      </c>
      <c r="T78" s="40">
        <v>15.433</v>
      </c>
      <c r="U78" s="40">
        <v>0</v>
      </c>
      <c r="V78" s="56">
        <v>0</v>
      </c>
      <c r="W78" s="56">
        <v>13</v>
      </c>
      <c r="X78" s="56">
        <v>0</v>
      </c>
      <c r="Y78" s="56">
        <v>0</v>
      </c>
      <c r="Z78" s="56">
        <v>0</v>
      </c>
      <c r="AA78" s="56">
        <v>17.566680000000002</v>
      </c>
      <c r="AB78" s="56">
        <v>0</v>
      </c>
      <c r="AC78" s="56">
        <v>0</v>
      </c>
      <c r="AD78" s="56">
        <v>51.558349999999997</v>
      </c>
      <c r="AE78" s="56">
        <v>41.189489999999999</v>
      </c>
      <c r="AF78" s="56">
        <v>0.86120000000000008</v>
      </c>
      <c r="AG78" s="56">
        <v>1315.0974199999998</v>
      </c>
      <c r="AH78" s="56">
        <v>495.23899999999998</v>
      </c>
      <c r="AI78" s="56">
        <v>197.98249999999999</v>
      </c>
      <c r="AJ78" s="56">
        <v>1.1597500000000001</v>
      </c>
      <c r="AK78" s="56">
        <v>0</v>
      </c>
      <c r="AL78" s="56">
        <v>0</v>
      </c>
      <c r="AM78" s="56">
        <v>0</v>
      </c>
      <c r="AN78" s="56">
        <v>0</v>
      </c>
      <c r="AO78" s="56">
        <v>0</v>
      </c>
      <c r="AP78" s="56">
        <v>0</v>
      </c>
      <c r="AQ78" s="56">
        <v>62</v>
      </c>
      <c r="AR78" s="56">
        <v>0</v>
      </c>
      <c r="AS78" s="56">
        <v>0.5</v>
      </c>
      <c r="AT78" s="56">
        <v>0</v>
      </c>
      <c r="AU78" s="56">
        <v>130.13292999999999</v>
      </c>
      <c r="AV78" s="56">
        <v>0</v>
      </c>
      <c r="AW78" s="56">
        <v>0</v>
      </c>
      <c r="AX78" s="41">
        <f t="shared" si="2"/>
        <v>4985.9983999999986</v>
      </c>
    </row>
    <row r="79" spans="1:50" s="16" customFormat="1" x14ac:dyDescent="0.25">
      <c r="A79" s="2" t="s">
        <v>20</v>
      </c>
      <c r="B79" s="40">
        <v>7928.8741200000004</v>
      </c>
      <c r="C79" s="40">
        <v>2464.4626000000003</v>
      </c>
      <c r="D79" s="40">
        <v>305</v>
      </c>
      <c r="E79" s="40">
        <v>22.347849999999998</v>
      </c>
      <c r="F79" s="40">
        <v>76.061000000000007</v>
      </c>
      <c r="G79" s="40">
        <v>0</v>
      </c>
      <c r="H79" s="40">
        <v>74.535449999999997</v>
      </c>
      <c r="I79" s="40">
        <v>0</v>
      </c>
      <c r="J79" s="40">
        <v>0</v>
      </c>
      <c r="K79" s="40">
        <v>515.45384999999999</v>
      </c>
      <c r="L79" s="40">
        <v>38.929160000000003</v>
      </c>
      <c r="M79" s="40">
        <v>225.02645000000001</v>
      </c>
      <c r="N79" s="40">
        <v>27.61</v>
      </c>
      <c r="O79" s="40">
        <v>0</v>
      </c>
      <c r="P79" s="40">
        <v>5.9974499999999997</v>
      </c>
      <c r="Q79" s="40">
        <v>0</v>
      </c>
      <c r="R79" s="40">
        <v>0</v>
      </c>
      <c r="S79" s="40">
        <v>4.7355</v>
      </c>
      <c r="T79" s="40">
        <v>66.118859999999998</v>
      </c>
      <c r="U79" s="40">
        <v>0</v>
      </c>
      <c r="V79" s="56">
        <v>0</v>
      </c>
      <c r="W79" s="56">
        <v>0</v>
      </c>
      <c r="X79" s="56">
        <v>0</v>
      </c>
      <c r="Y79" s="56">
        <v>0</v>
      </c>
      <c r="Z79" s="56">
        <v>0</v>
      </c>
      <c r="AA79" s="56">
        <v>45.405999999999999</v>
      </c>
      <c r="AB79" s="56">
        <v>0</v>
      </c>
      <c r="AC79" s="56">
        <v>0</v>
      </c>
      <c r="AD79" s="56">
        <v>166.16845000000001</v>
      </c>
      <c r="AE79" s="56">
        <v>31.202159999999999</v>
      </c>
      <c r="AF79" s="56">
        <v>93.270889999999994</v>
      </c>
      <c r="AG79" s="56">
        <v>28.529400000000003</v>
      </c>
      <c r="AH79" s="56">
        <v>0</v>
      </c>
      <c r="AI79" s="56">
        <v>294.51345000000003</v>
      </c>
      <c r="AJ79" s="56">
        <v>1.6298499999999998</v>
      </c>
      <c r="AK79" s="56">
        <v>0</v>
      </c>
      <c r="AL79" s="56">
        <v>0</v>
      </c>
      <c r="AM79" s="56">
        <v>0</v>
      </c>
      <c r="AN79" s="56">
        <v>0</v>
      </c>
      <c r="AO79" s="56">
        <v>0</v>
      </c>
      <c r="AP79" s="56">
        <v>0</v>
      </c>
      <c r="AQ79" s="56">
        <v>264.3</v>
      </c>
      <c r="AR79" s="56">
        <v>0</v>
      </c>
      <c r="AS79" s="56">
        <v>0</v>
      </c>
      <c r="AT79" s="56">
        <v>0</v>
      </c>
      <c r="AU79" s="56">
        <v>11.88495</v>
      </c>
      <c r="AV79" s="56">
        <v>0</v>
      </c>
      <c r="AW79" s="56">
        <v>0</v>
      </c>
      <c r="AX79" s="41">
        <f t="shared" si="2"/>
        <v>12692.05744</v>
      </c>
    </row>
    <row r="80" spans="1:50" s="16" customFormat="1" x14ac:dyDescent="0.25">
      <c r="A80" s="2" t="s">
        <v>87</v>
      </c>
      <c r="B80" s="40">
        <v>1265.0841599999999</v>
      </c>
      <c r="C80" s="40">
        <v>138.90658999999999</v>
      </c>
      <c r="D80" s="40">
        <v>116.6</v>
      </c>
      <c r="E80" s="40">
        <v>7.44</v>
      </c>
      <c r="F80" s="40">
        <v>45.890039999999999</v>
      </c>
      <c r="G80" s="40">
        <v>0</v>
      </c>
      <c r="H80" s="40">
        <v>36.001769999999993</v>
      </c>
      <c r="I80" s="40">
        <v>0</v>
      </c>
      <c r="J80" s="40">
        <v>0</v>
      </c>
      <c r="K80" s="40">
        <v>721.96280000000002</v>
      </c>
      <c r="L80" s="40">
        <v>402.18011999999999</v>
      </c>
      <c r="M80" s="40">
        <v>14.279110000000001</v>
      </c>
      <c r="N80" s="40">
        <v>0.22</v>
      </c>
      <c r="O80" s="40">
        <v>0</v>
      </c>
      <c r="P80" s="40">
        <v>37.408239999999999</v>
      </c>
      <c r="Q80" s="40">
        <v>0</v>
      </c>
      <c r="R80" s="40">
        <v>0</v>
      </c>
      <c r="S80" s="40">
        <v>3</v>
      </c>
      <c r="T80" s="40">
        <v>7.6146599999999998</v>
      </c>
      <c r="U80" s="40">
        <v>0</v>
      </c>
      <c r="V80" s="56">
        <v>0</v>
      </c>
      <c r="W80" s="56">
        <v>0</v>
      </c>
      <c r="X80" s="56">
        <v>2.5990500000000001</v>
      </c>
      <c r="Y80" s="56">
        <v>0</v>
      </c>
      <c r="Z80" s="56">
        <v>18.321000000000002</v>
      </c>
      <c r="AA80" s="56">
        <v>193.32229000000001</v>
      </c>
      <c r="AB80" s="56">
        <v>0</v>
      </c>
      <c r="AC80" s="56">
        <v>0</v>
      </c>
      <c r="AD80" s="56">
        <v>153.37914999999998</v>
      </c>
      <c r="AE80" s="56">
        <v>2.5390700000000002</v>
      </c>
      <c r="AF80" s="56">
        <v>312.29199999999997</v>
      </c>
      <c r="AG80" s="56">
        <v>27.680499999999999</v>
      </c>
      <c r="AH80" s="56">
        <v>1350.6420000000001</v>
      </c>
      <c r="AI80" s="56">
        <v>166.672</v>
      </c>
      <c r="AJ80" s="56">
        <v>0</v>
      </c>
      <c r="AK80" s="56">
        <v>0</v>
      </c>
      <c r="AL80" s="56">
        <v>0</v>
      </c>
      <c r="AM80" s="56">
        <v>0</v>
      </c>
      <c r="AN80" s="56">
        <v>0</v>
      </c>
      <c r="AO80" s="56">
        <v>0</v>
      </c>
      <c r="AP80" s="56">
        <v>10</v>
      </c>
      <c r="AQ80" s="56">
        <v>167.8</v>
      </c>
      <c r="AR80" s="56">
        <v>0</v>
      </c>
      <c r="AS80" s="56">
        <v>0</v>
      </c>
      <c r="AT80" s="56">
        <v>25.303999999999998</v>
      </c>
      <c r="AU80" s="56">
        <v>96.104399999999998</v>
      </c>
      <c r="AV80" s="56">
        <v>0</v>
      </c>
      <c r="AW80" s="56">
        <v>0</v>
      </c>
      <c r="AX80" s="41">
        <f t="shared" si="2"/>
        <v>5323.2429499999998</v>
      </c>
    </row>
    <row r="81" spans="1:50" s="16" customFormat="1" x14ac:dyDescent="0.25">
      <c r="A81" s="2" t="s">
        <v>30</v>
      </c>
      <c r="B81" s="40">
        <v>4797.4506600000004</v>
      </c>
      <c r="C81" s="40">
        <v>25.9</v>
      </c>
      <c r="D81" s="40">
        <v>247.2</v>
      </c>
      <c r="E81" s="40">
        <v>16.274999999999999</v>
      </c>
      <c r="F81" s="40">
        <v>86.224000000000004</v>
      </c>
      <c r="G81" s="40">
        <v>2</v>
      </c>
      <c r="H81" s="40">
        <v>24.388750000000002</v>
      </c>
      <c r="I81" s="40">
        <v>0</v>
      </c>
      <c r="J81" s="40">
        <v>0</v>
      </c>
      <c r="K81" s="40">
        <v>470.55520000000001</v>
      </c>
      <c r="L81" s="40">
        <v>21.931849999999997</v>
      </c>
      <c r="M81" s="40">
        <v>107.9923</v>
      </c>
      <c r="N81" s="40">
        <v>0.25</v>
      </c>
      <c r="O81" s="40">
        <v>0</v>
      </c>
      <c r="P81" s="40">
        <v>0.64639999999999997</v>
      </c>
      <c r="Q81" s="40">
        <v>0</v>
      </c>
      <c r="R81" s="40">
        <v>0</v>
      </c>
      <c r="S81" s="40">
        <v>0</v>
      </c>
      <c r="T81" s="40">
        <v>23.361060000000002</v>
      </c>
      <c r="U81" s="40">
        <v>0</v>
      </c>
      <c r="V81" s="56">
        <v>0</v>
      </c>
      <c r="W81" s="56">
        <v>0</v>
      </c>
      <c r="X81" s="56">
        <v>0</v>
      </c>
      <c r="Y81" s="56">
        <v>0</v>
      </c>
      <c r="Z81" s="56">
        <v>0</v>
      </c>
      <c r="AA81" s="56">
        <v>58.831769999999999</v>
      </c>
      <c r="AB81" s="56">
        <v>0</v>
      </c>
      <c r="AC81" s="56">
        <v>0</v>
      </c>
      <c r="AD81" s="56">
        <v>64.108000000000004</v>
      </c>
      <c r="AE81" s="56">
        <v>9.1718799999999998</v>
      </c>
      <c r="AF81" s="56">
        <v>2.1122299999999998</v>
      </c>
      <c r="AG81" s="56">
        <v>14.392899999999999</v>
      </c>
      <c r="AH81" s="56">
        <v>0</v>
      </c>
      <c r="AI81" s="56">
        <v>246.1874</v>
      </c>
      <c r="AJ81" s="56">
        <v>0.69510000000000005</v>
      </c>
      <c r="AK81" s="56">
        <v>0</v>
      </c>
      <c r="AL81" s="56">
        <v>0</v>
      </c>
      <c r="AM81" s="56">
        <v>0</v>
      </c>
      <c r="AN81" s="56">
        <v>0</v>
      </c>
      <c r="AO81" s="56">
        <v>0</v>
      </c>
      <c r="AP81" s="56">
        <v>0</v>
      </c>
      <c r="AQ81" s="56">
        <v>31.5</v>
      </c>
      <c r="AR81" s="56">
        <v>0</v>
      </c>
      <c r="AS81" s="56">
        <v>0.53600000000000003</v>
      </c>
      <c r="AT81" s="56">
        <v>0</v>
      </c>
      <c r="AU81" s="56">
        <v>71.667000000000002</v>
      </c>
      <c r="AV81" s="56">
        <v>0</v>
      </c>
      <c r="AW81" s="56">
        <v>11</v>
      </c>
      <c r="AX81" s="41">
        <f t="shared" si="2"/>
        <v>6334.3774999999987</v>
      </c>
    </row>
    <row r="82" spans="1:50" s="16" customFormat="1" x14ac:dyDescent="0.25">
      <c r="A82" s="2" t="s">
        <v>88</v>
      </c>
      <c r="B82" s="40">
        <v>2798.6252400000003</v>
      </c>
      <c r="C82" s="40">
        <v>419.34465</v>
      </c>
      <c r="D82" s="40">
        <v>330</v>
      </c>
      <c r="E82" s="40">
        <v>4.05</v>
      </c>
      <c r="F82" s="40">
        <v>37.604900000000001</v>
      </c>
      <c r="G82" s="40">
        <v>5.4314</v>
      </c>
      <c r="H82" s="40">
        <v>74.087879999999998</v>
      </c>
      <c r="I82" s="40">
        <v>0</v>
      </c>
      <c r="J82" s="40">
        <v>0</v>
      </c>
      <c r="K82" s="40">
        <v>935.24707999999998</v>
      </c>
      <c r="L82" s="40">
        <v>5.2709999999999999</v>
      </c>
      <c r="M82" s="40">
        <v>34.221650000000004</v>
      </c>
      <c r="N82" s="40">
        <v>0</v>
      </c>
      <c r="O82" s="40">
        <v>0</v>
      </c>
      <c r="P82" s="40">
        <v>2.8323</v>
      </c>
      <c r="Q82" s="40">
        <v>0</v>
      </c>
      <c r="R82" s="40">
        <v>0</v>
      </c>
      <c r="S82" s="40">
        <v>0</v>
      </c>
      <c r="T82" s="40">
        <v>9.6718299999999999</v>
      </c>
      <c r="U82" s="40">
        <v>0</v>
      </c>
      <c r="V82" s="56">
        <v>0</v>
      </c>
      <c r="W82" s="56">
        <v>28.1</v>
      </c>
      <c r="X82" s="56">
        <v>0</v>
      </c>
      <c r="Y82" s="56">
        <v>0</v>
      </c>
      <c r="Z82" s="56">
        <v>19.239999999999998</v>
      </c>
      <c r="AA82" s="56">
        <v>149.70473000000001</v>
      </c>
      <c r="AB82" s="56">
        <v>0</v>
      </c>
      <c r="AC82" s="56">
        <v>0</v>
      </c>
      <c r="AD82" s="56">
        <v>42.002300000000005</v>
      </c>
      <c r="AE82" s="56">
        <v>77.128380000000007</v>
      </c>
      <c r="AF82" s="56">
        <v>36.925959999999996</v>
      </c>
      <c r="AG82" s="56">
        <v>140.1233</v>
      </c>
      <c r="AH82" s="56">
        <v>0</v>
      </c>
      <c r="AI82" s="56">
        <v>62.201000000000001</v>
      </c>
      <c r="AJ82" s="56">
        <v>0.53174999999999994</v>
      </c>
      <c r="AK82" s="56">
        <v>0</v>
      </c>
      <c r="AL82" s="56">
        <v>0</v>
      </c>
      <c r="AM82" s="56">
        <v>0</v>
      </c>
      <c r="AN82" s="56">
        <v>0</v>
      </c>
      <c r="AO82" s="56">
        <v>0</v>
      </c>
      <c r="AP82" s="56">
        <v>0</v>
      </c>
      <c r="AQ82" s="56">
        <v>235.154</v>
      </c>
      <c r="AR82" s="56">
        <v>0</v>
      </c>
      <c r="AS82" s="56">
        <v>37.751750000000001</v>
      </c>
      <c r="AT82" s="56">
        <v>48.667199999999994</v>
      </c>
      <c r="AU82" s="56">
        <v>244.55500000000001</v>
      </c>
      <c r="AV82" s="56">
        <v>0</v>
      </c>
      <c r="AW82" s="56">
        <v>0</v>
      </c>
      <c r="AX82" s="41">
        <f t="shared" si="2"/>
        <v>5778.4733000000024</v>
      </c>
    </row>
    <row r="83" spans="1:50" s="16" customFormat="1" x14ac:dyDescent="0.25">
      <c r="A83" s="2" t="s">
        <v>89</v>
      </c>
      <c r="B83" s="40">
        <v>26315.298879999998</v>
      </c>
      <c r="C83" s="40">
        <v>14077.28081</v>
      </c>
      <c r="D83" s="40">
        <v>1100</v>
      </c>
      <c r="E83" s="40">
        <v>27.86</v>
      </c>
      <c r="F83" s="40">
        <v>111.97494999999999</v>
      </c>
      <c r="G83" s="40">
        <v>0</v>
      </c>
      <c r="H83" s="40">
        <v>261.27294000000001</v>
      </c>
      <c r="I83" s="40">
        <v>0</v>
      </c>
      <c r="J83" s="40">
        <v>38.2697</v>
      </c>
      <c r="K83" s="40">
        <v>2944.8399900000004</v>
      </c>
      <c r="L83" s="40">
        <v>34.050879999999999</v>
      </c>
      <c r="M83" s="40">
        <v>402.39840000000004</v>
      </c>
      <c r="N83" s="40">
        <v>473.21368999999999</v>
      </c>
      <c r="O83" s="40">
        <v>0</v>
      </c>
      <c r="P83" s="40">
        <v>0</v>
      </c>
      <c r="Q83" s="40">
        <v>0</v>
      </c>
      <c r="R83" s="40">
        <v>0</v>
      </c>
      <c r="S83" s="40">
        <v>15.24</v>
      </c>
      <c r="T83" s="40">
        <v>94.850449999999995</v>
      </c>
      <c r="U83" s="40">
        <v>0</v>
      </c>
      <c r="V83" s="56">
        <v>0</v>
      </c>
      <c r="W83" s="56">
        <v>420.32499999999999</v>
      </c>
      <c r="X83" s="56">
        <v>0</v>
      </c>
      <c r="Y83" s="56">
        <v>0</v>
      </c>
      <c r="Z83" s="56">
        <v>0</v>
      </c>
      <c r="AA83" s="56">
        <v>1012.79715</v>
      </c>
      <c r="AB83" s="56">
        <v>0</v>
      </c>
      <c r="AC83" s="56">
        <v>0</v>
      </c>
      <c r="AD83" s="56">
        <v>0</v>
      </c>
      <c r="AE83" s="56">
        <v>65.850800000000007</v>
      </c>
      <c r="AF83" s="56">
        <v>701.82389000000001</v>
      </c>
      <c r="AG83" s="56">
        <v>2759.36519</v>
      </c>
      <c r="AH83" s="56">
        <v>0</v>
      </c>
      <c r="AI83" s="56">
        <v>588.99039000000005</v>
      </c>
      <c r="AJ83" s="56">
        <v>0</v>
      </c>
      <c r="AK83" s="56">
        <v>0</v>
      </c>
      <c r="AL83" s="56">
        <v>0</v>
      </c>
      <c r="AM83" s="56">
        <v>0</v>
      </c>
      <c r="AN83" s="56">
        <v>0</v>
      </c>
      <c r="AO83" s="56">
        <v>303.60147999999998</v>
      </c>
      <c r="AP83" s="56">
        <v>34.242400000000004</v>
      </c>
      <c r="AQ83" s="56">
        <v>236.21485000000001</v>
      </c>
      <c r="AR83" s="56">
        <v>0</v>
      </c>
      <c r="AS83" s="56">
        <v>10</v>
      </c>
      <c r="AT83" s="56">
        <v>53.281109999999998</v>
      </c>
      <c r="AU83" s="56">
        <v>267.85649999999998</v>
      </c>
      <c r="AV83" s="56">
        <v>0</v>
      </c>
      <c r="AW83" s="56">
        <v>0</v>
      </c>
      <c r="AX83" s="41">
        <f t="shared" si="2"/>
        <v>52350.89944999999</v>
      </c>
    </row>
    <row r="84" spans="1:50" s="16" customFormat="1" x14ac:dyDescent="0.25">
      <c r="A84" s="2" t="s">
        <v>90</v>
      </c>
      <c r="B84" s="40">
        <v>570.23716999999999</v>
      </c>
      <c r="C84" s="40">
        <v>250.92939999999999</v>
      </c>
      <c r="D84" s="40">
        <v>26.702999999999999</v>
      </c>
      <c r="E84" s="40">
        <v>3.375</v>
      </c>
      <c r="F84" s="40">
        <v>45.802999999999997</v>
      </c>
      <c r="G84" s="40">
        <v>0</v>
      </c>
      <c r="H84" s="40">
        <v>16.688400000000001</v>
      </c>
      <c r="I84" s="40">
        <v>0</v>
      </c>
      <c r="J84" s="40">
        <v>0</v>
      </c>
      <c r="K84" s="40">
        <v>208.41695000000001</v>
      </c>
      <c r="L84" s="40">
        <v>179.38215</v>
      </c>
      <c r="M84" s="40">
        <v>20.472349999999999</v>
      </c>
      <c r="N84" s="40">
        <v>0</v>
      </c>
      <c r="O84" s="40">
        <v>0</v>
      </c>
      <c r="P84" s="40">
        <v>0</v>
      </c>
      <c r="Q84" s="40">
        <v>0</v>
      </c>
      <c r="R84" s="40">
        <v>0</v>
      </c>
      <c r="S84" s="40">
        <v>0</v>
      </c>
      <c r="T84" s="40">
        <v>4.8666499999999999</v>
      </c>
      <c r="U84" s="40">
        <v>0</v>
      </c>
      <c r="V84" s="56">
        <v>0</v>
      </c>
      <c r="W84" s="56">
        <v>0.155</v>
      </c>
      <c r="X84" s="56">
        <v>0</v>
      </c>
      <c r="Y84" s="56">
        <v>0</v>
      </c>
      <c r="Z84" s="56">
        <v>5.50875</v>
      </c>
      <c r="AA84" s="56">
        <v>15.465</v>
      </c>
      <c r="AB84" s="56">
        <v>0</v>
      </c>
      <c r="AC84" s="56">
        <v>0</v>
      </c>
      <c r="AD84" s="56">
        <v>42.016199999999998</v>
      </c>
      <c r="AE84" s="56">
        <v>0.78779999999999994</v>
      </c>
      <c r="AF84" s="56">
        <v>0.94835999999999998</v>
      </c>
      <c r="AG84" s="56">
        <v>71.654200000000003</v>
      </c>
      <c r="AH84" s="56">
        <v>179</v>
      </c>
      <c r="AI84" s="56">
        <v>227.04679999999999</v>
      </c>
      <c r="AJ84" s="56">
        <v>0.44739999999999996</v>
      </c>
      <c r="AK84" s="56">
        <v>0</v>
      </c>
      <c r="AL84" s="56">
        <v>0</v>
      </c>
      <c r="AM84" s="56">
        <v>0</v>
      </c>
      <c r="AN84" s="56">
        <v>0</v>
      </c>
      <c r="AO84" s="56">
        <v>0</v>
      </c>
      <c r="AP84" s="56">
        <v>0</v>
      </c>
      <c r="AQ84" s="56">
        <v>60.115400000000001</v>
      </c>
      <c r="AR84" s="56">
        <v>0</v>
      </c>
      <c r="AS84" s="56">
        <v>2.0074999999999998</v>
      </c>
      <c r="AT84" s="56">
        <v>2.7789999999999999</v>
      </c>
      <c r="AU84" s="56">
        <v>95.3</v>
      </c>
      <c r="AV84" s="56">
        <v>0</v>
      </c>
      <c r="AW84" s="56">
        <v>0</v>
      </c>
      <c r="AX84" s="41">
        <f t="shared" si="2"/>
        <v>2030.1054799999997</v>
      </c>
    </row>
    <row r="85" spans="1:50" s="16" customFormat="1" x14ac:dyDescent="0.25">
      <c r="A85" s="2" t="s">
        <v>91</v>
      </c>
      <c r="B85" s="40">
        <v>1344.19445</v>
      </c>
      <c r="C85" s="40">
        <v>30</v>
      </c>
      <c r="D85" s="40">
        <v>80</v>
      </c>
      <c r="E85" s="40">
        <v>6.0250000000000004</v>
      </c>
      <c r="F85" s="40">
        <v>51.103999999999999</v>
      </c>
      <c r="G85" s="40">
        <v>0</v>
      </c>
      <c r="H85" s="40">
        <v>13.907999999999999</v>
      </c>
      <c r="I85" s="40">
        <v>0</v>
      </c>
      <c r="J85" s="40">
        <v>0</v>
      </c>
      <c r="K85" s="40">
        <v>263.15620000000001</v>
      </c>
      <c r="L85" s="40">
        <v>3.4819499999999999</v>
      </c>
      <c r="M85" s="40">
        <v>66.788749999999993</v>
      </c>
      <c r="N85" s="40">
        <v>3.59</v>
      </c>
      <c r="O85" s="40">
        <v>0</v>
      </c>
      <c r="P85" s="40">
        <v>0</v>
      </c>
      <c r="Q85" s="40">
        <v>0</v>
      </c>
      <c r="R85" s="40">
        <v>0</v>
      </c>
      <c r="S85" s="40">
        <v>0</v>
      </c>
      <c r="T85" s="40">
        <v>10.338149999999999</v>
      </c>
      <c r="U85" s="40">
        <v>0</v>
      </c>
      <c r="V85" s="56">
        <v>8.0000000000000002E-3</v>
      </c>
      <c r="W85" s="56">
        <v>0</v>
      </c>
      <c r="X85" s="56">
        <v>0</v>
      </c>
      <c r="Y85" s="56">
        <v>0</v>
      </c>
      <c r="Z85" s="56">
        <v>7.0350000000000001</v>
      </c>
      <c r="AA85" s="56">
        <v>2.2000000000000002</v>
      </c>
      <c r="AB85" s="56">
        <v>0</v>
      </c>
      <c r="AC85" s="56">
        <v>0</v>
      </c>
      <c r="AD85" s="56">
        <v>54.61665</v>
      </c>
      <c r="AE85" s="56">
        <v>39.758040000000001</v>
      </c>
      <c r="AF85" s="56">
        <v>3.7779099999999999</v>
      </c>
      <c r="AG85" s="56">
        <v>6.4421999999999997</v>
      </c>
      <c r="AH85" s="56">
        <v>795.78300000000002</v>
      </c>
      <c r="AI85" s="56">
        <v>256.6902</v>
      </c>
      <c r="AJ85" s="56">
        <v>0.94479999999999997</v>
      </c>
      <c r="AK85" s="56">
        <v>0</v>
      </c>
      <c r="AL85" s="56">
        <v>0</v>
      </c>
      <c r="AM85" s="56">
        <v>0</v>
      </c>
      <c r="AN85" s="56">
        <v>0</v>
      </c>
      <c r="AO85" s="56">
        <v>0</v>
      </c>
      <c r="AP85" s="56">
        <v>0</v>
      </c>
      <c r="AQ85" s="56">
        <v>80</v>
      </c>
      <c r="AR85" s="56">
        <v>0</v>
      </c>
      <c r="AS85" s="56">
        <v>0.4</v>
      </c>
      <c r="AT85" s="56">
        <v>2.52</v>
      </c>
      <c r="AU85" s="56">
        <v>45.499989999999997</v>
      </c>
      <c r="AV85" s="56">
        <v>0</v>
      </c>
      <c r="AW85" s="56">
        <v>0</v>
      </c>
      <c r="AX85" s="41">
        <f t="shared" si="2"/>
        <v>3168.2622900000001</v>
      </c>
    </row>
    <row r="86" spans="1:50" s="16" customFormat="1" x14ac:dyDescent="0.25">
      <c r="A86" s="2" t="s">
        <v>92</v>
      </c>
      <c r="B86" s="40">
        <v>5100.9014000000006</v>
      </c>
      <c r="C86" s="40">
        <v>103.9575</v>
      </c>
      <c r="D86" s="40">
        <v>245</v>
      </c>
      <c r="E86" s="40">
        <v>9.5</v>
      </c>
      <c r="F86" s="40">
        <v>0.35099999999999998</v>
      </c>
      <c r="G86" s="40">
        <v>0</v>
      </c>
      <c r="H86" s="40">
        <v>97.566600000000008</v>
      </c>
      <c r="I86" s="40">
        <v>0</v>
      </c>
      <c r="J86" s="40">
        <v>0</v>
      </c>
      <c r="K86" s="40">
        <v>1012.77765</v>
      </c>
      <c r="L86" s="40">
        <v>35.799750000000003</v>
      </c>
      <c r="M86" s="40">
        <v>190.71226999999999</v>
      </c>
      <c r="N86" s="40">
        <v>0</v>
      </c>
      <c r="O86" s="40">
        <v>0</v>
      </c>
      <c r="P86" s="40">
        <v>6.1306199999999995</v>
      </c>
      <c r="Q86" s="40">
        <v>0</v>
      </c>
      <c r="R86" s="40">
        <v>0</v>
      </c>
      <c r="S86" s="40">
        <v>0</v>
      </c>
      <c r="T86" s="40">
        <v>22.47204</v>
      </c>
      <c r="U86" s="40">
        <v>0</v>
      </c>
      <c r="V86" s="56">
        <v>0</v>
      </c>
      <c r="W86" s="56">
        <v>317.34690000000001</v>
      </c>
      <c r="X86" s="56">
        <v>0</v>
      </c>
      <c r="Y86" s="56">
        <v>0</v>
      </c>
      <c r="Z86" s="56">
        <v>0</v>
      </c>
      <c r="AA86" s="56">
        <v>77.940989999999999</v>
      </c>
      <c r="AB86" s="56">
        <v>0</v>
      </c>
      <c r="AC86" s="56">
        <v>0</v>
      </c>
      <c r="AD86" s="56">
        <v>114.94750000000001</v>
      </c>
      <c r="AE86" s="56">
        <v>50.810739999999996</v>
      </c>
      <c r="AF86" s="56">
        <v>5.4046899999999996</v>
      </c>
      <c r="AG86" s="56">
        <v>876.85892000000001</v>
      </c>
      <c r="AH86" s="56">
        <v>205.59</v>
      </c>
      <c r="AI86" s="56">
        <v>471.79129999999998</v>
      </c>
      <c r="AJ86" s="56">
        <v>0</v>
      </c>
      <c r="AK86" s="56">
        <v>0</v>
      </c>
      <c r="AL86" s="56">
        <v>0</v>
      </c>
      <c r="AM86" s="56">
        <v>0</v>
      </c>
      <c r="AN86" s="56">
        <v>0</v>
      </c>
      <c r="AO86" s="56">
        <v>0</v>
      </c>
      <c r="AP86" s="56">
        <v>0</v>
      </c>
      <c r="AQ86" s="56">
        <v>0</v>
      </c>
      <c r="AR86" s="56">
        <v>0</v>
      </c>
      <c r="AS86" s="56">
        <v>24</v>
      </c>
      <c r="AT86" s="56">
        <v>0</v>
      </c>
      <c r="AU86" s="56">
        <v>95.947570000000013</v>
      </c>
      <c r="AV86" s="56">
        <v>0</v>
      </c>
      <c r="AW86" s="56">
        <v>0</v>
      </c>
      <c r="AX86" s="41">
        <f t="shared" si="2"/>
        <v>9065.8074400000023</v>
      </c>
    </row>
    <row r="87" spans="1:50" s="16" customFormat="1" x14ac:dyDescent="0.25">
      <c r="A87" s="2" t="s">
        <v>93</v>
      </c>
      <c r="B87" s="40">
        <v>8655.5612500000007</v>
      </c>
      <c r="C87" s="40">
        <v>257.07245</v>
      </c>
      <c r="D87" s="40">
        <v>340</v>
      </c>
      <c r="E87" s="40">
        <v>18.523349999999997</v>
      </c>
      <c r="F87" s="40">
        <v>67.061999999999998</v>
      </c>
      <c r="G87" s="40">
        <v>0</v>
      </c>
      <c r="H87" s="40">
        <v>103.8506</v>
      </c>
      <c r="I87" s="40">
        <v>0</v>
      </c>
      <c r="J87" s="40">
        <v>0</v>
      </c>
      <c r="K87" s="40">
        <v>857.92068999999992</v>
      </c>
      <c r="L87" s="40">
        <v>6.4775499999999999</v>
      </c>
      <c r="M87" s="40">
        <v>19.347999999999999</v>
      </c>
      <c r="N87" s="40">
        <v>1.4</v>
      </c>
      <c r="O87" s="40">
        <v>0</v>
      </c>
      <c r="P87" s="40">
        <v>11.63645</v>
      </c>
      <c r="Q87" s="40">
        <v>0</v>
      </c>
      <c r="R87" s="40">
        <v>0</v>
      </c>
      <c r="S87" s="40">
        <v>0</v>
      </c>
      <c r="T87" s="40">
        <v>41.540999999999997</v>
      </c>
      <c r="U87" s="40">
        <v>0</v>
      </c>
      <c r="V87" s="56">
        <v>0</v>
      </c>
      <c r="W87" s="56">
        <v>243.58725000000001</v>
      </c>
      <c r="X87" s="56">
        <v>0</v>
      </c>
      <c r="Y87" s="56">
        <v>0</v>
      </c>
      <c r="Z87" s="56">
        <v>0</v>
      </c>
      <c r="AA87" s="56">
        <v>28.8797</v>
      </c>
      <c r="AB87" s="56">
        <v>0</v>
      </c>
      <c r="AC87" s="56">
        <v>0</v>
      </c>
      <c r="AD87" s="56">
        <v>100.90295</v>
      </c>
      <c r="AE87" s="56">
        <v>111.24586000000001</v>
      </c>
      <c r="AF87" s="56">
        <v>20.621500000000001</v>
      </c>
      <c r="AG87" s="56">
        <v>4.6353999999999997</v>
      </c>
      <c r="AH87" s="56">
        <v>0</v>
      </c>
      <c r="AI87" s="56">
        <v>168.3364</v>
      </c>
      <c r="AJ87" s="56">
        <v>1.2173499999999999</v>
      </c>
      <c r="AK87" s="56">
        <v>0</v>
      </c>
      <c r="AL87" s="56">
        <v>0</v>
      </c>
      <c r="AM87" s="56">
        <v>0</v>
      </c>
      <c r="AN87" s="56">
        <v>0</v>
      </c>
      <c r="AO87" s="56">
        <v>0</v>
      </c>
      <c r="AP87" s="56">
        <v>0</v>
      </c>
      <c r="AQ87" s="56">
        <v>20</v>
      </c>
      <c r="AR87" s="56">
        <v>0</v>
      </c>
      <c r="AS87" s="56">
        <v>0</v>
      </c>
      <c r="AT87" s="56">
        <v>19.395</v>
      </c>
      <c r="AU87" s="56">
        <v>235.131</v>
      </c>
      <c r="AV87" s="56">
        <v>0</v>
      </c>
      <c r="AW87" s="56">
        <v>0</v>
      </c>
      <c r="AX87" s="41">
        <f t="shared" si="2"/>
        <v>11334.345749999999</v>
      </c>
    </row>
    <row r="88" spans="1:50" s="16" customFormat="1" ht="12.75" customHeight="1" x14ac:dyDescent="0.25">
      <c r="A88" s="2" t="s">
        <v>94</v>
      </c>
      <c r="B88" s="40">
        <v>692.54322999999999</v>
      </c>
      <c r="C88" s="40">
        <v>113.44114999999999</v>
      </c>
      <c r="D88" s="40">
        <v>50</v>
      </c>
      <c r="E88" s="40">
        <v>2.73</v>
      </c>
      <c r="F88" s="40">
        <v>59.612000000000002</v>
      </c>
      <c r="G88" s="40">
        <v>0</v>
      </c>
      <c r="H88" s="40">
        <v>13.7377</v>
      </c>
      <c r="I88" s="40">
        <v>0</v>
      </c>
      <c r="J88" s="40">
        <v>0</v>
      </c>
      <c r="K88" s="40">
        <v>218.52463</v>
      </c>
      <c r="L88" s="40">
        <v>0</v>
      </c>
      <c r="M88" s="40">
        <v>26.354500000000002</v>
      </c>
      <c r="N88" s="40">
        <v>0.6</v>
      </c>
      <c r="O88" s="40">
        <v>0</v>
      </c>
      <c r="P88" s="40">
        <v>0</v>
      </c>
      <c r="Q88" s="40">
        <v>0</v>
      </c>
      <c r="R88" s="40">
        <v>0</v>
      </c>
      <c r="S88" s="40">
        <v>0</v>
      </c>
      <c r="T88" s="40">
        <v>2.0549499999999998</v>
      </c>
      <c r="U88" s="40">
        <v>0</v>
      </c>
      <c r="V88" s="56">
        <v>0</v>
      </c>
      <c r="W88" s="56">
        <v>68.039349999999999</v>
      </c>
      <c r="X88" s="56">
        <v>0</v>
      </c>
      <c r="Y88" s="56">
        <v>0</v>
      </c>
      <c r="Z88" s="56">
        <v>8.1329999999999991</v>
      </c>
      <c r="AA88" s="56">
        <v>3.9060000000000001</v>
      </c>
      <c r="AB88" s="56">
        <v>0</v>
      </c>
      <c r="AC88" s="56">
        <v>0</v>
      </c>
      <c r="AD88" s="56">
        <v>13.441750000000001</v>
      </c>
      <c r="AE88" s="56">
        <v>10.9335</v>
      </c>
      <c r="AF88" s="56">
        <v>3.94218</v>
      </c>
      <c r="AG88" s="56">
        <v>3.1755500000000003</v>
      </c>
      <c r="AH88" s="56">
        <v>624.81399999999996</v>
      </c>
      <c r="AI88" s="56">
        <v>201.47335000000001</v>
      </c>
      <c r="AJ88" s="56">
        <v>0.37135000000000001</v>
      </c>
      <c r="AK88" s="56">
        <v>0</v>
      </c>
      <c r="AL88" s="56">
        <v>0</v>
      </c>
      <c r="AM88" s="56">
        <v>0</v>
      </c>
      <c r="AN88" s="56">
        <v>0</v>
      </c>
      <c r="AO88" s="56">
        <v>0</v>
      </c>
      <c r="AP88" s="56">
        <v>0</v>
      </c>
      <c r="AQ88" s="56">
        <v>58</v>
      </c>
      <c r="AR88" s="56">
        <v>0</v>
      </c>
      <c r="AS88" s="56">
        <v>0</v>
      </c>
      <c r="AT88" s="56">
        <v>25.339779999999998</v>
      </c>
      <c r="AU88" s="56">
        <v>112.959</v>
      </c>
      <c r="AV88" s="56">
        <v>0</v>
      </c>
      <c r="AW88" s="56">
        <v>0</v>
      </c>
      <c r="AX88" s="41">
        <f t="shared" si="2"/>
        <v>2314.1269699999993</v>
      </c>
    </row>
    <row r="89" spans="1:50" s="16" customFormat="1" x14ac:dyDescent="0.25">
      <c r="A89" s="2" t="s">
        <v>95</v>
      </c>
      <c r="B89" s="40">
        <v>3895.5305899999998</v>
      </c>
      <c r="C89" s="40">
        <v>99.601649999999992</v>
      </c>
      <c r="D89" s="40">
        <v>241</v>
      </c>
      <c r="E89" s="40">
        <v>9.31</v>
      </c>
      <c r="F89" s="40">
        <v>61.895000000000003</v>
      </c>
      <c r="G89" s="40">
        <v>0</v>
      </c>
      <c r="H89" s="40">
        <v>47.839550000000003</v>
      </c>
      <c r="I89" s="40">
        <v>0</v>
      </c>
      <c r="J89" s="40">
        <v>0</v>
      </c>
      <c r="K89" s="40">
        <v>861.87017000000003</v>
      </c>
      <c r="L89" s="40">
        <v>8.6930899999999998</v>
      </c>
      <c r="M89" s="40">
        <v>18.632450000000002</v>
      </c>
      <c r="N89" s="40">
        <v>31.996549999999999</v>
      </c>
      <c r="O89" s="40">
        <v>0</v>
      </c>
      <c r="P89" s="40">
        <v>5.5302100000000003</v>
      </c>
      <c r="Q89" s="40">
        <v>0</v>
      </c>
      <c r="R89" s="40">
        <v>0</v>
      </c>
      <c r="S89" s="40">
        <v>4.6325900000000004</v>
      </c>
      <c r="T89" s="40">
        <v>34.527699999999996</v>
      </c>
      <c r="U89" s="40">
        <v>0</v>
      </c>
      <c r="V89" s="56">
        <v>0</v>
      </c>
      <c r="W89" s="56">
        <v>0</v>
      </c>
      <c r="X89" s="56">
        <v>0</v>
      </c>
      <c r="Y89" s="56">
        <v>0</v>
      </c>
      <c r="Z89" s="56">
        <v>0</v>
      </c>
      <c r="AA89" s="56">
        <v>31.484500000000001</v>
      </c>
      <c r="AB89" s="56">
        <v>0</v>
      </c>
      <c r="AC89" s="56">
        <v>0</v>
      </c>
      <c r="AD89" s="56">
        <v>62.828800000000001</v>
      </c>
      <c r="AE89" s="56">
        <v>107.53269</v>
      </c>
      <c r="AF89" s="56">
        <v>2.0806900000000002</v>
      </c>
      <c r="AG89" s="56">
        <v>205.94374999999999</v>
      </c>
      <c r="AH89" s="56">
        <v>162.22</v>
      </c>
      <c r="AI89" s="56">
        <v>229.39829999999998</v>
      </c>
      <c r="AJ89" s="56">
        <v>1.04355</v>
      </c>
      <c r="AK89" s="56">
        <v>0</v>
      </c>
      <c r="AL89" s="56">
        <v>0</v>
      </c>
      <c r="AM89" s="56">
        <v>0</v>
      </c>
      <c r="AN89" s="56">
        <v>0</v>
      </c>
      <c r="AO89" s="56">
        <v>0</v>
      </c>
      <c r="AP89" s="56">
        <v>0</v>
      </c>
      <c r="AQ89" s="56">
        <v>55</v>
      </c>
      <c r="AR89" s="56">
        <v>0</v>
      </c>
      <c r="AS89" s="56">
        <v>18</v>
      </c>
      <c r="AT89" s="56">
        <v>27.1831</v>
      </c>
      <c r="AU89" s="56">
        <v>282.77607</v>
      </c>
      <c r="AV89" s="56">
        <v>0</v>
      </c>
      <c r="AW89" s="56">
        <v>0</v>
      </c>
      <c r="AX89" s="41">
        <f t="shared" si="2"/>
        <v>6506.5510000000004</v>
      </c>
    </row>
    <row r="90" spans="1:50" s="16" customFormat="1" x14ac:dyDescent="0.25">
      <c r="A90" s="2" t="s">
        <v>96</v>
      </c>
      <c r="B90" s="40">
        <v>2346.6249299999999</v>
      </c>
      <c r="C90" s="40">
        <v>408.142</v>
      </c>
      <c r="D90" s="40">
        <v>217</v>
      </c>
      <c r="E90" s="40">
        <v>4.7</v>
      </c>
      <c r="F90" s="40">
        <v>296.12</v>
      </c>
      <c r="G90" s="40">
        <v>0</v>
      </c>
      <c r="H90" s="40">
        <v>44.472799999999999</v>
      </c>
      <c r="I90" s="40">
        <v>0</v>
      </c>
      <c r="J90" s="40">
        <v>0</v>
      </c>
      <c r="K90" s="40">
        <v>702.03824999999995</v>
      </c>
      <c r="L90" s="40">
        <v>145.89276000000001</v>
      </c>
      <c r="M90" s="40">
        <v>135.29465999999999</v>
      </c>
      <c r="N90" s="40">
        <v>0.25</v>
      </c>
      <c r="O90" s="40">
        <v>0</v>
      </c>
      <c r="P90" s="40">
        <v>13.62416</v>
      </c>
      <c r="Q90" s="40">
        <v>6.1749999999999998</v>
      </c>
      <c r="R90" s="40">
        <v>0</v>
      </c>
      <c r="S90" s="40">
        <v>0</v>
      </c>
      <c r="T90" s="40">
        <v>9.8798999999999992</v>
      </c>
      <c r="U90" s="40">
        <v>0</v>
      </c>
      <c r="V90" s="56">
        <v>0</v>
      </c>
      <c r="W90" s="56">
        <v>261.16725000000002</v>
      </c>
      <c r="X90" s="56">
        <v>0</v>
      </c>
      <c r="Y90" s="56">
        <v>0</v>
      </c>
      <c r="Z90" s="56">
        <v>2.9790000000000001</v>
      </c>
      <c r="AA90" s="56">
        <v>381.84123</v>
      </c>
      <c r="AB90" s="56">
        <v>0</v>
      </c>
      <c r="AC90" s="56">
        <v>13.02895</v>
      </c>
      <c r="AD90" s="56">
        <v>0</v>
      </c>
      <c r="AE90" s="56">
        <v>24.449830000000002</v>
      </c>
      <c r="AF90" s="56">
        <v>34.254469999999998</v>
      </c>
      <c r="AG90" s="56">
        <v>329.13021999999995</v>
      </c>
      <c r="AH90" s="56">
        <v>1172.5150000000001</v>
      </c>
      <c r="AI90" s="56">
        <v>397.72992999999997</v>
      </c>
      <c r="AJ90" s="56">
        <v>1.11605</v>
      </c>
      <c r="AK90" s="56">
        <v>50</v>
      </c>
      <c r="AL90" s="56">
        <v>0</v>
      </c>
      <c r="AM90" s="56">
        <v>0</v>
      </c>
      <c r="AN90" s="56">
        <v>0</v>
      </c>
      <c r="AO90" s="56">
        <v>0</v>
      </c>
      <c r="AP90" s="56">
        <v>0</v>
      </c>
      <c r="AQ90" s="56">
        <v>508.58459000000005</v>
      </c>
      <c r="AR90" s="56">
        <v>0</v>
      </c>
      <c r="AS90" s="56">
        <v>19.5</v>
      </c>
      <c r="AT90" s="56">
        <v>45.522449999999999</v>
      </c>
      <c r="AU90" s="56">
        <v>94.449130000000011</v>
      </c>
      <c r="AV90" s="56">
        <v>0</v>
      </c>
      <c r="AW90" s="56">
        <v>0</v>
      </c>
      <c r="AX90" s="41">
        <f t="shared" si="2"/>
        <v>7666.4825600000004</v>
      </c>
    </row>
    <row r="91" spans="1:50" s="16" customFormat="1" x14ac:dyDescent="0.25">
      <c r="A91" s="2" t="s">
        <v>97</v>
      </c>
      <c r="B91" s="40">
        <v>6860.2124199999998</v>
      </c>
      <c r="C91" s="40">
        <v>570.5</v>
      </c>
      <c r="D91" s="40">
        <v>430</v>
      </c>
      <c r="E91" s="40">
        <v>30.75835</v>
      </c>
      <c r="F91" s="40">
        <v>70.718550000000008</v>
      </c>
      <c r="G91" s="40">
        <v>3.25</v>
      </c>
      <c r="H91" s="40">
        <v>130.93635</v>
      </c>
      <c r="I91" s="40">
        <v>0</v>
      </c>
      <c r="J91" s="40">
        <v>0</v>
      </c>
      <c r="K91" s="40">
        <v>1152.1368799999998</v>
      </c>
      <c r="L91" s="40">
        <v>18.702580000000001</v>
      </c>
      <c r="M91" s="40">
        <v>94.847110000000001</v>
      </c>
      <c r="N91" s="40">
        <v>27.83</v>
      </c>
      <c r="O91" s="40">
        <v>44.416789999999999</v>
      </c>
      <c r="P91" s="40">
        <v>0.5</v>
      </c>
      <c r="Q91" s="40">
        <v>0</v>
      </c>
      <c r="R91" s="40">
        <v>0</v>
      </c>
      <c r="S91" s="40">
        <v>19.8</v>
      </c>
      <c r="T91" s="40">
        <v>40.643999999999998</v>
      </c>
      <c r="U91" s="40">
        <v>0</v>
      </c>
      <c r="V91" s="56">
        <v>0</v>
      </c>
      <c r="W91" s="56">
        <v>245.66315</v>
      </c>
      <c r="X91" s="56">
        <v>0</v>
      </c>
      <c r="Y91" s="56">
        <v>0</v>
      </c>
      <c r="Z91" s="56">
        <v>0</v>
      </c>
      <c r="AA91" s="56">
        <v>261.30009999999999</v>
      </c>
      <c r="AB91" s="56">
        <v>0</v>
      </c>
      <c r="AC91" s="56">
        <v>0</v>
      </c>
      <c r="AD91" s="56">
        <v>122.2903</v>
      </c>
      <c r="AE91" s="56">
        <v>153.97825</v>
      </c>
      <c r="AF91" s="56">
        <v>21.213150000000002</v>
      </c>
      <c r="AG91" s="56">
        <v>228.78004999999999</v>
      </c>
      <c r="AH91" s="56">
        <v>160.91200000000001</v>
      </c>
      <c r="AI91" s="56">
        <v>555.65449999999998</v>
      </c>
      <c r="AJ91" s="56">
        <v>2.1068000000000002</v>
      </c>
      <c r="AK91" s="56">
        <v>0</v>
      </c>
      <c r="AL91" s="56">
        <v>0</v>
      </c>
      <c r="AM91" s="56">
        <v>0</v>
      </c>
      <c r="AN91" s="56">
        <v>0</v>
      </c>
      <c r="AO91" s="56">
        <v>0</v>
      </c>
      <c r="AP91" s="56">
        <v>0</v>
      </c>
      <c r="AQ91" s="56">
        <v>100</v>
      </c>
      <c r="AR91" s="56">
        <v>0</v>
      </c>
      <c r="AS91" s="56">
        <v>0</v>
      </c>
      <c r="AT91" s="56">
        <v>22.274740000000001</v>
      </c>
      <c r="AU91" s="56">
        <v>102.31699999999999</v>
      </c>
      <c r="AV91" s="56">
        <v>0</v>
      </c>
      <c r="AW91" s="56">
        <v>0</v>
      </c>
      <c r="AX91" s="41">
        <f t="shared" si="2"/>
        <v>11471.743069999999</v>
      </c>
    </row>
    <row r="92" spans="1:50" s="16" customFormat="1" ht="12.75" customHeight="1" x14ac:dyDescent="0.25">
      <c r="A92" s="2" t="s">
        <v>98</v>
      </c>
      <c r="B92" s="40">
        <v>7114.6770500000002</v>
      </c>
      <c r="C92" s="40">
        <v>819.28930000000003</v>
      </c>
      <c r="D92" s="40">
        <v>446.5</v>
      </c>
      <c r="E92" s="40">
        <v>30.45</v>
      </c>
      <c r="F92" s="40">
        <v>237.57239999999999</v>
      </c>
      <c r="G92" s="40">
        <v>10.3</v>
      </c>
      <c r="H92" s="40">
        <v>214.89939999999999</v>
      </c>
      <c r="I92" s="40">
        <v>0</v>
      </c>
      <c r="J92" s="40">
        <v>5.49735</v>
      </c>
      <c r="K92" s="40">
        <v>1594.22813</v>
      </c>
      <c r="L92" s="40">
        <v>44.551790000000004</v>
      </c>
      <c r="M92" s="40">
        <v>304.57820000000004</v>
      </c>
      <c r="N92" s="40">
        <v>3.8</v>
      </c>
      <c r="O92" s="40">
        <v>0</v>
      </c>
      <c r="P92" s="40">
        <v>10.125950000000001</v>
      </c>
      <c r="Q92" s="40">
        <v>0</v>
      </c>
      <c r="R92" s="40">
        <v>0</v>
      </c>
      <c r="S92" s="40">
        <v>0</v>
      </c>
      <c r="T92" s="40">
        <v>41.283949999999997</v>
      </c>
      <c r="U92" s="40">
        <v>0</v>
      </c>
      <c r="V92" s="56">
        <v>0</v>
      </c>
      <c r="W92" s="56">
        <v>3.4009499999999999</v>
      </c>
      <c r="X92" s="56">
        <v>0</v>
      </c>
      <c r="Y92" s="56">
        <v>0</v>
      </c>
      <c r="Z92" s="56">
        <v>48.356999999999999</v>
      </c>
      <c r="AA92" s="56">
        <v>169.07114999999999</v>
      </c>
      <c r="AB92" s="56">
        <v>0</v>
      </c>
      <c r="AC92" s="56">
        <v>0</v>
      </c>
      <c r="AD92" s="56">
        <v>48.28754</v>
      </c>
      <c r="AE92" s="56">
        <v>30.932839999999999</v>
      </c>
      <c r="AF92" s="56">
        <v>54.666230000000006</v>
      </c>
      <c r="AG92" s="56">
        <v>249.36813000000001</v>
      </c>
      <c r="AH92" s="56">
        <v>5004.0069999999996</v>
      </c>
      <c r="AI92" s="56">
        <v>1177.7386999999999</v>
      </c>
      <c r="AJ92" s="56">
        <v>3.7839499999999999</v>
      </c>
      <c r="AK92" s="56">
        <v>0</v>
      </c>
      <c r="AL92" s="56">
        <v>0</v>
      </c>
      <c r="AM92" s="56">
        <v>0</v>
      </c>
      <c r="AN92" s="56">
        <v>0</v>
      </c>
      <c r="AO92" s="56">
        <v>0</v>
      </c>
      <c r="AP92" s="56">
        <v>20</v>
      </c>
      <c r="AQ92" s="56">
        <v>608.08000000000004</v>
      </c>
      <c r="AR92" s="56">
        <v>0</v>
      </c>
      <c r="AS92" s="56">
        <v>0</v>
      </c>
      <c r="AT92" s="56">
        <v>0</v>
      </c>
      <c r="AU92" s="56">
        <v>477.32695000000001</v>
      </c>
      <c r="AV92" s="56">
        <v>0</v>
      </c>
      <c r="AW92" s="56">
        <v>0</v>
      </c>
      <c r="AX92" s="41">
        <f t="shared" si="2"/>
        <v>18772.773959999999</v>
      </c>
    </row>
    <row r="93" spans="1:50" s="16" customFormat="1" x14ac:dyDescent="0.25">
      <c r="A93" s="2" t="s">
        <v>99</v>
      </c>
      <c r="B93" s="40">
        <v>4168.9515299999994</v>
      </c>
      <c r="C93" s="40">
        <v>215</v>
      </c>
      <c r="D93" s="40">
        <v>339</v>
      </c>
      <c r="E93" s="40">
        <v>3.44</v>
      </c>
      <c r="F93" s="40">
        <v>145.66070000000002</v>
      </c>
      <c r="G93" s="40">
        <v>20</v>
      </c>
      <c r="H93" s="40">
        <v>98.191600000000008</v>
      </c>
      <c r="I93" s="40">
        <v>0</v>
      </c>
      <c r="J93" s="40">
        <v>0</v>
      </c>
      <c r="K93" s="40">
        <v>467.29300000000001</v>
      </c>
      <c r="L93" s="40">
        <v>12.73025</v>
      </c>
      <c r="M93" s="40">
        <v>214.51275000000001</v>
      </c>
      <c r="N93" s="40">
        <v>22.376000000000001</v>
      </c>
      <c r="O93" s="40">
        <v>0</v>
      </c>
      <c r="P93" s="40">
        <v>17.300360000000001</v>
      </c>
      <c r="Q93" s="40">
        <v>0</v>
      </c>
      <c r="R93" s="40">
        <v>0</v>
      </c>
      <c r="S93" s="40">
        <v>3.2</v>
      </c>
      <c r="T93" s="40">
        <v>70.781770000000009</v>
      </c>
      <c r="U93" s="40">
        <v>0</v>
      </c>
      <c r="V93" s="56">
        <v>0</v>
      </c>
      <c r="W93" s="56">
        <v>0</v>
      </c>
      <c r="X93" s="56">
        <v>0</v>
      </c>
      <c r="Y93" s="56">
        <v>0</v>
      </c>
      <c r="Z93" s="56">
        <v>7.8390000000000004</v>
      </c>
      <c r="AA93" s="56">
        <v>229.22694000000001</v>
      </c>
      <c r="AB93" s="56">
        <v>0</v>
      </c>
      <c r="AC93" s="56">
        <v>0</v>
      </c>
      <c r="AD93" s="56">
        <v>83.73044999999999</v>
      </c>
      <c r="AE93" s="56">
        <v>18.541349999999998</v>
      </c>
      <c r="AF93" s="56">
        <v>24.446000000000002</v>
      </c>
      <c r="AG93" s="56">
        <v>15.200799999999999</v>
      </c>
      <c r="AH93" s="56">
        <v>0</v>
      </c>
      <c r="AI93" s="56">
        <v>98.082149999999999</v>
      </c>
      <c r="AJ93" s="56">
        <v>9.6302900000000005</v>
      </c>
      <c r="AK93" s="56">
        <v>0</v>
      </c>
      <c r="AL93" s="56">
        <v>0.84404999999999997</v>
      </c>
      <c r="AM93" s="56">
        <v>0</v>
      </c>
      <c r="AN93" s="56">
        <v>525.09590000000003</v>
      </c>
      <c r="AO93" s="56">
        <v>0</v>
      </c>
      <c r="AP93" s="56">
        <v>0</v>
      </c>
      <c r="AQ93" s="56">
        <v>20.61675</v>
      </c>
      <c r="AR93" s="56">
        <v>0</v>
      </c>
      <c r="AS93" s="56">
        <v>0</v>
      </c>
      <c r="AT93" s="56">
        <v>0</v>
      </c>
      <c r="AU93" s="56">
        <v>0</v>
      </c>
      <c r="AV93" s="56">
        <v>0</v>
      </c>
      <c r="AW93" s="56">
        <v>0</v>
      </c>
      <c r="AX93" s="41">
        <f t="shared" si="2"/>
        <v>6831.6916399999982</v>
      </c>
    </row>
    <row r="94" spans="1:50" s="16" customFormat="1" x14ac:dyDescent="0.25">
      <c r="A94" s="2" t="s">
        <v>590</v>
      </c>
      <c r="B94" s="40">
        <v>4849.7244099999998</v>
      </c>
      <c r="C94" s="40">
        <v>2820</v>
      </c>
      <c r="D94" s="40">
        <v>590</v>
      </c>
      <c r="E94" s="40">
        <v>21.63</v>
      </c>
      <c r="F94" s="40">
        <v>136.34100000000001</v>
      </c>
      <c r="G94" s="40">
        <v>0</v>
      </c>
      <c r="H94" s="40">
        <v>61.308150000000005</v>
      </c>
      <c r="I94" s="40">
        <v>0</v>
      </c>
      <c r="J94" s="40">
        <v>0</v>
      </c>
      <c r="K94" s="40">
        <v>1294.8924199999999</v>
      </c>
      <c r="L94" s="40">
        <v>10.534000000000001</v>
      </c>
      <c r="M94" s="40">
        <v>294.46901000000003</v>
      </c>
      <c r="N94" s="40">
        <v>9.6999999999999993</v>
      </c>
      <c r="O94" s="40">
        <v>0</v>
      </c>
      <c r="P94" s="40">
        <v>0</v>
      </c>
      <c r="Q94" s="40">
        <v>40</v>
      </c>
      <c r="R94" s="40">
        <v>0</v>
      </c>
      <c r="S94" s="40">
        <v>5.0385799999999996</v>
      </c>
      <c r="T94" s="40">
        <v>0</v>
      </c>
      <c r="U94" s="40">
        <v>0</v>
      </c>
      <c r="V94" s="56">
        <v>0</v>
      </c>
      <c r="W94" s="56">
        <v>0</v>
      </c>
      <c r="X94" s="56">
        <v>0</v>
      </c>
      <c r="Y94" s="56">
        <v>0</v>
      </c>
      <c r="Z94" s="56">
        <v>0</v>
      </c>
      <c r="AA94" s="56">
        <v>23.24</v>
      </c>
      <c r="AB94" s="56">
        <v>0</v>
      </c>
      <c r="AC94" s="56">
        <v>0</v>
      </c>
      <c r="AD94" s="56">
        <v>114.45689999999999</v>
      </c>
      <c r="AE94" s="56">
        <v>0</v>
      </c>
      <c r="AF94" s="56">
        <v>320.40667999999999</v>
      </c>
      <c r="AG94" s="56">
        <v>470.21499999999997</v>
      </c>
      <c r="AH94" s="56">
        <v>0</v>
      </c>
      <c r="AI94" s="56">
        <v>198.3295</v>
      </c>
      <c r="AJ94" s="56">
        <v>1.97295</v>
      </c>
      <c r="AK94" s="56">
        <v>0</v>
      </c>
      <c r="AL94" s="56">
        <v>0</v>
      </c>
      <c r="AM94" s="56">
        <v>0</v>
      </c>
      <c r="AN94" s="56">
        <v>0</v>
      </c>
      <c r="AO94" s="56">
        <v>0</v>
      </c>
      <c r="AP94" s="56">
        <v>47.320800000000006</v>
      </c>
      <c r="AQ94" s="56">
        <v>174.17</v>
      </c>
      <c r="AR94" s="56">
        <v>0</v>
      </c>
      <c r="AS94" s="56">
        <v>43.805</v>
      </c>
      <c r="AT94" s="56">
        <v>8.7799999999999994</v>
      </c>
      <c r="AU94" s="56">
        <v>145.26329999999999</v>
      </c>
      <c r="AV94" s="56">
        <v>0</v>
      </c>
      <c r="AW94" s="56">
        <v>180</v>
      </c>
      <c r="AX94" s="41">
        <f t="shared" si="2"/>
        <v>11861.5977</v>
      </c>
    </row>
    <row r="95" spans="1:50" s="16" customFormat="1" ht="12.75" customHeight="1" x14ac:dyDescent="0.25">
      <c r="A95" s="4" t="s">
        <v>22</v>
      </c>
      <c r="B95" s="40">
        <v>9611.461949999999</v>
      </c>
      <c r="C95" s="40">
        <v>611.43955000000005</v>
      </c>
      <c r="D95" s="40">
        <v>326.61394999999999</v>
      </c>
      <c r="E95" s="40">
        <v>15.9</v>
      </c>
      <c r="F95" s="40">
        <v>43.045000000000002</v>
      </c>
      <c r="G95" s="40">
        <v>14</v>
      </c>
      <c r="H95" s="40">
        <v>69.63794</v>
      </c>
      <c r="I95" s="40">
        <v>0</v>
      </c>
      <c r="J95" s="40">
        <v>1.4039999999999999</v>
      </c>
      <c r="K95" s="40">
        <v>564.68205</v>
      </c>
      <c r="L95" s="40">
        <v>12.011290000000001</v>
      </c>
      <c r="M95" s="40">
        <v>35.376300000000001</v>
      </c>
      <c r="N95" s="40">
        <v>1.85</v>
      </c>
      <c r="O95" s="40">
        <v>0</v>
      </c>
      <c r="P95" s="40">
        <v>2.5805500000000001</v>
      </c>
      <c r="Q95" s="40">
        <v>0</v>
      </c>
      <c r="R95" s="40">
        <v>0</v>
      </c>
      <c r="S95" s="40">
        <v>0</v>
      </c>
      <c r="T95" s="40">
        <v>36.171050000000001</v>
      </c>
      <c r="U95" s="40">
        <v>0</v>
      </c>
      <c r="V95" s="56">
        <v>0</v>
      </c>
      <c r="W95" s="56">
        <v>71.095520000000008</v>
      </c>
      <c r="X95" s="56">
        <v>0</v>
      </c>
      <c r="Y95" s="56">
        <v>0</v>
      </c>
      <c r="Z95" s="56">
        <v>0</v>
      </c>
      <c r="AA95" s="56">
        <v>312.78025000000002</v>
      </c>
      <c r="AB95" s="56">
        <v>0</v>
      </c>
      <c r="AC95" s="56">
        <v>0</v>
      </c>
      <c r="AD95" s="56">
        <v>155.19354999999999</v>
      </c>
      <c r="AE95" s="56">
        <v>0</v>
      </c>
      <c r="AF95" s="56">
        <v>24.588180000000001</v>
      </c>
      <c r="AG95" s="56">
        <v>33.115300000000005</v>
      </c>
      <c r="AH95" s="56">
        <v>0</v>
      </c>
      <c r="AI95" s="56">
        <v>225.32640000000001</v>
      </c>
      <c r="AJ95" s="56">
        <v>0</v>
      </c>
      <c r="AK95" s="56">
        <v>0</v>
      </c>
      <c r="AL95" s="56">
        <v>0</v>
      </c>
      <c r="AM95" s="56">
        <v>0</v>
      </c>
      <c r="AN95" s="56">
        <v>0</v>
      </c>
      <c r="AO95" s="56">
        <v>0</v>
      </c>
      <c r="AP95" s="56">
        <v>0</v>
      </c>
      <c r="AQ95" s="56">
        <v>105.095</v>
      </c>
      <c r="AR95" s="56">
        <v>0</v>
      </c>
      <c r="AS95" s="56">
        <v>21.450509999999998</v>
      </c>
      <c r="AT95" s="56">
        <v>0</v>
      </c>
      <c r="AU95" s="56">
        <v>6.7</v>
      </c>
      <c r="AV95" s="56">
        <v>0</v>
      </c>
      <c r="AW95" s="56">
        <v>0</v>
      </c>
      <c r="AX95" s="41">
        <f t="shared" si="2"/>
        <v>12301.518340000004</v>
      </c>
    </row>
    <row r="96" spans="1:50" s="16" customFormat="1" x14ac:dyDescent="0.25">
      <c r="A96" s="2" t="s">
        <v>100</v>
      </c>
      <c r="B96" s="40">
        <v>4316.3229800000008</v>
      </c>
      <c r="C96" s="40">
        <v>259.48525000000001</v>
      </c>
      <c r="D96" s="40">
        <v>329.1</v>
      </c>
      <c r="E96" s="40">
        <v>19.7</v>
      </c>
      <c r="F96" s="40">
        <v>251.36699999999999</v>
      </c>
      <c r="G96" s="40">
        <v>4.8</v>
      </c>
      <c r="H96" s="40">
        <v>124.81679</v>
      </c>
      <c r="I96" s="40">
        <v>0</v>
      </c>
      <c r="J96" s="40">
        <v>0</v>
      </c>
      <c r="K96" s="40">
        <v>756.35208999999998</v>
      </c>
      <c r="L96" s="40">
        <v>12.12945</v>
      </c>
      <c r="M96" s="40">
        <v>69.113199999999992</v>
      </c>
      <c r="N96" s="40">
        <v>27.604500000000002</v>
      </c>
      <c r="O96" s="40">
        <v>4.5</v>
      </c>
      <c r="P96" s="40">
        <v>0</v>
      </c>
      <c r="Q96" s="40">
        <v>0</v>
      </c>
      <c r="R96" s="40">
        <v>0</v>
      </c>
      <c r="S96" s="40">
        <v>0</v>
      </c>
      <c r="T96" s="40">
        <v>33.486449999999998</v>
      </c>
      <c r="U96" s="40">
        <v>0</v>
      </c>
      <c r="V96" s="56">
        <v>5.4460000000000001E-2</v>
      </c>
      <c r="W96" s="56">
        <v>17.806000000000001</v>
      </c>
      <c r="X96" s="56">
        <v>0</v>
      </c>
      <c r="Y96" s="56">
        <v>0</v>
      </c>
      <c r="Z96" s="56">
        <v>23.349</v>
      </c>
      <c r="AA96" s="56">
        <v>0.875</v>
      </c>
      <c r="AB96" s="56">
        <v>0</v>
      </c>
      <c r="AC96" s="56">
        <v>0</v>
      </c>
      <c r="AD96" s="56">
        <v>66.774299999999997</v>
      </c>
      <c r="AE96" s="56">
        <v>46.146239999999999</v>
      </c>
      <c r="AF96" s="56">
        <v>51.600769999999997</v>
      </c>
      <c r="AG96" s="56">
        <v>112.02380000000001</v>
      </c>
      <c r="AH96" s="56">
        <v>2548.1460000000002</v>
      </c>
      <c r="AI96" s="56">
        <v>603.01250000000005</v>
      </c>
      <c r="AJ96" s="56">
        <v>1.48855</v>
      </c>
      <c r="AK96" s="56">
        <v>0</v>
      </c>
      <c r="AL96" s="56">
        <v>0</v>
      </c>
      <c r="AM96" s="56">
        <v>0</v>
      </c>
      <c r="AN96" s="56">
        <v>0</v>
      </c>
      <c r="AO96" s="56">
        <v>0</v>
      </c>
      <c r="AP96" s="56">
        <v>0</v>
      </c>
      <c r="AQ96" s="56">
        <v>75</v>
      </c>
      <c r="AR96" s="56">
        <v>0</v>
      </c>
      <c r="AS96" s="56">
        <v>24.341999999999999</v>
      </c>
      <c r="AT96" s="56">
        <v>10.85918</v>
      </c>
      <c r="AU96" s="56">
        <v>246.92349999999999</v>
      </c>
      <c r="AV96" s="56">
        <v>0</v>
      </c>
      <c r="AW96" s="56">
        <v>0</v>
      </c>
      <c r="AX96" s="41">
        <f t="shared" si="2"/>
        <v>10037.179010000003</v>
      </c>
    </row>
    <row r="97" spans="1:50" s="16" customFormat="1" ht="12.75" customHeight="1" x14ac:dyDescent="0.25">
      <c r="A97" s="2" t="s">
        <v>101</v>
      </c>
      <c r="B97" s="40">
        <v>9166.4224900000008</v>
      </c>
      <c r="C97" s="40">
        <v>504.24890000000005</v>
      </c>
      <c r="D97" s="40">
        <v>365</v>
      </c>
      <c r="E97" s="40">
        <v>11.25</v>
      </c>
      <c r="F97" s="40">
        <v>34.890999999999998</v>
      </c>
      <c r="G97" s="40">
        <v>0</v>
      </c>
      <c r="H97" s="40">
        <v>91.830950000000001</v>
      </c>
      <c r="I97" s="40">
        <v>0</v>
      </c>
      <c r="J97" s="40">
        <v>3.9</v>
      </c>
      <c r="K97" s="40">
        <v>884.14158999999995</v>
      </c>
      <c r="L97" s="40">
        <v>48.740569999999998</v>
      </c>
      <c r="M97" s="40">
        <v>168.91825</v>
      </c>
      <c r="N97" s="40">
        <v>0.65</v>
      </c>
      <c r="O97" s="40">
        <v>0</v>
      </c>
      <c r="P97" s="40">
        <v>0</v>
      </c>
      <c r="Q97" s="40">
        <v>0</v>
      </c>
      <c r="R97" s="40">
        <v>0</v>
      </c>
      <c r="S97" s="40">
        <v>26</v>
      </c>
      <c r="T97" s="40">
        <v>40.69115</v>
      </c>
      <c r="U97" s="40">
        <v>0</v>
      </c>
      <c r="V97" s="56">
        <v>0</v>
      </c>
      <c r="W97" s="56">
        <v>0</v>
      </c>
      <c r="X97" s="56">
        <v>0</v>
      </c>
      <c r="Y97" s="56">
        <v>0</v>
      </c>
      <c r="Z97" s="56">
        <v>0</v>
      </c>
      <c r="AA97" s="56">
        <v>74.037859999999995</v>
      </c>
      <c r="AB97" s="56">
        <v>0</v>
      </c>
      <c r="AC97" s="56">
        <v>0</v>
      </c>
      <c r="AD97" s="56">
        <v>15.416</v>
      </c>
      <c r="AE97" s="56">
        <v>213.40088</v>
      </c>
      <c r="AF97" s="56">
        <v>20.629360000000002</v>
      </c>
      <c r="AG97" s="56">
        <v>155.67239999999998</v>
      </c>
      <c r="AH97" s="56">
        <v>0</v>
      </c>
      <c r="AI97" s="56">
        <v>326.60465000000005</v>
      </c>
      <c r="AJ97" s="56">
        <v>1.5507</v>
      </c>
      <c r="AK97" s="56">
        <v>0</v>
      </c>
      <c r="AL97" s="56">
        <v>0</v>
      </c>
      <c r="AM97" s="56">
        <v>0</v>
      </c>
      <c r="AN97" s="56">
        <v>0</v>
      </c>
      <c r="AO97" s="56">
        <v>0</v>
      </c>
      <c r="AP97" s="56">
        <v>0</v>
      </c>
      <c r="AQ97" s="56">
        <v>0</v>
      </c>
      <c r="AR97" s="56">
        <v>0</v>
      </c>
      <c r="AS97" s="56">
        <v>0</v>
      </c>
      <c r="AT97" s="56">
        <v>0</v>
      </c>
      <c r="AU97" s="56">
        <v>299.52945</v>
      </c>
      <c r="AV97" s="56">
        <v>0</v>
      </c>
      <c r="AW97" s="56">
        <v>0</v>
      </c>
      <c r="AX97" s="41">
        <f t="shared" si="2"/>
        <v>12453.526199999998</v>
      </c>
    </row>
    <row r="98" spans="1:50" s="16" customFormat="1" x14ac:dyDescent="0.25">
      <c r="A98" s="2" t="s">
        <v>23</v>
      </c>
      <c r="B98" s="40">
        <v>14212.94982</v>
      </c>
      <c r="C98" s="40">
        <v>12084.9848</v>
      </c>
      <c r="D98" s="40">
        <v>774</v>
      </c>
      <c r="E98" s="40">
        <v>38.799999999999997</v>
      </c>
      <c r="F98" s="40">
        <v>203.67599999999999</v>
      </c>
      <c r="G98" s="40">
        <v>0</v>
      </c>
      <c r="H98" s="40">
        <v>124.0557</v>
      </c>
      <c r="I98" s="40">
        <v>0</v>
      </c>
      <c r="J98" s="40">
        <v>3.9</v>
      </c>
      <c r="K98" s="40">
        <v>1468.8591200000001</v>
      </c>
      <c r="L98" s="40">
        <v>39.760199999999998</v>
      </c>
      <c r="M98" s="40">
        <v>658.72948999999994</v>
      </c>
      <c r="N98" s="40">
        <v>69.39819</v>
      </c>
      <c r="O98" s="40">
        <v>0</v>
      </c>
      <c r="P98" s="40">
        <v>35.391419999999997</v>
      </c>
      <c r="Q98" s="40">
        <v>0</v>
      </c>
      <c r="R98" s="40">
        <v>0</v>
      </c>
      <c r="S98" s="40">
        <v>2.8125</v>
      </c>
      <c r="T98" s="40">
        <v>306.97624999999999</v>
      </c>
      <c r="U98" s="40">
        <v>0</v>
      </c>
      <c r="V98" s="56">
        <v>0</v>
      </c>
      <c r="W98" s="56">
        <v>0</v>
      </c>
      <c r="X98" s="56">
        <v>0</v>
      </c>
      <c r="Y98" s="56">
        <v>0</v>
      </c>
      <c r="Z98" s="56">
        <v>0</v>
      </c>
      <c r="AA98" s="56">
        <v>271.45024999999998</v>
      </c>
      <c r="AB98" s="56">
        <v>0</v>
      </c>
      <c r="AC98" s="56">
        <v>0</v>
      </c>
      <c r="AD98" s="56">
        <v>436.88479999999998</v>
      </c>
      <c r="AE98" s="56">
        <v>170.62739999999999</v>
      </c>
      <c r="AF98" s="56">
        <v>708.14675</v>
      </c>
      <c r="AG98" s="56">
        <v>140.82320000000001</v>
      </c>
      <c r="AH98" s="56">
        <v>0</v>
      </c>
      <c r="AI98" s="56">
        <v>926.07974999999999</v>
      </c>
      <c r="AJ98" s="56">
        <v>0</v>
      </c>
      <c r="AK98" s="56">
        <v>0</v>
      </c>
      <c r="AL98" s="56">
        <v>0</v>
      </c>
      <c r="AM98" s="56">
        <v>0</v>
      </c>
      <c r="AN98" s="56">
        <v>0</v>
      </c>
      <c r="AO98" s="56">
        <v>0</v>
      </c>
      <c r="AP98" s="56">
        <v>0</v>
      </c>
      <c r="AQ98" s="56">
        <v>25</v>
      </c>
      <c r="AR98" s="56">
        <v>0</v>
      </c>
      <c r="AS98" s="56">
        <v>0</v>
      </c>
      <c r="AT98" s="56">
        <v>9.84</v>
      </c>
      <c r="AU98" s="56">
        <v>108.87988</v>
      </c>
      <c r="AV98" s="56">
        <v>0</v>
      </c>
      <c r="AW98" s="56">
        <v>0</v>
      </c>
      <c r="AX98" s="41">
        <f t="shared" si="2"/>
        <v>32822.025520000003</v>
      </c>
    </row>
    <row r="99" spans="1:50" s="16" customFormat="1" x14ac:dyDescent="0.25">
      <c r="A99" s="2" t="s">
        <v>102</v>
      </c>
      <c r="B99" s="40">
        <v>6723.6351599999998</v>
      </c>
      <c r="C99" s="40">
        <v>1541.7584299999999</v>
      </c>
      <c r="D99" s="40">
        <v>570</v>
      </c>
      <c r="E99" s="40">
        <v>13.8</v>
      </c>
      <c r="F99" s="40">
        <v>98.585750000000004</v>
      </c>
      <c r="G99" s="40">
        <v>15</v>
      </c>
      <c r="H99" s="40">
        <v>100.51169999999999</v>
      </c>
      <c r="I99" s="40">
        <v>0</v>
      </c>
      <c r="J99" s="40">
        <v>5.36</v>
      </c>
      <c r="K99" s="40">
        <v>2261.7460099999998</v>
      </c>
      <c r="L99" s="40">
        <v>26.63691</v>
      </c>
      <c r="M99" s="40">
        <v>111.74565</v>
      </c>
      <c r="N99" s="40">
        <v>2.7</v>
      </c>
      <c r="O99" s="40">
        <v>8.0582499999999992</v>
      </c>
      <c r="P99" s="40">
        <v>11.836120000000001</v>
      </c>
      <c r="Q99" s="40">
        <v>0</v>
      </c>
      <c r="R99" s="40">
        <v>0</v>
      </c>
      <c r="S99" s="40">
        <v>0</v>
      </c>
      <c r="T99" s="40">
        <v>40.084050000000005</v>
      </c>
      <c r="U99" s="40">
        <v>0</v>
      </c>
      <c r="V99" s="56">
        <v>0</v>
      </c>
      <c r="W99" s="56">
        <v>0</v>
      </c>
      <c r="X99" s="56">
        <v>0</v>
      </c>
      <c r="Y99" s="56">
        <v>0</v>
      </c>
      <c r="Z99" s="56">
        <v>56.322000000000003</v>
      </c>
      <c r="AA99" s="56">
        <v>92.274729999999991</v>
      </c>
      <c r="AB99" s="56">
        <v>0</v>
      </c>
      <c r="AC99" s="56">
        <v>0</v>
      </c>
      <c r="AD99" s="56">
        <v>133.07905</v>
      </c>
      <c r="AE99" s="56">
        <v>15.83995</v>
      </c>
      <c r="AF99" s="56">
        <v>82.794210000000007</v>
      </c>
      <c r="AG99" s="56">
        <v>273.34030000000001</v>
      </c>
      <c r="AH99" s="56">
        <v>2122.3870000000002</v>
      </c>
      <c r="AI99" s="56">
        <v>717.53744999999992</v>
      </c>
      <c r="AJ99" s="56">
        <v>2.3732500000000001</v>
      </c>
      <c r="AK99" s="56">
        <v>0</v>
      </c>
      <c r="AL99" s="56">
        <v>0</v>
      </c>
      <c r="AM99" s="56">
        <v>0</v>
      </c>
      <c r="AN99" s="56">
        <v>0</v>
      </c>
      <c r="AO99" s="56">
        <v>0</v>
      </c>
      <c r="AP99" s="56">
        <v>0</v>
      </c>
      <c r="AQ99" s="56">
        <v>44.5</v>
      </c>
      <c r="AR99" s="56">
        <v>42.5</v>
      </c>
      <c r="AS99" s="56">
        <v>34.319600000000001</v>
      </c>
      <c r="AT99" s="56">
        <v>12.701649999999999</v>
      </c>
      <c r="AU99" s="56">
        <v>287.70940000000002</v>
      </c>
      <c r="AV99" s="56">
        <v>0</v>
      </c>
      <c r="AW99" s="56">
        <v>0</v>
      </c>
      <c r="AX99" s="41">
        <f t="shared" ref="AX99:AX108" si="3">SUM(B99:AW99)</f>
        <v>15449.136620000001</v>
      </c>
    </row>
    <row r="100" spans="1:50" s="16" customFormat="1" x14ac:dyDescent="0.25">
      <c r="A100" s="2" t="s">
        <v>24</v>
      </c>
      <c r="B100" s="40">
        <v>6808.1009999999997</v>
      </c>
      <c r="C100" s="40">
        <v>238</v>
      </c>
      <c r="D100" s="40">
        <v>410</v>
      </c>
      <c r="E100" s="40">
        <v>10.329600000000001</v>
      </c>
      <c r="F100" s="40">
        <v>95.703999999999994</v>
      </c>
      <c r="G100" s="40">
        <v>5.125</v>
      </c>
      <c r="H100" s="40">
        <v>29.038400000000003</v>
      </c>
      <c r="I100" s="40">
        <v>0</v>
      </c>
      <c r="J100" s="40">
        <v>0</v>
      </c>
      <c r="K100" s="40">
        <v>652.99151000000006</v>
      </c>
      <c r="L100" s="40">
        <v>32.74512</v>
      </c>
      <c r="M100" s="40">
        <v>146.48329999999999</v>
      </c>
      <c r="N100" s="40">
        <v>22.837</v>
      </c>
      <c r="O100" s="40">
        <v>0</v>
      </c>
      <c r="P100" s="40">
        <v>146.84100000000001</v>
      </c>
      <c r="Q100" s="40">
        <v>0</v>
      </c>
      <c r="R100" s="40">
        <v>0</v>
      </c>
      <c r="S100" s="40">
        <v>2.4300999999999999</v>
      </c>
      <c r="T100" s="40">
        <v>90.328940000000003</v>
      </c>
      <c r="U100" s="40">
        <v>0</v>
      </c>
      <c r="V100" s="56">
        <v>0</v>
      </c>
      <c r="W100" s="56">
        <v>77.12</v>
      </c>
      <c r="X100" s="56">
        <v>0</v>
      </c>
      <c r="Y100" s="56">
        <v>0</v>
      </c>
      <c r="Z100" s="56">
        <v>0</v>
      </c>
      <c r="AA100" s="56">
        <v>155.01888</v>
      </c>
      <c r="AB100" s="56">
        <v>0</v>
      </c>
      <c r="AC100" s="56">
        <v>0</v>
      </c>
      <c r="AD100" s="56">
        <v>118.29205</v>
      </c>
      <c r="AE100" s="56">
        <v>0</v>
      </c>
      <c r="AF100" s="56">
        <v>69.816999999999993</v>
      </c>
      <c r="AG100" s="56">
        <v>90.854900000000001</v>
      </c>
      <c r="AH100" s="56">
        <v>286.18200000000002</v>
      </c>
      <c r="AI100" s="56">
        <v>659.40555000000006</v>
      </c>
      <c r="AJ100" s="56">
        <v>1.8129000000000002</v>
      </c>
      <c r="AK100" s="56">
        <v>0</v>
      </c>
      <c r="AL100" s="56">
        <v>0</v>
      </c>
      <c r="AM100" s="56">
        <v>0</v>
      </c>
      <c r="AN100" s="56">
        <v>0</v>
      </c>
      <c r="AO100" s="56">
        <v>0</v>
      </c>
      <c r="AP100" s="56">
        <v>0</v>
      </c>
      <c r="AQ100" s="56">
        <v>92.15</v>
      </c>
      <c r="AR100" s="56">
        <v>0</v>
      </c>
      <c r="AS100" s="56">
        <v>0</v>
      </c>
      <c r="AT100" s="56">
        <v>0</v>
      </c>
      <c r="AU100" s="56">
        <v>0</v>
      </c>
      <c r="AV100" s="56">
        <v>0</v>
      </c>
      <c r="AW100" s="56">
        <v>0</v>
      </c>
      <c r="AX100" s="41">
        <f t="shared" si="3"/>
        <v>10241.608249999999</v>
      </c>
    </row>
    <row r="101" spans="1:50" s="16" customFormat="1" x14ac:dyDescent="0.25">
      <c r="A101" s="3" t="s">
        <v>103</v>
      </c>
      <c r="B101" s="40">
        <v>6419.2195099999999</v>
      </c>
      <c r="C101" s="40">
        <v>1412.4323999999999</v>
      </c>
      <c r="D101" s="40">
        <v>460</v>
      </c>
      <c r="E101" s="40">
        <v>17.05</v>
      </c>
      <c r="F101" s="40">
        <v>118.443</v>
      </c>
      <c r="G101" s="40">
        <v>11.25</v>
      </c>
      <c r="H101" s="40">
        <v>113.59875</v>
      </c>
      <c r="I101" s="40">
        <v>0</v>
      </c>
      <c r="J101" s="40">
        <v>0</v>
      </c>
      <c r="K101" s="40">
        <v>1505.62041</v>
      </c>
      <c r="L101" s="40">
        <v>35.838360000000002</v>
      </c>
      <c r="M101" s="40">
        <v>251.54755</v>
      </c>
      <c r="N101" s="40">
        <v>1.35</v>
      </c>
      <c r="O101" s="40">
        <v>0</v>
      </c>
      <c r="P101" s="40">
        <v>5.0389999999999997</v>
      </c>
      <c r="Q101" s="40">
        <v>0</v>
      </c>
      <c r="R101" s="40">
        <v>0</v>
      </c>
      <c r="S101" s="40">
        <v>6.9999999999999999E-4</v>
      </c>
      <c r="T101" s="40">
        <v>91.891850000000005</v>
      </c>
      <c r="U101" s="40">
        <v>0</v>
      </c>
      <c r="V101" s="56">
        <v>0</v>
      </c>
      <c r="W101" s="56">
        <v>0</v>
      </c>
      <c r="X101" s="56">
        <v>0</v>
      </c>
      <c r="Y101" s="56">
        <v>4.5500000000000002E-3</v>
      </c>
      <c r="Z101" s="56">
        <v>0</v>
      </c>
      <c r="AA101" s="56">
        <v>50.151800000000001</v>
      </c>
      <c r="AB101" s="56">
        <v>0</v>
      </c>
      <c r="AC101" s="56">
        <v>0</v>
      </c>
      <c r="AD101" s="56">
        <v>94.375450000000001</v>
      </c>
      <c r="AE101" s="56">
        <v>19.03135</v>
      </c>
      <c r="AF101" s="56">
        <v>52.442900000000002</v>
      </c>
      <c r="AG101" s="56">
        <v>287.15934999999996</v>
      </c>
      <c r="AH101" s="56">
        <v>869.68299999999999</v>
      </c>
      <c r="AI101" s="56">
        <v>851.57889999999998</v>
      </c>
      <c r="AJ101" s="56">
        <v>2.4355000000000002</v>
      </c>
      <c r="AK101" s="56">
        <v>0</v>
      </c>
      <c r="AL101" s="56">
        <v>0</v>
      </c>
      <c r="AM101" s="56">
        <v>0</v>
      </c>
      <c r="AN101" s="56">
        <v>0</v>
      </c>
      <c r="AO101" s="56">
        <v>0</v>
      </c>
      <c r="AP101" s="56">
        <v>31.2</v>
      </c>
      <c r="AQ101" s="56">
        <v>64</v>
      </c>
      <c r="AR101" s="56">
        <v>0</v>
      </c>
      <c r="AS101" s="56">
        <v>40.398499999999999</v>
      </c>
      <c r="AT101" s="56">
        <v>0</v>
      </c>
      <c r="AU101" s="56">
        <v>0</v>
      </c>
      <c r="AV101" s="56">
        <v>0</v>
      </c>
      <c r="AW101" s="56">
        <v>0</v>
      </c>
      <c r="AX101" s="41">
        <f t="shared" si="3"/>
        <v>12805.742829999996</v>
      </c>
    </row>
    <row r="102" spans="1:50" s="16" customFormat="1" x14ac:dyDescent="0.25">
      <c r="A102" s="2" t="s">
        <v>104</v>
      </c>
      <c r="B102" s="40">
        <v>7630.1084800000008</v>
      </c>
      <c r="C102" s="40">
        <v>1100</v>
      </c>
      <c r="D102" s="40">
        <v>520.755</v>
      </c>
      <c r="E102" s="40">
        <v>34.64</v>
      </c>
      <c r="F102" s="40">
        <v>185.95699999999999</v>
      </c>
      <c r="G102" s="40">
        <v>-20.25</v>
      </c>
      <c r="H102" s="40">
        <v>182.44537</v>
      </c>
      <c r="I102" s="40">
        <v>0</v>
      </c>
      <c r="J102" s="40">
        <v>0</v>
      </c>
      <c r="K102" s="40">
        <v>1855.6622299999999</v>
      </c>
      <c r="L102" s="40">
        <v>27.484150000000003</v>
      </c>
      <c r="M102" s="40">
        <v>268.78272999999996</v>
      </c>
      <c r="N102" s="40">
        <v>53.723999999999997</v>
      </c>
      <c r="O102" s="40">
        <v>0</v>
      </c>
      <c r="P102" s="40">
        <v>12.10783</v>
      </c>
      <c r="Q102" s="40">
        <v>0</v>
      </c>
      <c r="R102" s="40">
        <v>0</v>
      </c>
      <c r="S102" s="40">
        <v>0</v>
      </c>
      <c r="T102" s="40">
        <v>43.49165</v>
      </c>
      <c r="U102" s="40">
        <v>16.404820000000001</v>
      </c>
      <c r="V102" s="56">
        <v>0</v>
      </c>
      <c r="W102" s="56">
        <v>0</v>
      </c>
      <c r="X102" s="56">
        <v>0</v>
      </c>
      <c r="Y102" s="56">
        <v>0</v>
      </c>
      <c r="Z102" s="56">
        <v>0</v>
      </c>
      <c r="AA102" s="56">
        <v>432.27262999999999</v>
      </c>
      <c r="AB102" s="56">
        <v>0</v>
      </c>
      <c r="AC102" s="56">
        <v>0</v>
      </c>
      <c r="AD102" s="56">
        <v>177.18210000000002</v>
      </c>
      <c r="AE102" s="56">
        <v>98.691670000000002</v>
      </c>
      <c r="AF102" s="56">
        <v>58.604690000000005</v>
      </c>
      <c r="AG102" s="56">
        <v>119.55335000000001</v>
      </c>
      <c r="AH102" s="56">
        <v>648.40599999999995</v>
      </c>
      <c r="AI102" s="56">
        <v>767.36798999999996</v>
      </c>
      <c r="AJ102" s="56">
        <v>2.5360500000000004</v>
      </c>
      <c r="AK102" s="56">
        <v>0</v>
      </c>
      <c r="AL102" s="56">
        <v>0</v>
      </c>
      <c r="AM102" s="56">
        <v>0</v>
      </c>
      <c r="AN102" s="56">
        <v>0</v>
      </c>
      <c r="AO102" s="56">
        <v>0</v>
      </c>
      <c r="AP102" s="56">
        <v>0</v>
      </c>
      <c r="AQ102" s="56">
        <v>378.59300000000002</v>
      </c>
      <c r="AR102" s="56">
        <v>0</v>
      </c>
      <c r="AS102" s="56">
        <v>0</v>
      </c>
      <c r="AT102" s="56">
        <v>58.853300000000004</v>
      </c>
      <c r="AU102" s="56">
        <v>451.7747</v>
      </c>
      <c r="AV102" s="56">
        <v>0</v>
      </c>
      <c r="AW102" s="56">
        <v>0</v>
      </c>
      <c r="AX102" s="41">
        <f t="shared" si="3"/>
        <v>15105.148740000004</v>
      </c>
    </row>
    <row r="103" spans="1:50" s="16" customFormat="1" x14ac:dyDescent="0.25">
      <c r="A103" s="2" t="s">
        <v>25</v>
      </c>
      <c r="B103" s="40">
        <v>14941.646580000001</v>
      </c>
      <c r="C103" s="40">
        <v>660</v>
      </c>
      <c r="D103" s="40">
        <v>500</v>
      </c>
      <c r="E103" s="40">
        <v>28.25</v>
      </c>
      <c r="F103" s="40">
        <v>102.67060000000001</v>
      </c>
      <c r="G103" s="40">
        <v>4</v>
      </c>
      <c r="H103" s="40">
        <v>146.58770000000001</v>
      </c>
      <c r="I103" s="40">
        <v>0</v>
      </c>
      <c r="J103" s="40">
        <v>0</v>
      </c>
      <c r="K103" s="40">
        <v>877.08256999999992</v>
      </c>
      <c r="L103" s="40">
        <v>357.63147999999995</v>
      </c>
      <c r="M103" s="40">
        <v>211.39998</v>
      </c>
      <c r="N103" s="40">
        <v>17.39</v>
      </c>
      <c r="O103" s="40">
        <v>0</v>
      </c>
      <c r="P103" s="40">
        <v>8.5516900000000007</v>
      </c>
      <c r="Q103" s="40">
        <v>0</v>
      </c>
      <c r="R103" s="40">
        <v>0</v>
      </c>
      <c r="S103" s="40">
        <v>3.9</v>
      </c>
      <c r="T103" s="40">
        <v>78.936999999999998</v>
      </c>
      <c r="U103" s="40">
        <v>0</v>
      </c>
      <c r="V103" s="56">
        <v>0</v>
      </c>
      <c r="W103" s="56">
        <v>0</v>
      </c>
      <c r="X103" s="56">
        <v>0</v>
      </c>
      <c r="Y103" s="56">
        <v>0</v>
      </c>
      <c r="Z103" s="56">
        <v>0</v>
      </c>
      <c r="AA103" s="56">
        <v>61.261900000000004</v>
      </c>
      <c r="AB103" s="56">
        <v>0</v>
      </c>
      <c r="AC103" s="56">
        <v>35.249989999999997</v>
      </c>
      <c r="AD103" s="56">
        <v>2.97</v>
      </c>
      <c r="AE103" s="56">
        <v>13.1435</v>
      </c>
      <c r="AF103" s="56">
        <v>11.307889999999999</v>
      </c>
      <c r="AG103" s="56">
        <v>42.87715</v>
      </c>
      <c r="AH103" s="56">
        <v>0</v>
      </c>
      <c r="AI103" s="56">
        <v>1062.76595</v>
      </c>
      <c r="AJ103" s="56">
        <v>2.5164499999999999</v>
      </c>
      <c r="AK103" s="56">
        <v>0</v>
      </c>
      <c r="AL103" s="56">
        <v>0</v>
      </c>
      <c r="AM103" s="56">
        <v>0</v>
      </c>
      <c r="AN103" s="56">
        <v>0</v>
      </c>
      <c r="AO103" s="56">
        <v>0</v>
      </c>
      <c r="AP103" s="56">
        <v>0</v>
      </c>
      <c r="AQ103" s="56">
        <v>57</v>
      </c>
      <c r="AR103" s="56">
        <v>0</v>
      </c>
      <c r="AS103" s="56">
        <v>0</v>
      </c>
      <c r="AT103" s="56">
        <v>1.1499999999999999</v>
      </c>
      <c r="AU103" s="56">
        <v>13.276999999999999</v>
      </c>
      <c r="AV103" s="56">
        <v>0</v>
      </c>
      <c r="AW103" s="56">
        <v>0</v>
      </c>
      <c r="AX103" s="41">
        <f t="shared" si="3"/>
        <v>19241.567430000003</v>
      </c>
    </row>
    <row r="104" spans="1:50" s="16" customFormat="1" x14ac:dyDescent="0.25">
      <c r="A104" s="2" t="s">
        <v>105</v>
      </c>
      <c r="B104" s="40">
        <v>16835.1423</v>
      </c>
      <c r="C104" s="40">
        <v>495</v>
      </c>
      <c r="D104" s="40">
        <v>475.798</v>
      </c>
      <c r="E104" s="40">
        <v>25.65</v>
      </c>
      <c r="F104" s="40">
        <v>134.02760000000001</v>
      </c>
      <c r="G104" s="40">
        <v>66</v>
      </c>
      <c r="H104" s="40">
        <v>148.22225</v>
      </c>
      <c r="I104" s="40">
        <v>0</v>
      </c>
      <c r="J104" s="40">
        <v>0</v>
      </c>
      <c r="K104" s="40">
        <v>1382.8748500000002</v>
      </c>
      <c r="L104" s="40">
        <v>31.670099999999998</v>
      </c>
      <c r="M104" s="40">
        <v>156.47606999999999</v>
      </c>
      <c r="N104" s="40">
        <v>14.89</v>
      </c>
      <c r="O104" s="40">
        <v>0</v>
      </c>
      <c r="P104" s="40">
        <v>0</v>
      </c>
      <c r="Q104" s="40">
        <v>0</v>
      </c>
      <c r="R104" s="40">
        <v>0</v>
      </c>
      <c r="S104" s="40">
        <v>0</v>
      </c>
      <c r="T104" s="40">
        <v>131.04692</v>
      </c>
      <c r="U104" s="40">
        <v>0</v>
      </c>
      <c r="V104" s="56">
        <v>0</v>
      </c>
      <c r="W104" s="56">
        <v>157.512</v>
      </c>
      <c r="X104" s="56">
        <v>0</v>
      </c>
      <c r="Y104" s="56">
        <v>0</v>
      </c>
      <c r="Z104" s="56">
        <v>0</v>
      </c>
      <c r="AA104" s="56">
        <v>364.76727</v>
      </c>
      <c r="AB104" s="56">
        <v>0</v>
      </c>
      <c r="AC104" s="58">
        <v>0</v>
      </c>
      <c r="AD104" s="58">
        <v>192.42255</v>
      </c>
      <c r="AE104" s="56">
        <v>56.133249999999997</v>
      </c>
      <c r="AF104" s="56">
        <v>15.61317</v>
      </c>
      <c r="AG104" s="56">
        <v>82.5381</v>
      </c>
      <c r="AH104" s="56">
        <v>212.66300000000001</v>
      </c>
      <c r="AI104" s="56">
        <v>668.33460000000002</v>
      </c>
      <c r="AJ104" s="56">
        <v>2.3561000000000001</v>
      </c>
      <c r="AK104" s="56">
        <v>0</v>
      </c>
      <c r="AL104" s="56">
        <v>0</v>
      </c>
      <c r="AM104" s="58">
        <v>8.82</v>
      </c>
      <c r="AN104" s="58">
        <v>0</v>
      </c>
      <c r="AO104" s="58">
        <v>0</v>
      </c>
      <c r="AP104" s="58">
        <v>0</v>
      </c>
      <c r="AQ104" s="58">
        <v>84</v>
      </c>
      <c r="AR104" s="58">
        <v>0</v>
      </c>
      <c r="AS104" s="58">
        <v>36</v>
      </c>
      <c r="AT104" s="58">
        <v>11.641299999999999</v>
      </c>
      <c r="AU104" s="58">
        <v>302.80399999999997</v>
      </c>
      <c r="AV104" s="58">
        <v>0</v>
      </c>
      <c r="AW104" s="58">
        <v>0</v>
      </c>
      <c r="AX104" s="41">
        <f t="shared" si="3"/>
        <v>22092.403429999998</v>
      </c>
    </row>
    <row r="105" spans="1:50" s="16" customFormat="1" x14ac:dyDescent="0.25">
      <c r="A105" s="2" t="s">
        <v>106</v>
      </c>
      <c r="B105" s="40">
        <v>2166.3302599999997</v>
      </c>
      <c r="C105" s="40">
        <v>10.03975</v>
      </c>
      <c r="D105" s="40">
        <v>150</v>
      </c>
      <c r="E105" s="40">
        <v>5.7750000000000004</v>
      </c>
      <c r="F105" s="40">
        <v>20.838000000000001</v>
      </c>
      <c r="G105" s="40">
        <v>7.5</v>
      </c>
      <c r="H105" s="40">
        <v>57.579790000000003</v>
      </c>
      <c r="I105" s="40">
        <v>0</v>
      </c>
      <c r="J105" s="40">
        <v>0</v>
      </c>
      <c r="K105" s="40">
        <v>377.81038000000001</v>
      </c>
      <c r="L105" s="40">
        <v>9.1645499999999984</v>
      </c>
      <c r="M105" s="40">
        <v>12.640510000000001</v>
      </c>
      <c r="N105" s="40">
        <v>0</v>
      </c>
      <c r="O105" s="40">
        <v>0</v>
      </c>
      <c r="P105" s="40">
        <v>3.3299099999999999</v>
      </c>
      <c r="Q105" s="40">
        <v>0</v>
      </c>
      <c r="R105" s="40">
        <v>0</v>
      </c>
      <c r="S105" s="40">
        <v>0.13985</v>
      </c>
      <c r="T105" s="40">
        <v>5.8128000000000002</v>
      </c>
      <c r="U105" s="40">
        <v>0</v>
      </c>
      <c r="V105" s="56">
        <v>0</v>
      </c>
      <c r="W105" s="56">
        <v>0</v>
      </c>
      <c r="X105" s="56">
        <v>0</v>
      </c>
      <c r="Y105" s="56">
        <v>0</v>
      </c>
      <c r="Z105" s="56">
        <v>0</v>
      </c>
      <c r="AA105" s="56">
        <v>0.88600000000000001</v>
      </c>
      <c r="AB105" s="56">
        <v>0</v>
      </c>
      <c r="AC105" s="56">
        <v>0</v>
      </c>
      <c r="AD105" s="56">
        <v>50.799949999999995</v>
      </c>
      <c r="AE105" s="56">
        <v>23.047369999999997</v>
      </c>
      <c r="AF105" s="56">
        <v>1.06107</v>
      </c>
      <c r="AG105" s="56">
        <v>254.07633999999999</v>
      </c>
      <c r="AH105" s="56">
        <v>0</v>
      </c>
      <c r="AI105" s="56">
        <v>120.85305</v>
      </c>
      <c r="AJ105" s="56">
        <v>0.44430000000000003</v>
      </c>
      <c r="AK105" s="56">
        <v>0</v>
      </c>
      <c r="AL105" s="56">
        <v>0</v>
      </c>
      <c r="AM105" s="56">
        <v>0</v>
      </c>
      <c r="AN105" s="56">
        <v>0</v>
      </c>
      <c r="AO105" s="56">
        <v>0</v>
      </c>
      <c r="AP105" s="56">
        <v>0</v>
      </c>
      <c r="AQ105" s="56">
        <v>0.5</v>
      </c>
      <c r="AR105" s="56">
        <v>0</v>
      </c>
      <c r="AS105" s="56">
        <v>0</v>
      </c>
      <c r="AT105" s="56">
        <v>15.6</v>
      </c>
      <c r="AU105" s="56">
        <v>121.73175000000001</v>
      </c>
      <c r="AV105" s="56">
        <v>0</v>
      </c>
      <c r="AW105" s="56">
        <v>0</v>
      </c>
      <c r="AX105" s="41">
        <f t="shared" si="3"/>
        <v>3415.96063</v>
      </c>
    </row>
    <row r="106" spans="1:50" s="16" customFormat="1" x14ac:dyDescent="0.25">
      <c r="A106" s="2" t="s">
        <v>107</v>
      </c>
      <c r="B106" s="40">
        <v>1689.69704</v>
      </c>
      <c r="C106" s="40">
        <v>110</v>
      </c>
      <c r="D106" s="40">
        <v>140</v>
      </c>
      <c r="E106" s="40">
        <v>8.5500000000000007</v>
      </c>
      <c r="F106" s="40">
        <v>139.874</v>
      </c>
      <c r="G106" s="40">
        <v>6</v>
      </c>
      <c r="H106" s="40">
        <v>41.20655</v>
      </c>
      <c r="I106" s="40">
        <v>0</v>
      </c>
      <c r="J106" s="40">
        <v>0</v>
      </c>
      <c r="K106" s="40">
        <v>772.62499000000003</v>
      </c>
      <c r="L106" s="40">
        <v>315.51691999999997</v>
      </c>
      <c r="M106" s="40">
        <v>52.80865</v>
      </c>
      <c r="N106" s="40">
        <v>0</v>
      </c>
      <c r="O106" s="40">
        <v>0</v>
      </c>
      <c r="P106" s="40">
        <v>1.07</v>
      </c>
      <c r="Q106" s="40">
        <v>0</v>
      </c>
      <c r="R106" s="40">
        <v>0</v>
      </c>
      <c r="S106" s="40">
        <v>51.204599999999999</v>
      </c>
      <c r="T106" s="40">
        <v>20.87989</v>
      </c>
      <c r="U106" s="40">
        <v>0</v>
      </c>
      <c r="V106" s="56">
        <v>0</v>
      </c>
      <c r="W106" s="56">
        <v>0</v>
      </c>
      <c r="X106" s="56">
        <v>0</v>
      </c>
      <c r="Y106" s="56">
        <v>0</v>
      </c>
      <c r="Z106" s="56">
        <v>9.7080000000000002</v>
      </c>
      <c r="AA106" s="56">
        <v>295.69099999999997</v>
      </c>
      <c r="AB106" s="56">
        <v>0</v>
      </c>
      <c r="AC106" s="56">
        <v>0</v>
      </c>
      <c r="AD106" s="56">
        <v>103.0765</v>
      </c>
      <c r="AE106" s="56">
        <v>12.238520000000001</v>
      </c>
      <c r="AF106" s="56">
        <v>30.551950000000001</v>
      </c>
      <c r="AG106" s="56">
        <v>5.8073000000000006</v>
      </c>
      <c r="AH106" s="56">
        <v>1431.3720000000001</v>
      </c>
      <c r="AI106" s="56">
        <v>381.82184999999998</v>
      </c>
      <c r="AJ106" s="56">
        <v>1.0388499999999998</v>
      </c>
      <c r="AK106" s="56">
        <v>0</v>
      </c>
      <c r="AL106" s="56">
        <v>0</v>
      </c>
      <c r="AM106" s="56">
        <v>0</v>
      </c>
      <c r="AN106" s="56">
        <v>0</v>
      </c>
      <c r="AO106" s="56">
        <v>0</v>
      </c>
      <c r="AP106" s="56">
        <v>21.706169999999997</v>
      </c>
      <c r="AQ106" s="56">
        <v>65.01955000000001</v>
      </c>
      <c r="AR106" s="56">
        <v>7.5</v>
      </c>
      <c r="AS106" s="56">
        <v>6.9</v>
      </c>
      <c r="AT106" s="56">
        <v>67.936179999999993</v>
      </c>
      <c r="AU106" s="56">
        <v>164.36846</v>
      </c>
      <c r="AV106" s="56">
        <v>0</v>
      </c>
      <c r="AW106" s="56">
        <v>0</v>
      </c>
      <c r="AX106" s="41">
        <f t="shared" si="3"/>
        <v>5954.1689699999997</v>
      </c>
    </row>
    <row r="107" spans="1:50" s="16" customFormat="1" x14ac:dyDescent="0.25">
      <c r="A107" s="2" t="s">
        <v>108</v>
      </c>
      <c r="B107" s="40">
        <v>5376.69733</v>
      </c>
      <c r="C107" s="40">
        <v>610</v>
      </c>
      <c r="D107" s="40">
        <v>287</v>
      </c>
      <c r="E107" s="40">
        <v>14.324999999999999</v>
      </c>
      <c r="F107" s="40">
        <v>59.533999999999999</v>
      </c>
      <c r="G107" s="40">
        <v>0</v>
      </c>
      <c r="H107" s="40">
        <v>59.0032</v>
      </c>
      <c r="I107" s="40">
        <v>0</v>
      </c>
      <c r="J107" s="40">
        <v>7.5838000000000001</v>
      </c>
      <c r="K107" s="40">
        <v>863.62189999999998</v>
      </c>
      <c r="L107" s="40">
        <v>20.741109999999999</v>
      </c>
      <c r="M107" s="40">
        <v>78.073650000000001</v>
      </c>
      <c r="N107" s="40">
        <v>3.7</v>
      </c>
      <c r="O107" s="40">
        <v>0</v>
      </c>
      <c r="P107" s="40">
        <v>9.0206499999999998</v>
      </c>
      <c r="Q107" s="40">
        <v>4.1033999999999997</v>
      </c>
      <c r="R107" s="40">
        <v>0</v>
      </c>
      <c r="S107" s="40">
        <v>0</v>
      </c>
      <c r="T107" s="40">
        <v>31.802049999999998</v>
      </c>
      <c r="U107" s="40">
        <v>0</v>
      </c>
      <c r="V107" s="56">
        <v>0</v>
      </c>
      <c r="W107" s="56">
        <v>0</v>
      </c>
      <c r="X107" s="56">
        <v>0</v>
      </c>
      <c r="Y107" s="56">
        <v>0</v>
      </c>
      <c r="Z107" s="56">
        <v>0</v>
      </c>
      <c r="AA107" s="56">
        <v>101.76260000000001</v>
      </c>
      <c r="AB107" s="56">
        <v>0</v>
      </c>
      <c r="AC107" s="56">
        <v>0</v>
      </c>
      <c r="AD107" s="56">
        <v>15.8485</v>
      </c>
      <c r="AE107" s="56">
        <v>35.718199999999996</v>
      </c>
      <c r="AF107" s="56">
        <v>40.253099999999996</v>
      </c>
      <c r="AG107" s="56">
        <v>66.024500000000003</v>
      </c>
      <c r="AH107" s="56">
        <v>0</v>
      </c>
      <c r="AI107" s="56">
        <v>319.7953</v>
      </c>
      <c r="AJ107" s="56">
        <v>1.2848499999999998</v>
      </c>
      <c r="AK107" s="56">
        <v>0</v>
      </c>
      <c r="AL107" s="56">
        <v>0</v>
      </c>
      <c r="AM107" s="56">
        <v>0</v>
      </c>
      <c r="AN107" s="56">
        <v>0</v>
      </c>
      <c r="AO107" s="56">
        <v>0</v>
      </c>
      <c r="AP107" s="56">
        <v>0</v>
      </c>
      <c r="AQ107" s="56">
        <v>17.46</v>
      </c>
      <c r="AR107" s="56">
        <v>0</v>
      </c>
      <c r="AS107" s="56">
        <v>0</v>
      </c>
      <c r="AT107" s="56">
        <v>0</v>
      </c>
      <c r="AU107" s="56">
        <v>79.042249999999996</v>
      </c>
      <c r="AV107" s="56">
        <v>0</v>
      </c>
      <c r="AW107" s="56">
        <v>0</v>
      </c>
      <c r="AX107" s="41">
        <f t="shared" si="3"/>
        <v>8102.3953900000015</v>
      </c>
    </row>
    <row r="108" spans="1:50" s="16" customFormat="1" x14ac:dyDescent="0.25">
      <c r="A108" s="2" t="s">
        <v>109</v>
      </c>
      <c r="B108" s="40">
        <v>3530.8024599999999</v>
      </c>
      <c r="C108" s="40">
        <v>67</v>
      </c>
      <c r="D108" s="40">
        <v>210.94499999999999</v>
      </c>
      <c r="E108" s="40">
        <v>4.08</v>
      </c>
      <c r="F108" s="40">
        <v>18.411000000000001</v>
      </c>
      <c r="G108" s="40">
        <v>0</v>
      </c>
      <c r="H108" s="40">
        <v>35.159179999999999</v>
      </c>
      <c r="I108" s="40">
        <v>0</v>
      </c>
      <c r="J108" s="40">
        <v>0</v>
      </c>
      <c r="K108" s="40">
        <v>660.45464000000004</v>
      </c>
      <c r="L108" s="40">
        <v>2.028</v>
      </c>
      <c r="M108" s="40">
        <v>12.5365</v>
      </c>
      <c r="N108" s="40">
        <v>4.2</v>
      </c>
      <c r="O108" s="40">
        <v>0</v>
      </c>
      <c r="P108" s="40">
        <v>0</v>
      </c>
      <c r="Q108" s="40">
        <v>0</v>
      </c>
      <c r="R108" s="40">
        <v>0</v>
      </c>
      <c r="S108" s="40">
        <v>0</v>
      </c>
      <c r="T108" s="40">
        <v>8.7949000000000002</v>
      </c>
      <c r="U108" s="40">
        <v>0</v>
      </c>
      <c r="V108" s="56">
        <v>0</v>
      </c>
      <c r="W108" s="56">
        <v>0</v>
      </c>
      <c r="X108" s="56">
        <v>0</v>
      </c>
      <c r="Y108" s="56">
        <v>0</v>
      </c>
      <c r="Z108" s="56">
        <v>0</v>
      </c>
      <c r="AA108" s="56">
        <v>155.03478000000001</v>
      </c>
      <c r="AB108" s="56">
        <v>0</v>
      </c>
      <c r="AC108" s="56">
        <v>0</v>
      </c>
      <c r="AD108" s="56">
        <v>15.827999999999999</v>
      </c>
      <c r="AE108" s="56">
        <v>38.190239999999996</v>
      </c>
      <c r="AF108" s="56">
        <v>2.9100100000000002</v>
      </c>
      <c r="AG108" s="56">
        <v>17.553000000000001</v>
      </c>
      <c r="AH108" s="56">
        <v>0</v>
      </c>
      <c r="AI108" s="56">
        <v>34.995750000000001</v>
      </c>
      <c r="AJ108" s="56">
        <v>0.3755</v>
      </c>
      <c r="AK108" s="56">
        <v>0</v>
      </c>
      <c r="AL108" s="56">
        <v>0</v>
      </c>
      <c r="AM108" s="56">
        <v>0</v>
      </c>
      <c r="AN108" s="56">
        <v>0</v>
      </c>
      <c r="AO108" s="56">
        <v>0</v>
      </c>
      <c r="AP108" s="56">
        <v>0</v>
      </c>
      <c r="AQ108" s="56">
        <v>35.6</v>
      </c>
      <c r="AR108" s="56">
        <v>0</v>
      </c>
      <c r="AS108" s="56">
        <v>18</v>
      </c>
      <c r="AT108" s="56">
        <v>22.9375</v>
      </c>
      <c r="AU108" s="56">
        <v>262.17700000000002</v>
      </c>
      <c r="AV108" s="56">
        <v>0</v>
      </c>
      <c r="AW108" s="56">
        <v>0</v>
      </c>
      <c r="AX108" s="41">
        <f t="shared" si="3"/>
        <v>5158.0134600000001</v>
      </c>
    </row>
    <row r="109" spans="1:50" s="23" customFormat="1" ht="18" customHeight="1" x14ac:dyDescent="0.25">
      <c r="A109" s="17" t="s">
        <v>224</v>
      </c>
      <c r="B109" s="43">
        <v>1121998.7206200003</v>
      </c>
      <c r="C109" s="43">
        <v>225051.89658999996</v>
      </c>
      <c r="D109" s="43">
        <v>66279.3511</v>
      </c>
      <c r="E109" s="43">
        <v>2457.4239000000007</v>
      </c>
      <c r="F109" s="43">
        <v>24837.403019999998</v>
      </c>
      <c r="G109" s="43">
        <v>938.03640000000007</v>
      </c>
      <c r="H109" s="43">
        <v>19396.250869999993</v>
      </c>
      <c r="I109" s="43">
        <v>36287.57501</v>
      </c>
      <c r="J109" s="43">
        <v>1520.9732500000002</v>
      </c>
      <c r="K109" s="43">
        <v>150009.37994999997</v>
      </c>
      <c r="L109" s="43">
        <v>12066.872999999998</v>
      </c>
      <c r="M109" s="43">
        <v>35858.650770000015</v>
      </c>
      <c r="N109" s="43">
        <v>13028.169089999999</v>
      </c>
      <c r="O109" s="43">
        <v>349.28845999999999</v>
      </c>
      <c r="P109" s="43">
        <v>2701.4173999999998</v>
      </c>
      <c r="Q109" s="43">
        <v>2159.8011500000002</v>
      </c>
      <c r="R109" s="43">
        <v>758</v>
      </c>
      <c r="S109" s="43">
        <v>2233.3328300000003</v>
      </c>
      <c r="T109" s="43">
        <v>13847.831489999999</v>
      </c>
      <c r="U109" s="43">
        <v>1895.01595</v>
      </c>
      <c r="V109" s="43">
        <v>1015.7198</v>
      </c>
      <c r="W109" s="43">
        <v>14387.201110000007</v>
      </c>
      <c r="X109" s="43">
        <v>903.76375000000007</v>
      </c>
      <c r="Y109" s="43">
        <v>125.91815</v>
      </c>
      <c r="Z109" s="43">
        <v>24373.111290000001</v>
      </c>
      <c r="AA109" s="43">
        <v>56451.98874999999</v>
      </c>
      <c r="AB109" s="43">
        <v>34.306449999999998</v>
      </c>
      <c r="AC109" s="43">
        <v>920.22528999999997</v>
      </c>
      <c r="AD109" s="43">
        <v>12651.554569999997</v>
      </c>
      <c r="AE109" s="43">
        <v>6376.7930700000006</v>
      </c>
      <c r="AF109" s="43">
        <v>12092.746719999999</v>
      </c>
      <c r="AG109" s="43">
        <v>53257.053529999983</v>
      </c>
      <c r="AH109" s="43">
        <v>90861.067239999989</v>
      </c>
      <c r="AI109" s="43">
        <v>102417.80034</v>
      </c>
      <c r="AJ109" s="43">
        <v>675.86194999999998</v>
      </c>
      <c r="AK109" s="43">
        <v>60</v>
      </c>
      <c r="AL109" s="43">
        <v>207.53859000000003</v>
      </c>
      <c r="AM109" s="43">
        <v>8.82</v>
      </c>
      <c r="AN109" s="43">
        <v>549.26165000000003</v>
      </c>
      <c r="AO109" s="43">
        <v>1396.98594</v>
      </c>
      <c r="AP109" s="43">
        <v>381.41473999999999</v>
      </c>
      <c r="AQ109" s="43">
        <v>30843.326729999993</v>
      </c>
      <c r="AR109" s="43">
        <v>1880.44515</v>
      </c>
      <c r="AS109" s="43">
        <v>3760.7355900000002</v>
      </c>
      <c r="AT109" s="43">
        <v>4507.7088300000014</v>
      </c>
      <c r="AU109" s="43">
        <v>24262.80518000001</v>
      </c>
      <c r="AV109" s="43">
        <v>48.232300000000009</v>
      </c>
      <c r="AW109" s="43">
        <v>1748.8030199999998</v>
      </c>
      <c r="AX109" s="43">
        <v>2179876.5805800003</v>
      </c>
    </row>
    <row r="110" spans="1:50" s="23" customFormat="1" ht="18" customHeight="1" x14ac:dyDescent="0.15">
      <c r="A110" s="23" t="s">
        <v>225</v>
      </c>
      <c r="B110" s="44"/>
      <c r="C110" s="44"/>
      <c r="D110" s="44"/>
      <c r="E110" s="44"/>
      <c r="F110" s="45"/>
      <c r="G110" s="44"/>
      <c r="H110" s="44"/>
      <c r="I110" s="44"/>
      <c r="J110" s="44"/>
      <c r="K110" s="44"/>
      <c r="L110" s="44"/>
      <c r="M110" s="44"/>
    </row>
    <row r="111" spans="1:50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59"/>
      <c r="W111" s="59"/>
      <c r="X111" s="59"/>
      <c r="Y111" s="59"/>
      <c r="Z111" s="59"/>
      <c r="AA111" s="59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60"/>
    </row>
    <row r="112" spans="1:50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59"/>
      <c r="W112" s="59"/>
      <c r="X112" s="59"/>
      <c r="Y112" s="59"/>
      <c r="Z112" s="59"/>
      <c r="AA112" s="59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60"/>
    </row>
    <row r="113" spans="2:47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59"/>
      <c r="W113" s="59"/>
      <c r="X113" s="59"/>
      <c r="Y113" s="59"/>
      <c r="Z113" s="59"/>
      <c r="AA113" s="59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60"/>
    </row>
    <row r="114" spans="2:47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59"/>
      <c r="W114" s="59"/>
      <c r="X114" s="59"/>
      <c r="Y114" s="59"/>
      <c r="Z114" s="59"/>
      <c r="AA114" s="59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60"/>
    </row>
    <row r="115" spans="2:47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59"/>
      <c r="W115" s="59"/>
      <c r="X115" s="59"/>
      <c r="Y115" s="59"/>
      <c r="Z115" s="59"/>
      <c r="AA115" s="59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60"/>
    </row>
    <row r="116" spans="2:47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59"/>
      <c r="W116" s="59"/>
      <c r="X116" s="59"/>
      <c r="Y116" s="59"/>
      <c r="Z116" s="59"/>
      <c r="AA116" s="59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60"/>
    </row>
    <row r="117" spans="2:47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59"/>
      <c r="W117" s="59"/>
      <c r="X117" s="59"/>
      <c r="Y117" s="59"/>
      <c r="Z117" s="59"/>
      <c r="AA117" s="59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60"/>
    </row>
    <row r="118" spans="2:47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59"/>
      <c r="W118" s="59"/>
      <c r="X118" s="59"/>
      <c r="Y118" s="59"/>
      <c r="Z118" s="59"/>
      <c r="AA118" s="59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60"/>
    </row>
    <row r="119" spans="2:47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59"/>
      <c r="W119" s="59"/>
      <c r="X119" s="59"/>
      <c r="Y119" s="59"/>
      <c r="Z119" s="59"/>
      <c r="AA119" s="59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60"/>
    </row>
    <row r="120" spans="2:47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59"/>
      <c r="W120" s="59"/>
      <c r="X120" s="59"/>
      <c r="Y120" s="59"/>
      <c r="Z120" s="59"/>
      <c r="AA120" s="59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60"/>
    </row>
    <row r="121" spans="2:47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59"/>
      <c r="W121" s="59"/>
      <c r="X121" s="59"/>
      <c r="Y121" s="59"/>
      <c r="Z121" s="59"/>
      <c r="AA121" s="59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60"/>
    </row>
    <row r="122" spans="2:47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59"/>
      <c r="W122" s="59"/>
      <c r="X122" s="59"/>
      <c r="Y122" s="59"/>
      <c r="Z122" s="59"/>
      <c r="AA122" s="59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60"/>
    </row>
    <row r="123" spans="2:47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59"/>
      <c r="W123" s="59"/>
      <c r="X123" s="59"/>
      <c r="Y123" s="59"/>
      <c r="Z123" s="59"/>
      <c r="AA123" s="59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60"/>
    </row>
    <row r="124" spans="2:47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59"/>
      <c r="W124" s="59"/>
      <c r="X124" s="59"/>
      <c r="Y124" s="59"/>
      <c r="Z124" s="59"/>
      <c r="AA124" s="59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60"/>
    </row>
    <row r="125" spans="2:47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59"/>
      <c r="W125" s="59"/>
      <c r="X125" s="59"/>
      <c r="Y125" s="59"/>
      <c r="Z125" s="59"/>
      <c r="AA125" s="59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60"/>
    </row>
    <row r="126" spans="2:47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59"/>
      <c r="W126" s="59"/>
      <c r="X126" s="59"/>
      <c r="Y126" s="59"/>
      <c r="Z126" s="59"/>
      <c r="AA126" s="59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60"/>
    </row>
    <row r="127" spans="2:47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59"/>
      <c r="W127" s="59"/>
      <c r="X127" s="59"/>
      <c r="Y127" s="59"/>
      <c r="Z127" s="59"/>
      <c r="AA127" s="59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60"/>
    </row>
    <row r="128" spans="2:47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59"/>
      <c r="W128" s="59"/>
      <c r="X128" s="59"/>
      <c r="Y128" s="59"/>
      <c r="Z128" s="59"/>
      <c r="AA128" s="59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60"/>
    </row>
    <row r="129" spans="2:47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59"/>
      <c r="W129" s="59"/>
      <c r="X129" s="59"/>
      <c r="Y129" s="59"/>
      <c r="Z129" s="59"/>
      <c r="AA129" s="59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60"/>
    </row>
    <row r="130" spans="2:47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59"/>
      <c r="W130" s="59"/>
      <c r="X130" s="59"/>
      <c r="Y130" s="59"/>
      <c r="Z130" s="59"/>
      <c r="AA130" s="59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60"/>
    </row>
    <row r="131" spans="2:47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59"/>
      <c r="W131" s="59"/>
      <c r="X131" s="59"/>
      <c r="Y131" s="59"/>
      <c r="Z131" s="59"/>
      <c r="AA131" s="59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60"/>
    </row>
    <row r="132" spans="2:47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59"/>
      <c r="W132" s="59"/>
      <c r="X132" s="59"/>
      <c r="Y132" s="59"/>
      <c r="Z132" s="59"/>
      <c r="AA132" s="59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60"/>
    </row>
    <row r="133" spans="2:47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59"/>
      <c r="W133" s="59"/>
      <c r="X133" s="59"/>
      <c r="Y133" s="59"/>
      <c r="Z133" s="59"/>
      <c r="AA133" s="59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60"/>
    </row>
    <row r="134" spans="2:47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59"/>
      <c r="W134" s="59"/>
      <c r="X134" s="59"/>
      <c r="Y134" s="59"/>
      <c r="Z134" s="59"/>
      <c r="AA134" s="59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60"/>
    </row>
    <row r="135" spans="2:47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59"/>
      <c r="W135" s="59"/>
      <c r="X135" s="59"/>
      <c r="Y135" s="59"/>
      <c r="Z135" s="59"/>
      <c r="AA135" s="59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60"/>
    </row>
    <row r="136" spans="2:47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59"/>
      <c r="W136" s="59"/>
      <c r="X136" s="59"/>
      <c r="Y136" s="59"/>
      <c r="Z136" s="59"/>
      <c r="AA136" s="59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60"/>
    </row>
    <row r="137" spans="2:47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59"/>
      <c r="W137" s="59"/>
      <c r="X137" s="59"/>
      <c r="Y137" s="59"/>
      <c r="Z137" s="59"/>
      <c r="AA137" s="59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60"/>
    </row>
    <row r="138" spans="2:47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59"/>
      <c r="W138" s="59"/>
      <c r="X138" s="59"/>
      <c r="Y138" s="59"/>
      <c r="Z138" s="59"/>
      <c r="AA138" s="59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60"/>
    </row>
    <row r="139" spans="2:47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59"/>
      <c r="W139" s="59"/>
      <c r="X139" s="59"/>
      <c r="Y139" s="59"/>
      <c r="Z139" s="59"/>
      <c r="AA139" s="59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60"/>
    </row>
    <row r="140" spans="2:47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59"/>
      <c r="W140" s="59"/>
      <c r="X140" s="59"/>
      <c r="Y140" s="59"/>
      <c r="Z140" s="59"/>
      <c r="AA140" s="59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60"/>
    </row>
    <row r="141" spans="2:47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59"/>
      <c r="W141" s="59"/>
      <c r="X141" s="59"/>
      <c r="Y141" s="59"/>
      <c r="Z141" s="59"/>
      <c r="AA141" s="59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60"/>
    </row>
    <row r="142" spans="2:47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59"/>
      <c r="W142" s="59"/>
      <c r="X142" s="59"/>
      <c r="Y142" s="59"/>
      <c r="Z142" s="59"/>
      <c r="AA142" s="59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60"/>
    </row>
    <row r="143" spans="2:47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59"/>
      <c r="W143" s="59"/>
      <c r="X143" s="59"/>
      <c r="Y143" s="59"/>
      <c r="Z143" s="59"/>
      <c r="AA143" s="59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60"/>
    </row>
    <row r="144" spans="2:47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59"/>
      <c r="W144" s="59"/>
      <c r="X144" s="59"/>
      <c r="Y144" s="59"/>
      <c r="Z144" s="59"/>
      <c r="AA144" s="59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60"/>
    </row>
    <row r="145" spans="2:47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59"/>
      <c r="W145" s="59"/>
      <c r="X145" s="59"/>
      <c r="Y145" s="59"/>
      <c r="Z145" s="59"/>
      <c r="AA145" s="59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60"/>
    </row>
    <row r="146" spans="2:47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59"/>
      <c r="W146" s="59"/>
      <c r="X146" s="59"/>
      <c r="Y146" s="59"/>
      <c r="Z146" s="59"/>
      <c r="AA146" s="59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60"/>
    </row>
    <row r="147" spans="2:47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59"/>
      <c r="W147" s="59"/>
      <c r="X147" s="59"/>
      <c r="Y147" s="59"/>
      <c r="Z147" s="59"/>
      <c r="AA147" s="59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60"/>
    </row>
    <row r="148" spans="2:47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59"/>
      <c r="W148" s="59"/>
      <c r="X148" s="59"/>
      <c r="Y148" s="59"/>
      <c r="Z148" s="59"/>
      <c r="AA148" s="59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60"/>
    </row>
    <row r="149" spans="2:47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59"/>
      <c r="W149" s="59"/>
      <c r="X149" s="59"/>
      <c r="Y149" s="59"/>
      <c r="Z149" s="59"/>
      <c r="AA149" s="59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60"/>
    </row>
    <row r="150" spans="2:47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59"/>
      <c r="W150" s="59"/>
      <c r="X150" s="59"/>
      <c r="Y150" s="59"/>
      <c r="Z150" s="59"/>
      <c r="AA150" s="59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60"/>
    </row>
    <row r="151" spans="2:47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59"/>
      <c r="W151" s="59"/>
      <c r="X151" s="59"/>
      <c r="Y151" s="59"/>
      <c r="Z151" s="59"/>
      <c r="AA151" s="59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60"/>
    </row>
    <row r="152" spans="2:47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59"/>
      <c r="W152" s="59"/>
      <c r="X152" s="59"/>
      <c r="Y152" s="59"/>
      <c r="Z152" s="59"/>
      <c r="AA152" s="59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60"/>
    </row>
    <row r="153" spans="2:47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59"/>
      <c r="W153" s="59"/>
      <c r="X153" s="59"/>
      <c r="Y153" s="59"/>
      <c r="Z153" s="59"/>
      <c r="AA153" s="59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60"/>
    </row>
    <row r="154" spans="2:47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59"/>
      <c r="W154" s="59"/>
      <c r="X154" s="59"/>
      <c r="Y154" s="59"/>
      <c r="Z154" s="59"/>
      <c r="AA154" s="59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60"/>
    </row>
    <row r="155" spans="2:47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59"/>
      <c r="W155" s="59"/>
      <c r="X155" s="59"/>
      <c r="Y155" s="59"/>
      <c r="Z155" s="59"/>
      <c r="AA155" s="59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60"/>
    </row>
    <row r="156" spans="2:47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59"/>
      <c r="W156" s="59"/>
      <c r="X156" s="59"/>
      <c r="Y156" s="59"/>
      <c r="Z156" s="59"/>
      <c r="AA156" s="59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60"/>
    </row>
    <row r="157" spans="2:47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59"/>
      <c r="W157" s="59"/>
      <c r="X157" s="59"/>
      <c r="Y157" s="59"/>
      <c r="Z157" s="59"/>
      <c r="AA157" s="59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60"/>
    </row>
    <row r="158" spans="2:47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59"/>
      <c r="W158" s="59"/>
      <c r="X158" s="59"/>
      <c r="Y158" s="59"/>
      <c r="Z158" s="59"/>
      <c r="AA158" s="59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60"/>
    </row>
    <row r="159" spans="2:47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59"/>
      <c r="W159" s="59"/>
      <c r="X159" s="59"/>
      <c r="Y159" s="59"/>
      <c r="Z159" s="59"/>
      <c r="AA159" s="59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60"/>
    </row>
    <row r="160" spans="2:47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59"/>
      <c r="W160" s="59"/>
      <c r="X160" s="59"/>
      <c r="Y160" s="59"/>
      <c r="Z160" s="59"/>
      <c r="AA160" s="59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60"/>
    </row>
    <row r="161" spans="2:47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59"/>
      <c r="W161" s="59"/>
      <c r="X161" s="59"/>
      <c r="Y161" s="59"/>
      <c r="Z161" s="59"/>
      <c r="AA161" s="59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60"/>
    </row>
    <row r="162" spans="2:47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59"/>
      <c r="W162" s="59"/>
      <c r="X162" s="59"/>
      <c r="Y162" s="59"/>
      <c r="Z162" s="59"/>
      <c r="AA162" s="59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60"/>
    </row>
    <row r="163" spans="2:47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59"/>
      <c r="W163" s="59"/>
      <c r="X163" s="59"/>
      <c r="Y163" s="59"/>
      <c r="Z163" s="59"/>
      <c r="AA163" s="59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60"/>
    </row>
    <row r="164" spans="2:47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59"/>
      <c r="W164" s="59"/>
      <c r="X164" s="59"/>
      <c r="Y164" s="59"/>
      <c r="Z164" s="59"/>
      <c r="AA164" s="59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60"/>
    </row>
    <row r="165" spans="2:47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59"/>
      <c r="W165" s="59"/>
      <c r="X165" s="59"/>
      <c r="Y165" s="59"/>
      <c r="Z165" s="59"/>
      <c r="AA165" s="59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60"/>
    </row>
    <row r="166" spans="2:47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59"/>
      <c r="W166" s="59"/>
      <c r="X166" s="59"/>
      <c r="Y166" s="59"/>
      <c r="Z166" s="59"/>
      <c r="AA166" s="59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60"/>
    </row>
    <row r="167" spans="2:47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59"/>
      <c r="W167" s="59"/>
      <c r="X167" s="59"/>
      <c r="Y167" s="59"/>
      <c r="Z167" s="59"/>
      <c r="AA167" s="59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60"/>
    </row>
    <row r="168" spans="2:47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59"/>
      <c r="W168" s="59"/>
      <c r="X168" s="59"/>
      <c r="Y168" s="59"/>
      <c r="Z168" s="59"/>
      <c r="AA168" s="59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60"/>
    </row>
    <row r="169" spans="2:47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59"/>
      <c r="W169" s="59"/>
      <c r="X169" s="59"/>
      <c r="Y169" s="59"/>
      <c r="Z169" s="59"/>
      <c r="AA169" s="59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60"/>
    </row>
    <row r="170" spans="2:47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59"/>
      <c r="W170" s="59"/>
      <c r="X170" s="59"/>
      <c r="Y170" s="59"/>
      <c r="Z170" s="59"/>
      <c r="AA170" s="59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60"/>
    </row>
    <row r="171" spans="2:47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59"/>
      <c r="W171" s="59"/>
      <c r="X171" s="59"/>
      <c r="Y171" s="59"/>
      <c r="Z171" s="59"/>
      <c r="AA171" s="59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60"/>
    </row>
    <row r="172" spans="2:47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59"/>
      <c r="W172" s="59"/>
      <c r="X172" s="59"/>
      <c r="Y172" s="59"/>
      <c r="Z172" s="59"/>
      <c r="AA172" s="59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60"/>
    </row>
    <row r="173" spans="2:47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59"/>
      <c r="W173" s="59"/>
      <c r="X173" s="59"/>
      <c r="Y173" s="59"/>
      <c r="Z173" s="59"/>
      <c r="AA173" s="59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60"/>
    </row>
    <row r="174" spans="2:47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59"/>
      <c r="W174" s="59"/>
      <c r="X174" s="59"/>
      <c r="Y174" s="59"/>
      <c r="Z174" s="59"/>
      <c r="AA174" s="59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60"/>
    </row>
    <row r="175" spans="2:47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59"/>
      <c r="W175" s="59"/>
      <c r="X175" s="59"/>
      <c r="Y175" s="59"/>
      <c r="Z175" s="59"/>
      <c r="AA175" s="59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60"/>
    </row>
    <row r="176" spans="2:47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59"/>
      <c r="W176" s="59"/>
      <c r="X176" s="59"/>
      <c r="Y176" s="59"/>
      <c r="Z176" s="59"/>
      <c r="AA176" s="59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60"/>
    </row>
    <row r="177" spans="2:47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59"/>
      <c r="W177" s="59"/>
      <c r="X177" s="59"/>
      <c r="Y177" s="59"/>
      <c r="Z177" s="59"/>
      <c r="AA177" s="59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60"/>
    </row>
    <row r="178" spans="2:47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59"/>
      <c r="W178" s="59"/>
      <c r="X178" s="59"/>
      <c r="Y178" s="59"/>
      <c r="Z178" s="59"/>
      <c r="AA178" s="59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60"/>
    </row>
    <row r="179" spans="2:47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59"/>
      <c r="W179" s="59"/>
      <c r="X179" s="59"/>
      <c r="Y179" s="59"/>
      <c r="Z179" s="59"/>
      <c r="AA179" s="59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60"/>
    </row>
    <row r="180" spans="2:47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59"/>
      <c r="W180" s="59"/>
      <c r="X180" s="59"/>
      <c r="Y180" s="59"/>
      <c r="Z180" s="59"/>
      <c r="AA180" s="59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60"/>
    </row>
    <row r="181" spans="2:47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59"/>
      <c r="W181" s="59"/>
      <c r="X181" s="59"/>
      <c r="Y181" s="59"/>
      <c r="Z181" s="59"/>
      <c r="AA181" s="59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60"/>
    </row>
    <row r="182" spans="2:47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59"/>
      <c r="W182" s="59"/>
      <c r="X182" s="59"/>
      <c r="Y182" s="59"/>
      <c r="Z182" s="59"/>
      <c r="AA182" s="59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60"/>
    </row>
    <row r="183" spans="2:47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59"/>
      <c r="W183" s="59"/>
      <c r="X183" s="59"/>
      <c r="Y183" s="59"/>
      <c r="Z183" s="59"/>
      <c r="AA183" s="59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60"/>
    </row>
    <row r="184" spans="2:47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59"/>
      <c r="W184" s="59"/>
      <c r="X184" s="59"/>
      <c r="Y184" s="59"/>
      <c r="Z184" s="59"/>
      <c r="AA184" s="59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60"/>
    </row>
    <row r="185" spans="2:47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59"/>
      <c r="W185" s="59"/>
      <c r="X185" s="59"/>
      <c r="Y185" s="59"/>
      <c r="Z185" s="59"/>
      <c r="AA185" s="59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60"/>
    </row>
    <row r="186" spans="2:47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59"/>
      <c r="W186" s="59"/>
      <c r="X186" s="59"/>
      <c r="Y186" s="59"/>
      <c r="Z186" s="59"/>
      <c r="AA186" s="59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60"/>
    </row>
    <row r="187" spans="2:47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59"/>
      <c r="W187" s="59"/>
      <c r="X187" s="59"/>
      <c r="Y187" s="59"/>
      <c r="Z187" s="59"/>
      <c r="AA187" s="59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60"/>
    </row>
    <row r="188" spans="2:47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59"/>
      <c r="W188" s="59"/>
      <c r="X188" s="59"/>
      <c r="Y188" s="59"/>
      <c r="Z188" s="59"/>
      <c r="AA188" s="59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60"/>
    </row>
    <row r="189" spans="2:47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59"/>
      <c r="W189" s="59"/>
      <c r="X189" s="59"/>
      <c r="Y189" s="59"/>
      <c r="Z189" s="59"/>
      <c r="AA189" s="59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60"/>
    </row>
    <row r="190" spans="2:47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59"/>
      <c r="W190" s="59"/>
      <c r="X190" s="59"/>
      <c r="Y190" s="59"/>
      <c r="Z190" s="59"/>
      <c r="AA190" s="59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60"/>
    </row>
    <row r="191" spans="2:47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59"/>
      <c r="W191" s="59"/>
      <c r="X191" s="59"/>
      <c r="Y191" s="59"/>
      <c r="Z191" s="59"/>
      <c r="AA191" s="59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60"/>
    </row>
    <row r="192" spans="2:47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59"/>
      <c r="W192" s="59"/>
      <c r="X192" s="59"/>
      <c r="Y192" s="59"/>
      <c r="Z192" s="59"/>
      <c r="AA192" s="59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60"/>
    </row>
    <row r="193" spans="2:47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59"/>
      <c r="W193" s="59"/>
      <c r="X193" s="59"/>
      <c r="Y193" s="59"/>
      <c r="Z193" s="59"/>
      <c r="AA193" s="59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60"/>
    </row>
    <row r="194" spans="2:47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59"/>
      <c r="W194" s="59"/>
      <c r="X194" s="59"/>
      <c r="Y194" s="59"/>
      <c r="Z194" s="59"/>
      <c r="AA194" s="59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60"/>
    </row>
    <row r="195" spans="2:47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59"/>
      <c r="W195" s="59"/>
      <c r="X195" s="59"/>
      <c r="Y195" s="59"/>
      <c r="Z195" s="59"/>
      <c r="AA195" s="59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60"/>
    </row>
    <row r="196" spans="2:47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59"/>
      <c r="W196" s="59"/>
      <c r="X196" s="59"/>
      <c r="Y196" s="59"/>
      <c r="Z196" s="59"/>
      <c r="AA196" s="59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60"/>
    </row>
    <row r="197" spans="2:47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59"/>
      <c r="W197" s="59"/>
      <c r="X197" s="59"/>
      <c r="Y197" s="59"/>
      <c r="Z197" s="59"/>
      <c r="AA197" s="59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60"/>
    </row>
    <row r="198" spans="2:47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59"/>
      <c r="W198" s="59"/>
      <c r="X198" s="59"/>
      <c r="Y198" s="59"/>
      <c r="Z198" s="59"/>
      <c r="AA198" s="59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60"/>
    </row>
    <row r="199" spans="2:47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59"/>
      <c r="W199" s="59"/>
      <c r="X199" s="59"/>
      <c r="Y199" s="59"/>
      <c r="Z199" s="59"/>
      <c r="AA199" s="59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60"/>
    </row>
    <row r="200" spans="2:47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59"/>
      <c r="W200" s="59"/>
      <c r="X200" s="59"/>
      <c r="Y200" s="59"/>
      <c r="Z200" s="59"/>
      <c r="AA200" s="59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60"/>
    </row>
    <row r="201" spans="2:47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59"/>
      <c r="W201" s="59"/>
      <c r="X201" s="59"/>
      <c r="Y201" s="59"/>
      <c r="Z201" s="59"/>
      <c r="AA201" s="59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60"/>
    </row>
    <row r="202" spans="2:47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59"/>
      <c r="W202" s="59"/>
      <c r="X202" s="59"/>
      <c r="Y202" s="59"/>
      <c r="Z202" s="59"/>
      <c r="AA202" s="59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60"/>
    </row>
    <row r="203" spans="2:47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59"/>
      <c r="W203" s="59"/>
      <c r="X203" s="59"/>
      <c r="Y203" s="59"/>
      <c r="Z203" s="59"/>
      <c r="AA203" s="59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60"/>
    </row>
    <row r="204" spans="2:47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59"/>
      <c r="W204" s="59"/>
      <c r="X204" s="59"/>
      <c r="Y204" s="59"/>
      <c r="Z204" s="59"/>
      <c r="AA204" s="59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60"/>
    </row>
    <row r="205" spans="2:47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59"/>
      <c r="W205" s="59"/>
      <c r="X205" s="59"/>
      <c r="Y205" s="59"/>
      <c r="Z205" s="59"/>
      <c r="AA205" s="59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60"/>
    </row>
    <row r="206" spans="2:47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59"/>
      <c r="W206" s="59"/>
      <c r="X206" s="59"/>
      <c r="Y206" s="59"/>
      <c r="Z206" s="59"/>
      <c r="AA206" s="59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60"/>
    </row>
    <row r="207" spans="2:47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59"/>
      <c r="W207" s="59"/>
      <c r="X207" s="59"/>
      <c r="Y207" s="59"/>
      <c r="Z207" s="59"/>
      <c r="AA207" s="59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60"/>
    </row>
    <row r="208" spans="2:47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59"/>
      <c r="W208" s="59"/>
      <c r="X208" s="59"/>
      <c r="Y208" s="59"/>
      <c r="Z208" s="59"/>
      <c r="AA208" s="59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60"/>
    </row>
    <row r="209" spans="2:47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59"/>
      <c r="W209" s="59"/>
      <c r="X209" s="59"/>
      <c r="Y209" s="59"/>
      <c r="Z209" s="59"/>
      <c r="AA209" s="59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60"/>
    </row>
    <row r="210" spans="2:47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59"/>
      <c r="W210" s="59"/>
      <c r="X210" s="59"/>
      <c r="Y210" s="59"/>
      <c r="Z210" s="59"/>
      <c r="AA210" s="59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60"/>
    </row>
    <row r="211" spans="2:47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59"/>
      <c r="W211" s="59"/>
      <c r="X211" s="59"/>
      <c r="Y211" s="59"/>
      <c r="Z211" s="59"/>
      <c r="AA211" s="59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60"/>
    </row>
    <row r="212" spans="2:47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59"/>
      <c r="W212" s="59"/>
      <c r="X212" s="59"/>
      <c r="Y212" s="59"/>
      <c r="Z212" s="59"/>
      <c r="AA212" s="59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60"/>
    </row>
    <row r="213" spans="2:47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59"/>
      <c r="W213" s="59"/>
      <c r="X213" s="59"/>
      <c r="Y213" s="59"/>
      <c r="Z213" s="59"/>
      <c r="AA213" s="59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60"/>
    </row>
    <row r="214" spans="2:47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59"/>
      <c r="W214" s="59"/>
      <c r="X214" s="59"/>
      <c r="Y214" s="59"/>
      <c r="Z214" s="59"/>
      <c r="AA214" s="59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60"/>
    </row>
  </sheetData>
  <printOptions horizontalCentered="1"/>
  <pageMargins left="0.51181102362204722" right="0.51181102362204722" top="0.35433070866141736" bottom="0.35433070866141736" header="0.31496062992125984" footer="3.937007874015748E-2"/>
  <pageSetup paperSize="9" firstPageNumber="30" orientation="landscape" useFirstPageNumber="1" horizontalDpi="1200" verticalDpi="1200" r:id="rId1"/>
  <headerFooter>
    <oddFooter>&amp;C&amp;"Arial Narrow,Corsivo"&amp;7- pagina &amp;P -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25"/>
  <sheetViews>
    <sheetView zoomScale="150" zoomScaleNormal="150" workbookViewId="0">
      <pane ySplit="2" topLeftCell="A307" activePane="bottomLeft" state="frozenSplit"/>
      <selection pane="bottomLeft" activeCell="A323" sqref="A323"/>
    </sheetView>
  </sheetViews>
  <sheetFormatPr defaultRowHeight="12.75" x14ac:dyDescent="0.25"/>
  <cols>
    <col min="1" max="1" width="7.42578125" style="75" customWidth="1"/>
    <col min="2" max="2" width="13.28515625" style="75" customWidth="1"/>
    <col min="3" max="11" width="6.7109375" style="75" customWidth="1"/>
    <col min="12" max="12" width="7.85546875" style="75" customWidth="1"/>
    <col min="13" max="254" width="9.140625" style="75"/>
    <col min="255" max="255" width="7.42578125" style="75" customWidth="1"/>
    <col min="256" max="256" width="13.7109375" style="75" customWidth="1"/>
    <col min="257" max="257" width="7.85546875" style="75" bestFit="1" customWidth="1"/>
    <col min="258" max="259" width="7.85546875" style="75" customWidth="1"/>
    <col min="260" max="264" width="7.7109375" style="75" customWidth="1"/>
    <col min="265" max="265" width="6.140625" style="75" bestFit="1" customWidth="1"/>
    <col min="266" max="266" width="8.42578125" style="75" customWidth="1"/>
    <col min="267" max="267" width="15.7109375" style="75" customWidth="1"/>
    <col min="268" max="510" width="9.140625" style="75"/>
    <col min="511" max="511" width="7.42578125" style="75" customWidth="1"/>
    <col min="512" max="512" width="13.7109375" style="75" customWidth="1"/>
    <col min="513" max="513" width="7.85546875" style="75" bestFit="1" customWidth="1"/>
    <col min="514" max="515" width="7.85546875" style="75" customWidth="1"/>
    <col min="516" max="520" width="7.7109375" style="75" customWidth="1"/>
    <col min="521" max="521" width="6.140625" style="75" bestFit="1" customWidth="1"/>
    <col min="522" max="522" width="8.42578125" style="75" customWidth="1"/>
    <col min="523" max="523" width="15.7109375" style="75" customWidth="1"/>
    <col min="524" max="766" width="9.140625" style="75"/>
    <col min="767" max="767" width="7.42578125" style="75" customWidth="1"/>
    <col min="768" max="768" width="13.7109375" style="75" customWidth="1"/>
    <col min="769" max="769" width="7.85546875" style="75" bestFit="1" customWidth="1"/>
    <col min="770" max="771" width="7.85546875" style="75" customWidth="1"/>
    <col min="772" max="776" width="7.7109375" style="75" customWidth="1"/>
    <col min="777" max="777" width="6.140625" style="75" bestFit="1" customWidth="1"/>
    <col min="778" max="778" width="8.42578125" style="75" customWidth="1"/>
    <col min="779" max="779" width="15.7109375" style="75" customWidth="1"/>
    <col min="780" max="1022" width="9.140625" style="75"/>
    <col min="1023" max="1023" width="7.42578125" style="75" customWidth="1"/>
    <col min="1024" max="1024" width="13.7109375" style="75" customWidth="1"/>
    <col min="1025" max="1025" width="7.85546875" style="75" bestFit="1" customWidth="1"/>
    <col min="1026" max="1027" width="7.85546875" style="75" customWidth="1"/>
    <col min="1028" max="1032" width="7.7109375" style="75" customWidth="1"/>
    <col min="1033" max="1033" width="6.140625" style="75" bestFit="1" customWidth="1"/>
    <col min="1034" max="1034" width="8.42578125" style="75" customWidth="1"/>
    <col min="1035" max="1035" width="15.7109375" style="75" customWidth="1"/>
    <col min="1036" max="1278" width="9.140625" style="75"/>
    <col min="1279" max="1279" width="7.42578125" style="75" customWidth="1"/>
    <col min="1280" max="1280" width="13.7109375" style="75" customWidth="1"/>
    <col min="1281" max="1281" width="7.85546875" style="75" bestFit="1" customWidth="1"/>
    <col min="1282" max="1283" width="7.85546875" style="75" customWidth="1"/>
    <col min="1284" max="1288" width="7.7109375" style="75" customWidth="1"/>
    <col min="1289" max="1289" width="6.140625" style="75" bestFit="1" customWidth="1"/>
    <col min="1290" max="1290" width="8.42578125" style="75" customWidth="1"/>
    <col min="1291" max="1291" width="15.7109375" style="75" customWidth="1"/>
    <col min="1292" max="1534" width="9.140625" style="75"/>
    <col min="1535" max="1535" width="7.42578125" style="75" customWidth="1"/>
    <col min="1536" max="1536" width="13.7109375" style="75" customWidth="1"/>
    <col min="1537" max="1537" width="7.85546875" style="75" bestFit="1" customWidth="1"/>
    <col min="1538" max="1539" width="7.85546875" style="75" customWidth="1"/>
    <col min="1540" max="1544" width="7.7109375" style="75" customWidth="1"/>
    <col min="1545" max="1545" width="6.140625" style="75" bestFit="1" customWidth="1"/>
    <col min="1546" max="1546" width="8.42578125" style="75" customWidth="1"/>
    <col min="1547" max="1547" width="15.7109375" style="75" customWidth="1"/>
    <col min="1548" max="1790" width="9.140625" style="75"/>
    <col min="1791" max="1791" width="7.42578125" style="75" customWidth="1"/>
    <col min="1792" max="1792" width="13.7109375" style="75" customWidth="1"/>
    <col min="1793" max="1793" width="7.85546875" style="75" bestFit="1" customWidth="1"/>
    <col min="1794" max="1795" width="7.85546875" style="75" customWidth="1"/>
    <col min="1796" max="1800" width="7.7109375" style="75" customWidth="1"/>
    <col min="1801" max="1801" width="6.140625" style="75" bestFit="1" customWidth="1"/>
    <col min="1802" max="1802" width="8.42578125" style="75" customWidth="1"/>
    <col min="1803" max="1803" width="15.7109375" style="75" customWidth="1"/>
    <col min="1804" max="2046" width="9.140625" style="75"/>
    <col min="2047" max="2047" width="7.42578125" style="75" customWidth="1"/>
    <col min="2048" max="2048" width="13.7109375" style="75" customWidth="1"/>
    <col min="2049" max="2049" width="7.85546875" style="75" bestFit="1" customWidth="1"/>
    <col min="2050" max="2051" width="7.85546875" style="75" customWidth="1"/>
    <col min="2052" max="2056" width="7.7109375" style="75" customWidth="1"/>
    <col min="2057" max="2057" width="6.140625" style="75" bestFit="1" customWidth="1"/>
    <col min="2058" max="2058" width="8.42578125" style="75" customWidth="1"/>
    <col min="2059" max="2059" width="15.7109375" style="75" customWidth="1"/>
    <col min="2060" max="2302" width="9.140625" style="75"/>
    <col min="2303" max="2303" width="7.42578125" style="75" customWidth="1"/>
    <col min="2304" max="2304" width="13.7109375" style="75" customWidth="1"/>
    <col min="2305" max="2305" width="7.85546875" style="75" bestFit="1" customWidth="1"/>
    <col min="2306" max="2307" width="7.85546875" style="75" customWidth="1"/>
    <col min="2308" max="2312" width="7.7109375" style="75" customWidth="1"/>
    <col min="2313" max="2313" width="6.140625" style="75" bestFit="1" customWidth="1"/>
    <col min="2314" max="2314" width="8.42578125" style="75" customWidth="1"/>
    <col min="2315" max="2315" width="15.7109375" style="75" customWidth="1"/>
    <col min="2316" max="2558" width="9.140625" style="75"/>
    <col min="2559" max="2559" width="7.42578125" style="75" customWidth="1"/>
    <col min="2560" max="2560" width="13.7109375" style="75" customWidth="1"/>
    <col min="2561" max="2561" width="7.85546875" style="75" bestFit="1" customWidth="1"/>
    <col min="2562" max="2563" width="7.85546875" style="75" customWidth="1"/>
    <col min="2564" max="2568" width="7.7109375" style="75" customWidth="1"/>
    <col min="2569" max="2569" width="6.140625" style="75" bestFit="1" customWidth="1"/>
    <col min="2570" max="2570" width="8.42578125" style="75" customWidth="1"/>
    <col min="2571" max="2571" width="15.7109375" style="75" customWidth="1"/>
    <col min="2572" max="2814" width="9.140625" style="75"/>
    <col min="2815" max="2815" width="7.42578125" style="75" customWidth="1"/>
    <col min="2816" max="2816" width="13.7109375" style="75" customWidth="1"/>
    <col min="2817" max="2817" width="7.85546875" style="75" bestFit="1" customWidth="1"/>
    <col min="2818" max="2819" width="7.85546875" style="75" customWidth="1"/>
    <col min="2820" max="2824" width="7.7109375" style="75" customWidth="1"/>
    <col min="2825" max="2825" width="6.140625" style="75" bestFit="1" customWidth="1"/>
    <col min="2826" max="2826" width="8.42578125" style="75" customWidth="1"/>
    <col min="2827" max="2827" width="15.7109375" style="75" customWidth="1"/>
    <col min="2828" max="3070" width="9.140625" style="75"/>
    <col min="3071" max="3071" width="7.42578125" style="75" customWidth="1"/>
    <col min="3072" max="3072" width="13.7109375" style="75" customWidth="1"/>
    <col min="3073" max="3073" width="7.85546875" style="75" bestFit="1" customWidth="1"/>
    <col min="3074" max="3075" width="7.85546875" style="75" customWidth="1"/>
    <col min="3076" max="3080" width="7.7109375" style="75" customWidth="1"/>
    <col min="3081" max="3081" width="6.140625" style="75" bestFit="1" customWidth="1"/>
    <col min="3082" max="3082" width="8.42578125" style="75" customWidth="1"/>
    <col min="3083" max="3083" width="15.7109375" style="75" customWidth="1"/>
    <col min="3084" max="3326" width="9.140625" style="75"/>
    <col min="3327" max="3327" width="7.42578125" style="75" customWidth="1"/>
    <col min="3328" max="3328" width="13.7109375" style="75" customWidth="1"/>
    <col min="3329" max="3329" width="7.85546875" style="75" bestFit="1" customWidth="1"/>
    <col min="3330" max="3331" width="7.85546875" style="75" customWidth="1"/>
    <col min="3332" max="3336" width="7.7109375" style="75" customWidth="1"/>
    <col min="3337" max="3337" width="6.140625" style="75" bestFit="1" customWidth="1"/>
    <col min="3338" max="3338" width="8.42578125" style="75" customWidth="1"/>
    <col min="3339" max="3339" width="15.7109375" style="75" customWidth="1"/>
    <col min="3340" max="3582" width="9.140625" style="75"/>
    <col min="3583" max="3583" width="7.42578125" style="75" customWidth="1"/>
    <col min="3584" max="3584" width="13.7109375" style="75" customWidth="1"/>
    <col min="3585" max="3585" width="7.85546875" style="75" bestFit="1" customWidth="1"/>
    <col min="3586" max="3587" width="7.85546875" style="75" customWidth="1"/>
    <col min="3588" max="3592" width="7.7109375" style="75" customWidth="1"/>
    <col min="3593" max="3593" width="6.140625" style="75" bestFit="1" customWidth="1"/>
    <col min="3594" max="3594" width="8.42578125" style="75" customWidth="1"/>
    <col min="3595" max="3595" width="15.7109375" style="75" customWidth="1"/>
    <col min="3596" max="3838" width="9.140625" style="75"/>
    <col min="3839" max="3839" width="7.42578125" style="75" customWidth="1"/>
    <col min="3840" max="3840" width="13.7109375" style="75" customWidth="1"/>
    <col min="3841" max="3841" width="7.85546875" style="75" bestFit="1" customWidth="1"/>
    <col min="3842" max="3843" width="7.85546875" style="75" customWidth="1"/>
    <col min="3844" max="3848" width="7.7109375" style="75" customWidth="1"/>
    <col min="3849" max="3849" width="6.140625" style="75" bestFit="1" customWidth="1"/>
    <col min="3850" max="3850" width="8.42578125" style="75" customWidth="1"/>
    <col min="3851" max="3851" width="15.7109375" style="75" customWidth="1"/>
    <col min="3852" max="4094" width="9.140625" style="75"/>
    <col min="4095" max="4095" width="7.42578125" style="75" customWidth="1"/>
    <col min="4096" max="4096" width="13.7109375" style="75" customWidth="1"/>
    <col min="4097" max="4097" width="7.85546875" style="75" bestFit="1" customWidth="1"/>
    <col min="4098" max="4099" width="7.85546875" style="75" customWidth="1"/>
    <col min="4100" max="4104" width="7.7109375" style="75" customWidth="1"/>
    <col min="4105" max="4105" width="6.140625" style="75" bestFit="1" customWidth="1"/>
    <col min="4106" max="4106" width="8.42578125" style="75" customWidth="1"/>
    <col min="4107" max="4107" width="15.7109375" style="75" customWidth="1"/>
    <col min="4108" max="4350" width="9.140625" style="75"/>
    <col min="4351" max="4351" width="7.42578125" style="75" customWidth="1"/>
    <col min="4352" max="4352" width="13.7109375" style="75" customWidth="1"/>
    <col min="4353" max="4353" width="7.85546875" style="75" bestFit="1" customWidth="1"/>
    <col min="4354" max="4355" width="7.85546875" style="75" customWidth="1"/>
    <col min="4356" max="4360" width="7.7109375" style="75" customWidth="1"/>
    <col min="4361" max="4361" width="6.140625" style="75" bestFit="1" customWidth="1"/>
    <col min="4362" max="4362" width="8.42578125" style="75" customWidth="1"/>
    <col min="4363" max="4363" width="15.7109375" style="75" customWidth="1"/>
    <col min="4364" max="4606" width="9.140625" style="75"/>
    <col min="4607" max="4607" width="7.42578125" style="75" customWidth="1"/>
    <col min="4608" max="4608" width="13.7109375" style="75" customWidth="1"/>
    <col min="4609" max="4609" width="7.85546875" style="75" bestFit="1" customWidth="1"/>
    <col min="4610" max="4611" width="7.85546875" style="75" customWidth="1"/>
    <col min="4612" max="4616" width="7.7109375" style="75" customWidth="1"/>
    <col min="4617" max="4617" width="6.140625" style="75" bestFit="1" customWidth="1"/>
    <col min="4618" max="4618" width="8.42578125" style="75" customWidth="1"/>
    <col min="4619" max="4619" width="15.7109375" style="75" customWidth="1"/>
    <col min="4620" max="4862" width="9.140625" style="75"/>
    <col min="4863" max="4863" width="7.42578125" style="75" customWidth="1"/>
    <col min="4864" max="4864" width="13.7109375" style="75" customWidth="1"/>
    <col min="4865" max="4865" width="7.85546875" style="75" bestFit="1" customWidth="1"/>
    <col min="4866" max="4867" width="7.85546875" style="75" customWidth="1"/>
    <col min="4868" max="4872" width="7.7109375" style="75" customWidth="1"/>
    <col min="4873" max="4873" width="6.140625" style="75" bestFit="1" customWidth="1"/>
    <col min="4874" max="4874" width="8.42578125" style="75" customWidth="1"/>
    <col min="4875" max="4875" width="15.7109375" style="75" customWidth="1"/>
    <col min="4876" max="5118" width="9.140625" style="75"/>
    <col min="5119" max="5119" width="7.42578125" style="75" customWidth="1"/>
    <col min="5120" max="5120" width="13.7109375" style="75" customWidth="1"/>
    <col min="5121" max="5121" width="7.85546875" style="75" bestFit="1" customWidth="1"/>
    <col min="5122" max="5123" width="7.85546875" style="75" customWidth="1"/>
    <col min="5124" max="5128" width="7.7109375" style="75" customWidth="1"/>
    <col min="5129" max="5129" width="6.140625" style="75" bestFit="1" customWidth="1"/>
    <col min="5130" max="5130" width="8.42578125" style="75" customWidth="1"/>
    <col min="5131" max="5131" width="15.7109375" style="75" customWidth="1"/>
    <col min="5132" max="5374" width="9.140625" style="75"/>
    <col min="5375" max="5375" width="7.42578125" style="75" customWidth="1"/>
    <col min="5376" max="5376" width="13.7109375" style="75" customWidth="1"/>
    <col min="5377" max="5377" width="7.85546875" style="75" bestFit="1" customWidth="1"/>
    <col min="5378" max="5379" width="7.85546875" style="75" customWidth="1"/>
    <col min="5380" max="5384" width="7.7109375" style="75" customWidth="1"/>
    <col min="5385" max="5385" width="6.140625" style="75" bestFit="1" customWidth="1"/>
    <col min="5386" max="5386" width="8.42578125" style="75" customWidth="1"/>
    <col min="5387" max="5387" width="15.7109375" style="75" customWidth="1"/>
    <col min="5388" max="5630" width="9.140625" style="75"/>
    <col min="5631" max="5631" width="7.42578125" style="75" customWidth="1"/>
    <col min="5632" max="5632" width="13.7109375" style="75" customWidth="1"/>
    <col min="5633" max="5633" width="7.85546875" style="75" bestFit="1" customWidth="1"/>
    <col min="5634" max="5635" width="7.85546875" style="75" customWidth="1"/>
    <col min="5636" max="5640" width="7.7109375" style="75" customWidth="1"/>
    <col min="5641" max="5641" width="6.140625" style="75" bestFit="1" customWidth="1"/>
    <col min="5642" max="5642" width="8.42578125" style="75" customWidth="1"/>
    <col min="5643" max="5643" width="15.7109375" style="75" customWidth="1"/>
    <col min="5644" max="5886" width="9.140625" style="75"/>
    <col min="5887" max="5887" width="7.42578125" style="75" customWidth="1"/>
    <col min="5888" max="5888" width="13.7109375" style="75" customWidth="1"/>
    <col min="5889" max="5889" width="7.85546875" style="75" bestFit="1" customWidth="1"/>
    <col min="5890" max="5891" width="7.85546875" style="75" customWidth="1"/>
    <col min="5892" max="5896" width="7.7109375" style="75" customWidth="1"/>
    <col min="5897" max="5897" width="6.140625" style="75" bestFit="1" customWidth="1"/>
    <col min="5898" max="5898" width="8.42578125" style="75" customWidth="1"/>
    <col min="5899" max="5899" width="15.7109375" style="75" customWidth="1"/>
    <col min="5900" max="6142" width="9.140625" style="75"/>
    <col min="6143" max="6143" width="7.42578125" style="75" customWidth="1"/>
    <col min="6144" max="6144" width="13.7109375" style="75" customWidth="1"/>
    <col min="6145" max="6145" width="7.85546875" style="75" bestFit="1" customWidth="1"/>
    <col min="6146" max="6147" width="7.85546875" style="75" customWidth="1"/>
    <col min="6148" max="6152" width="7.7109375" style="75" customWidth="1"/>
    <col min="6153" max="6153" width="6.140625" style="75" bestFit="1" customWidth="1"/>
    <col min="6154" max="6154" width="8.42578125" style="75" customWidth="1"/>
    <col min="6155" max="6155" width="15.7109375" style="75" customWidth="1"/>
    <col min="6156" max="6398" width="9.140625" style="75"/>
    <col min="6399" max="6399" width="7.42578125" style="75" customWidth="1"/>
    <col min="6400" max="6400" width="13.7109375" style="75" customWidth="1"/>
    <col min="6401" max="6401" width="7.85546875" style="75" bestFit="1" customWidth="1"/>
    <col min="6402" max="6403" width="7.85546875" style="75" customWidth="1"/>
    <col min="6404" max="6408" width="7.7109375" style="75" customWidth="1"/>
    <col min="6409" max="6409" width="6.140625" style="75" bestFit="1" customWidth="1"/>
    <col min="6410" max="6410" width="8.42578125" style="75" customWidth="1"/>
    <col min="6411" max="6411" width="15.7109375" style="75" customWidth="1"/>
    <col min="6412" max="6654" width="9.140625" style="75"/>
    <col min="6655" max="6655" width="7.42578125" style="75" customWidth="1"/>
    <col min="6656" max="6656" width="13.7109375" style="75" customWidth="1"/>
    <col min="6657" max="6657" width="7.85546875" style="75" bestFit="1" customWidth="1"/>
    <col min="6658" max="6659" width="7.85546875" style="75" customWidth="1"/>
    <col min="6660" max="6664" width="7.7109375" style="75" customWidth="1"/>
    <col min="6665" max="6665" width="6.140625" style="75" bestFit="1" customWidth="1"/>
    <col min="6666" max="6666" width="8.42578125" style="75" customWidth="1"/>
    <col min="6667" max="6667" width="15.7109375" style="75" customWidth="1"/>
    <col min="6668" max="6910" width="9.140625" style="75"/>
    <col min="6911" max="6911" width="7.42578125" style="75" customWidth="1"/>
    <col min="6912" max="6912" width="13.7109375" style="75" customWidth="1"/>
    <col min="6913" max="6913" width="7.85546875" style="75" bestFit="1" customWidth="1"/>
    <col min="6914" max="6915" width="7.85546875" style="75" customWidth="1"/>
    <col min="6916" max="6920" width="7.7109375" style="75" customWidth="1"/>
    <col min="6921" max="6921" width="6.140625" style="75" bestFit="1" customWidth="1"/>
    <col min="6922" max="6922" width="8.42578125" style="75" customWidth="1"/>
    <col min="6923" max="6923" width="15.7109375" style="75" customWidth="1"/>
    <col min="6924" max="7166" width="9.140625" style="75"/>
    <col min="7167" max="7167" width="7.42578125" style="75" customWidth="1"/>
    <col min="7168" max="7168" width="13.7109375" style="75" customWidth="1"/>
    <col min="7169" max="7169" width="7.85546875" style="75" bestFit="1" customWidth="1"/>
    <col min="7170" max="7171" width="7.85546875" style="75" customWidth="1"/>
    <col min="7172" max="7176" width="7.7109375" style="75" customWidth="1"/>
    <col min="7177" max="7177" width="6.140625" style="75" bestFit="1" customWidth="1"/>
    <col min="7178" max="7178" width="8.42578125" style="75" customWidth="1"/>
    <col min="7179" max="7179" width="15.7109375" style="75" customWidth="1"/>
    <col min="7180" max="7422" width="9.140625" style="75"/>
    <col min="7423" max="7423" width="7.42578125" style="75" customWidth="1"/>
    <col min="7424" max="7424" width="13.7109375" style="75" customWidth="1"/>
    <col min="7425" max="7425" width="7.85546875" style="75" bestFit="1" customWidth="1"/>
    <col min="7426" max="7427" width="7.85546875" style="75" customWidth="1"/>
    <col min="7428" max="7432" width="7.7109375" style="75" customWidth="1"/>
    <col min="7433" max="7433" width="6.140625" style="75" bestFit="1" customWidth="1"/>
    <col min="7434" max="7434" width="8.42578125" style="75" customWidth="1"/>
    <col min="7435" max="7435" width="15.7109375" style="75" customWidth="1"/>
    <col min="7436" max="7678" width="9.140625" style="75"/>
    <col min="7679" max="7679" width="7.42578125" style="75" customWidth="1"/>
    <col min="7680" max="7680" width="13.7109375" style="75" customWidth="1"/>
    <col min="7681" max="7681" width="7.85546875" style="75" bestFit="1" customWidth="1"/>
    <col min="7682" max="7683" width="7.85546875" style="75" customWidth="1"/>
    <col min="7684" max="7688" width="7.7109375" style="75" customWidth="1"/>
    <col min="7689" max="7689" width="6.140625" style="75" bestFit="1" customWidth="1"/>
    <col min="7690" max="7690" width="8.42578125" style="75" customWidth="1"/>
    <col min="7691" max="7691" width="15.7109375" style="75" customWidth="1"/>
    <col min="7692" max="7934" width="9.140625" style="75"/>
    <col min="7935" max="7935" width="7.42578125" style="75" customWidth="1"/>
    <col min="7936" max="7936" width="13.7109375" style="75" customWidth="1"/>
    <col min="7937" max="7937" width="7.85546875" style="75" bestFit="1" customWidth="1"/>
    <col min="7938" max="7939" width="7.85546875" style="75" customWidth="1"/>
    <col min="7940" max="7944" width="7.7109375" style="75" customWidth="1"/>
    <col min="7945" max="7945" width="6.140625" style="75" bestFit="1" customWidth="1"/>
    <col min="7946" max="7946" width="8.42578125" style="75" customWidth="1"/>
    <col min="7947" max="7947" width="15.7109375" style="75" customWidth="1"/>
    <col min="7948" max="8190" width="9.140625" style="75"/>
    <col min="8191" max="8191" width="7.42578125" style="75" customWidth="1"/>
    <col min="8192" max="8192" width="13.7109375" style="75" customWidth="1"/>
    <col min="8193" max="8193" width="7.85546875" style="75" bestFit="1" customWidth="1"/>
    <col min="8194" max="8195" width="7.85546875" style="75" customWidth="1"/>
    <col min="8196" max="8200" width="7.7109375" style="75" customWidth="1"/>
    <col min="8201" max="8201" width="6.140625" style="75" bestFit="1" customWidth="1"/>
    <col min="8202" max="8202" width="8.42578125" style="75" customWidth="1"/>
    <col min="8203" max="8203" width="15.7109375" style="75" customWidth="1"/>
    <col min="8204" max="8446" width="9.140625" style="75"/>
    <col min="8447" max="8447" width="7.42578125" style="75" customWidth="1"/>
    <col min="8448" max="8448" width="13.7109375" style="75" customWidth="1"/>
    <col min="8449" max="8449" width="7.85546875" style="75" bestFit="1" customWidth="1"/>
    <col min="8450" max="8451" width="7.85546875" style="75" customWidth="1"/>
    <col min="8452" max="8456" width="7.7109375" style="75" customWidth="1"/>
    <col min="8457" max="8457" width="6.140625" style="75" bestFit="1" customWidth="1"/>
    <col min="8458" max="8458" width="8.42578125" style="75" customWidth="1"/>
    <col min="8459" max="8459" width="15.7109375" style="75" customWidth="1"/>
    <col min="8460" max="8702" width="9.140625" style="75"/>
    <col min="8703" max="8703" width="7.42578125" style="75" customWidth="1"/>
    <col min="8704" max="8704" width="13.7109375" style="75" customWidth="1"/>
    <col min="8705" max="8705" width="7.85546875" style="75" bestFit="1" customWidth="1"/>
    <col min="8706" max="8707" width="7.85546875" style="75" customWidth="1"/>
    <col min="8708" max="8712" width="7.7109375" style="75" customWidth="1"/>
    <col min="8713" max="8713" width="6.140625" style="75" bestFit="1" customWidth="1"/>
    <col min="8714" max="8714" width="8.42578125" style="75" customWidth="1"/>
    <col min="8715" max="8715" width="15.7109375" style="75" customWidth="1"/>
    <col min="8716" max="8958" width="9.140625" style="75"/>
    <col min="8959" max="8959" width="7.42578125" style="75" customWidth="1"/>
    <col min="8960" max="8960" width="13.7109375" style="75" customWidth="1"/>
    <col min="8961" max="8961" width="7.85546875" style="75" bestFit="1" customWidth="1"/>
    <col min="8962" max="8963" width="7.85546875" style="75" customWidth="1"/>
    <col min="8964" max="8968" width="7.7109375" style="75" customWidth="1"/>
    <col min="8969" max="8969" width="6.140625" style="75" bestFit="1" customWidth="1"/>
    <col min="8970" max="8970" width="8.42578125" style="75" customWidth="1"/>
    <col min="8971" max="8971" width="15.7109375" style="75" customWidth="1"/>
    <col min="8972" max="9214" width="9.140625" style="75"/>
    <col min="9215" max="9215" width="7.42578125" style="75" customWidth="1"/>
    <col min="9216" max="9216" width="13.7109375" style="75" customWidth="1"/>
    <col min="9217" max="9217" width="7.85546875" style="75" bestFit="1" customWidth="1"/>
    <col min="9218" max="9219" width="7.85546875" style="75" customWidth="1"/>
    <col min="9220" max="9224" width="7.7109375" style="75" customWidth="1"/>
    <col min="9225" max="9225" width="6.140625" style="75" bestFit="1" customWidth="1"/>
    <col min="9226" max="9226" width="8.42578125" style="75" customWidth="1"/>
    <col min="9227" max="9227" width="15.7109375" style="75" customWidth="1"/>
    <col min="9228" max="9470" width="9.140625" style="75"/>
    <col min="9471" max="9471" width="7.42578125" style="75" customWidth="1"/>
    <col min="9472" max="9472" width="13.7109375" style="75" customWidth="1"/>
    <col min="9473" max="9473" width="7.85546875" style="75" bestFit="1" customWidth="1"/>
    <col min="9474" max="9475" width="7.85546875" style="75" customWidth="1"/>
    <col min="9476" max="9480" width="7.7109375" style="75" customWidth="1"/>
    <col min="9481" max="9481" width="6.140625" style="75" bestFit="1" customWidth="1"/>
    <col min="9482" max="9482" width="8.42578125" style="75" customWidth="1"/>
    <col min="9483" max="9483" width="15.7109375" style="75" customWidth="1"/>
    <col min="9484" max="9726" width="9.140625" style="75"/>
    <col min="9727" max="9727" width="7.42578125" style="75" customWidth="1"/>
    <col min="9728" max="9728" width="13.7109375" style="75" customWidth="1"/>
    <col min="9729" max="9729" width="7.85546875" style="75" bestFit="1" customWidth="1"/>
    <col min="9730" max="9731" width="7.85546875" style="75" customWidth="1"/>
    <col min="9732" max="9736" width="7.7109375" style="75" customWidth="1"/>
    <col min="9737" max="9737" width="6.140625" style="75" bestFit="1" customWidth="1"/>
    <col min="9738" max="9738" width="8.42578125" style="75" customWidth="1"/>
    <col min="9739" max="9739" width="15.7109375" style="75" customWidth="1"/>
    <col min="9740" max="9982" width="9.140625" style="75"/>
    <col min="9983" max="9983" width="7.42578125" style="75" customWidth="1"/>
    <col min="9984" max="9984" width="13.7109375" style="75" customWidth="1"/>
    <col min="9985" max="9985" width="7.85546875" style="75" bestFit="1" customWidth="1"/>
    <col min="9986" max="9987" width="7.85546875" style="75" customWidth="1"/>
    <col min="9988" max="9992" width="7.7109375" style="75" customWidth="1"/>
    <col min="9993" max="9993" width="6.140625" style="75" bestFit="1" customWidth="1"/>
    <col min="9994" max="9994" width="8.42578125" style="75" customWidth="1"/>
    <col min="9995" max="9995" width="15.7109375" style="75" customWidth="1"/>
    <col min="9996" max="10238" width="9.140625" style="75"/>
    <col min="10239" max="10239" width="7.42578125" style="75" customWidth="1"/>
    <col min="10240" max="10240" width="13.7109375" style="75" customWidth="1"/>
    <col min="10241" max="10241" width="7.85546875" style="75" bestFit="1" customWidth="1"/>
    <col min="10242" max="10243" width="7.85546875" style="75" customWidth="1"/>
    <col min="10244" max="10248" width="7.7109375" style="75" customWidth="1"/>
    <col min="10249" max="10249" width="6.140625" style="75" bestFit="1" customWidth="1"/>
    <col min="10250" max="10250" width="8.42578125" style="75" customWidth="1"/>
    <col min="10251" max="10251" width="15.7109375" style="75" customWidth="1"/>
    <col min="10252" max="10494" width="9.140625" style="75"/>
    <col min="10495" max="10495" width="7.42578125" style="75" customWidth="1"/>
    <col min="10496" max="10496" width="13.7109375" style="75" customWidth="1"/>
    <col min="10497" max="10497" width="7.85546875" style="75" bestFit="1" customWidth="1"/>
    <col min="10498" max="10499" width="7.85546875" style="75" customWidth="1"/>
    <col min="10500" max="10504" width="7.7109375" style="75" customWidth="1"/>
    <col min="10505" max="10505" width="6.140625" style="75" bestFit="1" customWidth="1"/>
    <col min="10506" max="10506" width="8.42578125" style="75" customWidth="1"/>
    <col min="10507" max="10507" width="15.7109375" style="75" customWidth="1"/>
    <col min="10508" max="10750" width="9.140625" style="75"/>
    <col min="10751" max="10751" width="7.42578125" style="75" customWidth="1"/>
    <col min="10752" max="10752" width="13.7109375" style="75" customWidth="1"/>
    <col min="10753" max="10753" width="7.85546875" style="75" bestFit="1" customWidth="1"/>
    <col min="10754" max="10755" width="7.85546875" style="75" customWidth="1"/>
    <col min="10756" max="10760" width="7.7109375" style="75" customWidth="1"/>
    <col min="10761" max="10761" width="6.140625" style="75" bestFit="1" customWidth="1"/>
    <col min="10762" max="10762" width="8.42578125" style="75" customWidth="1"/>
    <col min="10763" max="10763" width="15.7109375" style="75" customWidth="1"/>
    <col min="10764" max="11006" width="9.140625" style="75"/>
    <col min="11007" max="11007" width="7.42578125" style="75" customWidth="1"/>
    <col min="11008" max="11008" width="13.7109375" style="75" customWidth="1"/>
    <col min="11009" max="11009" width="7.85546875" style="75" bestFit="1" customWidth="1"/>
    <col min="11010" max="11011" width="7.85546875" style="75" customWidth="1"/>
    <col min="11012" max="11016" width="7.7109375" style="75" customWidth="1"/>
    <col min="11017" max="11017" width="6.140625" style="75" bestFit="1" customWidth="1"/>
    <col min="11018" max="11018" width="8.42578125" style="75" customWidth="1"/>
    <col min="11019" max="11019" width="15.7109375" style="75" customWidth="1"/>
    <col min="11020" max="11262" width="9.140625" style="75"/>
    <col min="11263" max="11263" width="7.42578125" style="75" customWidth="1"/>
    <col min="11264" max="11264" width="13.7109375" style="75" customWidth="1"/>
    <col min="11265" max="11265" width="7.85546875" style="75" bestFit="1" customWidth="1"/>
    <col min="11266" max="11267" width="7.85546875" style="75" customWidth="1"/>
    <col min="11268" max="11272" width="7.7109375" style="75" customWidth="1"/>
    <col min="11273" max="11273" width="6.140625" style="75" bestFit="1" customWidth="1"/>
    <col min="11274" max="11274" width="8.42578125" style="75" customWidth="1"/>
    <col min="11275" max="11275" width="15.7109375" style="75" customWidth="1"/>
    <col min="11276" max="11518" width="9.140625" style="75"/>
    <col min="11519" max="11519" width="7.42578125" style="75" customWidth="1"/>
    <col min="11520" max="11520" width="13.7109375" style="75" customWidth="1"/>
    <col min="11521" max="11521" width="7.85546875" style="75" bestFit="1" customWidth="1"/>
    <col min="11522" max="11523" width="7.85546875" style="75" customWidth="1"/>
    <col min="11524" max="11528" width="7.7109375" style="75" customWidth="1"/>
    <col min="11529" max="11529" width="6.140625" style="75" bestFit="1" customWidth="1"/>
    <col min="11530" max="11530" width="8.42578125" style="75" customWidth="1"/>
    <col min="11531" max="11531" width="15.7109375" style="75" customWidth="1"/>
    <col min="11532" max="11774" width="9.140625" style="75"/>
    <col min="11775" max="11775" width="7.42578125" style="75" customWidth="1"/>
    <col min="11776" max="11776" width="13.7109375" style="75" customWidth="1"/>
    <col min="11777" max="11777" width="7.85546875" style="75" bestFit="1" customWidth="1"/>
    <col min="11778" max="11779" width="7.85546875" style="75" customWidth="1"/>
    <col min="11780" max="11784" width="7.7109375" style="75" customWidth="1"/>
    <col min="11785" max="11785" width="6.140625" style="75" bestFit="1" customWidth="1"/>
    <col min="11786" max="11786" width="8.42578125" style="75" customWidth="1"/>
    <col min="11787" max="11787" width="15.7109375" style="75" customWidth="1"/>
    <col min="11788" max="12030" width="9.140625" style="75"/>
    <col min="12031" max="12031" width="7.42578125" style="75" customWidth="1"/>
    <col min="12032" max="12032" width="13.7109375" style="75" customWidth="1"/>
    <col min="12033" max="12033" width="7.85546875" style="75" bestFit="1" customWidth="1"/>
    <col min="12034" max="12035" width="7.85546875" style="75" customWidth="1"/>
    <col min="12036" max="12040" width="7.7109375" style="75" customWidth="1"/>
    <col min="12041" max="12041" width="6.140625" style="75" bestFit="1" customWidth="1"/>
    <col min="12042" max="12042" width="8.42578125" style="75" customWidth="1"/>
    <col min="12043" max="12043" width="15.7109375" style="75" customWidth="1"/>
    <col min="12044" max="12286" width="9.140625" style="75"/>
    <col min="12287" max="12287" width="7.42578125" style="75" customWidth="1"/>
    <col min="12288" max="12288" width="13.7109375" style="75" customWidth="1"/>
    <col min="12289" max="12289" width="7.85546875" style="75" bestFit="1" customWidth="1"/>
    <col min="12290" max="12291" width="7.85546875" style="75" customWidth="1"/>
    <col min="12292" max="12296" width="7.7109375" style="75" customWidth="1"/>
    <col min="12297" max="12297" width="6.140625" style="75" bestFit="1" customWidth="1"/>
    <col min="12298" max="12298" width="8.42578125" style="75" customWidth="1"/>
    <col min="12299" max="12299" width="15.7109375" style="75" customWidth="1"/>
    <col min="12300" max="12542" width="9.140625" style="75"/>
    <col min="12543" max="12543" width="7.42578125" style="75" customWidth="1"/>
    <col min="12544" max="12544" width="13.7109375" style="75" customWidth="1"/>
    <col min="12545" max="12545" width="7.85546875" style="75" bestFit="1" customWidth="1"/>
    <col min="12546" max="12547" width="7.85546875" style="75" customWidth="1"/>
    <col min="12548" max="12552" width="7.7109375" style="75" customWidth="1"/>
    <col min="12553" max="12553" width="6.140625" style="75" bestFit="1" customWidth="1"/>
    <col min="12554" max="12554" width="8.42578125" style="75" customWidth="1"/>
    <col min="12555" max="12555" width="15.7109375" style="75" customWidth="1"/>
    <col min="12556" max="12798" width="9.140625" style="75"/>
    <col min="12799" max="12799" width="7.42578125" style="75" customWidth="1"/>
    <col min="12800" max="12800" width="13.7109375" style="75" customWidth="1"/>
    <col min="12801" max="12801" width="7.85546875" style="75" bestFit="1" customWidth="1"/>
    <col min="12802" max="12803" width="7.85546875" style="75" customWidth="1"/>
    <col min="12804" max="12808" width="7.7109375" style="75" customWidth="1"/>
    <col min="12809" max="12809" width="6.140625" style="75" bestFit="1" customWidth="1"/>
    <col min="12810" max="12810" width="8.42578125" style="75" customWidth="1"/>
    <col min="12811" max="12811" width="15.7109375" style="75" customWidth="1"/>
    <col min="12812" max="13054" width="9.140625" style="75"/>
    <col min="13055" max="13055" width="7.42578125" style="75" customWidth="1"/>
    <col min="13056" max="13056" width="13.7109375" style="75" customWidth="1"/>
    <col min="13057" max="13057" width="7.85546875" style="75" bestFit="1" customWidth="1"/>
    <col min="13058" max="13059" width="7.85546875" style="75" customWidth="1"/>
    <col min="13060" max="13064" width="7.7109375" style="75" customWidth="1"/>
    <col min="13065" max="13065" width="6.140625" style="75" bestFit="1" customWidth="1"/>
    <col min="13066" max="13066" width="8.42578125" style="75" customWidth="1"/>
    <col min="13067" max="13067" width="15.7109375" style="75" customWidth="1"/>
    <col min="13068" max="13310" width="9.140625" style="75"/>
    <col min="13311" max="13311" width="7.42578125" style="75" customWidth="1"/>
    <col min="13312" max="13312" width="13.7109375" style="75" customWidth="1"/>
    <col min="13313" max="13313" width="7.85546875" style="75" bestFit="1" customWidth="1"/>
    <col min="13314" max="13315" width="7.85546875" style="75" customWidth="1"/>
    <col min="13316" max="13320" width="7.7109375" style="75" customWidth="1"/>
    <col min="13321" max="13321" width="6.140625" style="75" bestFit="1" customWidth="1"/>
    <col min="13322" max="13322" width="8.42578125" style="75" customWidth="1"/>
    <col min="13323" max="13323" width="15.7109375" style="75" customWidth="1"/>
    <col min="13324" max="13566" width="9.140625" style="75"/>
    <col min="13567" max="13567" width="7.42578125" style="75" customWidth="1"/>
    <col min="13568" max="13568" width="13.7109375" style="75" customWidth="1"/>
    <col min="13569" max="13569" width="7.85546875" style="75" bestFit="1" customWidth="1"/>
    <col min="13570" max="13571" width="7.85546875" style="75" customWidth="1"/>
    <col min="13572" max="13576" width="7.7109375" style="75" customWidth="1"/>
    <col min="13577" max="13577" width="6.140625" style="75" bestFit="1" customWidth="1"/>
    <col min="13578" max="13578" width="8.42578125" style="75" customWidth="1"/>
    <col min="13579" max="13579" width="15.7109375" style="75" customWidth="1"/>
    <col min="13580" max="13822" width="9.140625" style="75"/>
    <col min="13823" max="13823" width="7.42578125" style="75" customWidth="1"/>
    <col min="13824" max="13824" width="13.7109375" style="75" customWidth="1"/>
    <col min="13825" max="13825" width="7.85546875" style="75" bestFit="1" customWidth="1"/>
    <col min="13826" max="13827" width="7.85546875" style="75" customWidth="1"/>
    <col min="13828" max="13832" width="7.7109375" style="75" customWidth="1"/>
    <col min="13833" max="13833" width="6.140625" style="75" bestFit="1" customWidth="1"/>
    <col min="13834" max="13834" width="8.42578125" style="75" customWidth="1"/>
    <col min="13835" max="13835" width="15.7109375" style="75" customWidth="1"/>
    <col min="13836" max="14078" width="9.140625" style="75"/>
    <col min="14079" max="14079" width="7.42578125" style="75" customWidth="1"/>
    <col min="14080" max="14080" width="13.7109375" style="75" customWidth="1"/>
    <col min="14081" max="14081" width="7.85546875" style="75" bestFit="1" customWidth="1"/>
    <col min="14082" max="14083" width="7.85546875" style="75" customWidth="1"/>
    <col min="14084" max="14088" width="7.7109375" style="75" customWidth="1"/>
    <col min="14089" max="14089" width="6.140625" style="75" bestFit="1" customWidth="1"/>
    <col min="14090" max="14090" width="8.42578125" style="75" customWidth="1"/>
    <col min="14091" max="14091" width="15.7109375" style="75" customWidth="1"/>
    <col min="14092" max="14334" width="9.140625" style="75"/>
    <col min="14335" max="14335" width="7.42578125" style="75" customWidth="1"/>
    <col min="14336" max="14336" width="13.7109375" style="75" customWidth="1"/>
    <col min="14337" max="14337" width="7.85546875" style="75" bestFit="1" customWidth="1"/>
    <col min="14338" max="14339" width="7.85546875" style="75" customWidth="1"/>
    <col min="14340" max="14344" width="7.7109375" style="75" customWidth="1"/>
    <col min="14345" max="14345" width="6.140625" style="75" bestFit="1" customWidth="1"/>
    <col min="14346" max="14346" width="8.42578125" style="75" customWidth="1"/>
    <col min="14347" max="14347" width="15.7109375" style="75" customWidth="1"/>
    <col min="14348" max="14590" width="9.140625" style="75"/>
    <col min="14591" max="14591" width="7.42578125" style="75" customWidth="1"/>
    <col min="14592" max="14592" width="13.7109375" style="75" customWidth="1"/>
    <col min="14593" max="14593" width="7.85546875" style="75" bestFit="1" customWidth="1"/>
    <col min="14594" max="14595" width="7.85546875" style="75" customWidth="1"/>
    <col min="14596" max="14600" width="7.7109375" style="75" customWidth="1"/>
    <col min="14601" max="14601" width="6.140625" style="75" bestFit="1" customWidth="1"/>
    <col min="14602" max="14602" width="8.42578125" style="75" customWidth="1"/>
    <col min="14603" max="14603" width="15.7109375" style="75" customWidth="1"/>
    <col min="14604" max="14846" width="9.140625" style="75"/>
    <col min="14847" max="14847" width="7.42578125" style="75" customWidth="1"/>
    <col min="14848" max="14848" width="13.7109375" style="75" customWidth="1"/>
    <col min="14849" max="14849" width="7.85546875" style="75" bestFit="1" customWidth="1"/>
    <col min="14850" max="14851" width="7.85546875" style="75" customWidth="1"/>
    <col min="14852" max="14856" width="7.7109375" style="75" customWidth="1"/>
    <col min="14857" max="14857" width="6.140625" style="75" bestFit="1" customWidth="1"/>
    <col min="14858" max="14858" width="8.42578125" style="75" customWidth="1"/>
    <col min="14859" max="14859" width="15.7109375" style="75" customWidth="1"/>
    <col min="14860" max="15102" width="9.140625" style="75"/>
    <col min="15103" max="15103" width="7.42578125" style="75" customWidth="1"/>
    <col min="15104" max="15104" width="13.7109375" style="75" customWidth="1"/>
    <col min="15105" max="15105" width="7.85546875" style="75" bestFit="1" customWidth="1"/>
    <col min="15106" max="15107" width="7.85546875" style="75" customWidth="1"/>
    <col min="15108" max="15112" width="7.7109375" style="75" customWidth="1"/>
    <col min="15113" max="15113" width="6.140625" style="75" bestFit="1" customWidth="1"/>
    <col min="15114" max="15114" width="8.42578125" style="75" customWidth="1"/>
    <col min="15115" max="15115" width="15.7109375" style="75" customWidth="1"/>
    <col min="15116" max="15358" width="9.140625" style="75"/>
    <col min="15359" max="15359" width="7.42578125" style="75" customWidth="1"/>
    <col min="15360" max="15360" width="13.7109375" style="75" customWidth="1"/>
    <col min="15361" max="15361" width="7.85546875" style="75" bestFit="1" customWidth="1"/>
    <col min="15362" max="15363" width="7.85546875" style="75" customWidth="1"/>
    <col min="15364" max="15368" width="7.7109375" style="75" customWidth="1"/>
    <col min="15369" max="15369" width="6.140625" style="75" bestFit="1" customWidth="1"/>
    <col min="15370" max="15370" width="8.42578125" style="75" customWidth="1"/>
    <col min="15371" max="15371" width="15.7109375" style="75" customWidth="1"/>
    <col min="15372" max="15614" width="9.140625" style="75"/>
    <col min="15615" max="15615" width="7.42578125" style="75" customWidth="1"/>
    <col min="15616" max="15616" width="13.7109375" style="75" customWidth="1"/>
    <col min="15617" max="15617" width="7.85546875" style="75" bestFit="1" customWidth="1"/>
    <col min="15618" max="15619" width="7.85546875" style="75" customWidth="1"/>
    <col min="15620" max="15624" width="7.7109375" style="75" customWidth="1"/>
    <col min="15625" max="15625" width="6.140625" style="75" bestFit="1" customWidth="1"/>
    <col min="15626" max="15626" width="8.42578125" style="75" customWidth="1"/>
    <col min="15627" max="15627" width="15.7109375" style="75" customWidth="1"/>
    <col min="15628" max="15870" width="9.140625" style="75"/>
    <col min="15871" max="15871" width="7.42578125" style="75" customWidth="1"/>
    <col min="15872" max="15872" width="13.7109375" style="75" customWidth="1"/>
    <col min="15873" max="15873" width="7.85546875" style="75" bestFit="1" customWidth="1"/>
    <col min="15874" max="15875" width="7.85546875" style="75" customWidth="1"/>
    <col min="15876" max="15880" width="7.7109375" style="75" customWidth="1"/>
    <col min="15881" max="15881" width="6.140625" style="75" bestFit="1" customWidth="1"/>
    <col min="15882" max="15882" width="8.42578125" style="75" customWidth="1"/>
    <col min="15883" max="15883" width="15.7109375" style="75" customWidth="1"/>
    <col min="15884" max="16126" width="9.140625" style="75"/>
    <col min="16127" max="16127" width="7.42578125" style="75" customWidth="1"/>
    <col min="16128" max="16128" width="13.7109375" style="75" customWidth="1"/>
    <col min="16129" max="16129" width="7.85546875" style="75" bestFit="1" customWidth="1"/>
    <col min="16130" max="16131" width="7.85546875" style="75" customWidth="1"/>
    <col min="16132" max="16136" width="7.7109375" style="75" customWidth="1"/>
    <col min="16137" max="16137" width="6.140625" style="75" bestFit="1" customWidth="1"/>
    <col min="16138" max="16138" width="8.42578125" style="75" customWidth="1"/>
    <col min="16139" max="16139" width="15.7109375" style="75" customWidth="1"/>
    <col min="16140" max="16384" width="9.140625" style="75"/>
  </cols>
  <sheetData>
    <row r="1" spans="1:12" s="68" customFormat="1" ht="22.5" customHeight="1" x14ac:dyDescent="0.25">
      <c r="A1" s="63" t="s">
        <v>624</v>
      </c>
      <c r="B1" s="64"/>
      <c r="C1" s="64"/>
      <c r="D1" s="64"/>
      <c r="E1" s="64"/>
      <c r="F1" s="64"/>
      <c r="G1" s="64"/>
      <c r="H1" s="64"/>
      <c r="I1" s="65"/>
      <c r="J1" s="64"/>
      <c r="K1" s="66"/>
      <c r="L1" s="67"/>
    </row>
    <row r="2" spans="1:12" s="72" customFormat="1" ht="48.75" customHeight="1" thickBot="1" x14ac:dyDescent="0.3">
      <c r="A2" s="69"/>
      <c r="B2" s="69"/>
      <c r="C2" s="70" t="s">
        <v>327</v>
      </c>
      <c r="D2" s="70" t="s">
        <v>335</v>
      </c>
      <c r="E2" s="70" t="s">
        <v>328</v>
      </c>
      <c r="F2" s="70" t="s">
        <v>336</v>
      </c>
      <c r="G2" s="70" t="s">
        <v>329</v>
      </c>
      <c r="H2" s="70" t="s">
        <v>330</v>
      </c>
      <c r="I2" s="70" t="s">
        <v>331</v>
      </c>
      <c r="J2" s="70" t="s">
        <v>332</v>
      </c>
      <c r="K2" s="71" t="s">
        <v>333</v>
      </c>
      <c r="L2" s="70" t="s">
        <v>334</v>
      </c>
    </row>
    <row r="3" spans="1:12" x14ac:dyDescent="0.25">
      <c r="A3" s="73" t="s">
        <v>247</v>
      </c>
      <c r="B3" s="187" t="s">
        <v>248</v>
      </c>
      <c r="C3" s="74">
        <v>978.45168000000001</v>
      </c>
      <c r="D3" s="74">
        <v>674.26877999999999</v>
      </c>
      <c r="E3" s="74">
        <v>1669.33105</v>
      </c>
      <c r="F3" s="74">
        <v>577.48446999999999</v>
      </c>
      <c r="G3" s="74">
        <v>1091.18841</v>
      </c>
      <c r="H3" s="74">
        <v>716.82376999999997</v>
      </c>
      <c r="I3" s="74">
        <v>1340.4259299999999</v>
      </c>
      <c r="J3" s="74">
        <v>1832.70983</v>
      </c>
      <c r="K3" s="74">
        <v>166.74665999999999</v>
      </c>
      <c r="L3" s="74">
        <v>1397.8023500000002</v>
      </c>
    </row>
    <row r="4" spans="1:12" ht="15" customHeight="1" x14ac:dyDescent="0.25">
      <c r="A4" s="76" t="s">
        <v>249</v>
      </c>
      <c r="B4" s="188"/>
      <c r="C4" s="77">
        <v>178.1242</v>
      </c>
      <c r="D4" s="77">
        <v>192.80470000000003</v>
      </c>
      <c r="E4" s="77">
        <v>513.00761</v>
      </c>
      <c r="F4" s="77">
        <v>127.75355</v>
      </c>
      <c r="G4" s="77">
        <v>0</v>
      </c>
      <c r="H4" s="77">
        <v>6.4506000000000006</v>
      </c>
      <c r="I4" s="77">
        <v>106.60810000000001</v>
      </c>
      <c r="J4" s="77">
        <v>1303.3465900000001</v>
      </c>
      <c r="K4" s="77">
        <v>549.22342000000003</v>
      </c>
      <c r="L4" s="77">
        <v>7417.9754499999999</v>
      </c>
    </row>
    <row r="5" spans="1:12" s="80" customFormat="1" ht="15" customHeight="1" thickBot="1" x14ac:dyDescent="0.3">
      <c r="A5" s="78" t="s">
        <v>250</v>
      </c>
      <c r="B5" s="189"/>
      <c r="C5" s="79">
        <v>800.32748000000004</v>
      </c>
      <c r="D5" s="79">
        <v>481.46407999999997</v>
      </c>
      <c r="E5" s="79">
        <v>1156.3234400000001</v>
      </c>
      <c r="F5" s="79">
        <v>449.73091999999997</v>
      </c>
      <c r="G5" s="79">
        <v>1091.18841</v>
      </c>
      <c r="H5" s="79">
        <v>710.37316999999996</v>
      </c>
      <c r="I5" s="79">
        <v>1233.81783</v>
      </c>
      <c r="J5" s="79">
        <v>529.36323999999991</v>
      </c>
      <c r="K5" s="79">
        <v>-382.47676000000001</v>
      </c>
      <c r="L5" s="79">
        <v>-6020.1731</v>
      </c>
    </row>
    <row r="6" spans="1:12" x14ac:dyDescent="0.25">
      <c r="A6" s="81" t="s">
        <v>247</v>
      </c>
      <c r="B6" s="190" t="s">
        <v>251</v>
      </c>
      <c r="C6" s="82">
        <v>2282.2644100000002</v>
      </c>
      <c r="D6" s="82">
        <v>3756.1426099999999</v>
      </c>
      <c r="E6" s="82">
        <v>3730.2336099999998</v>
      </c>
      <c r="F6" s="88">
        <v>822.98870999999997</v>
      </c>
      <c r="G6" s="82">
        <v>2687.1809700000003</v>
      </c>
      <c r="H6" s="82">
        <v>2210.7602400000001</v>
      </c>
      <c r="I6" s="82">
        <v>1766.64705</v>
      </c>
      <c r="J6" s="82">
        <v>2899.5142700000001</v>
      </c>
      <c r="K6" s="82">
        <v>43.5824</v>
      </c>
      <c r="L6" s="82">
        <v>2366.58583</v>
      </c>
    </row>
    <row r="7" spans="1:12" ht="13.5" customHeight="1" x14ac:dyDescent="0.25">
      <c r="A7" s="83" t="s">
        <v>249</v>
      </c>
      <c r="B7" s="191"/>
      <c r="C7" s="84">
        <v>242.38324</v>
      </c>
      <c r="D7" s="84">
        <v>2640.07996</v>
      </c>
      <c r="E7" s="84">
        <v>949.3433</v>
      </c>
      <c r="F7" s="89">
        <v>147.88075000000001</v>
      </c>
      <c r="G7" s="84">
        <v>0</v>
      </c>
      <c r="H7" s="84">
        <v>219.73679999999999</v>
      </c>
      <c r="I7" s="84">
        <v>346.55916999999999</v>
      </c>
      <c r="J7" s="84">
        <v>2687.6440400000001</v>
      </c>
      <c r="K7" s="84">
        <v>70.718000000000004</v>
      </c>
      <c r="L7" s="84">
        <v>15369.82927</v>
      </c>
    </row>
    <row r="8" spans="1:12" ht="14.25" customHeight="1" thickBot="1" x14ac:dyDescent="0.3">
      <c r="A8" s="85" t="s">
        <v>250</v>
      </c>
      <c r="B8" s="192"/>
      <c r="C8" s="86">
        <v>2039.8811700000001</v>
      </c>
      <c r="D8" s="86">
        <v>1116.0626499999998</v>
      </c>
      <c r="E8" s="86">
        <v>2780.8903099999998</v>
      </c>
      <c r="F8" s="86">
        <v>675.10795999999993</v>
      </c>
      <c r="G8" s="86">
        <v>2687.1809700000003</v>
      </c>
      <c r="H8" s="86">
        <v>1991.0234400000002</v>
      </c>
      <c r="I8" s="86">
        <v>1420.08788</v>
      </c>
      <c r="J8" s="86">
        <v>211.87022999999999</v>
      </c>
      <c r="K8" s="86">
        <v>-27.135600000000004</v>
      </c>
      <c r="L8" s="86">
        <v>-13003.24344</v>
      </c>
    </row>
    <row r="9" spans="1:12" x14ac:dyDescent="0.25">
      <c r="A9" s="73" t="s">
        <v>247</v>
      </c>
      <c r="B9" s="187" t="s">
        <v>4</v>
      </c>
      <c r="C9" s="74">
        <v>1147.1428500000002</v>
      </c>
      <c r="D9" s="74">
        <v>402.58807999999999</v>
      </c>
      <c r="E9" s="74">
        <v>1628.5140900000001</v>
      </c>
      <c r="F9" s="74">
        <v>106.7201</v>
      </c>
      <c r="G9" s="74">
        <v>818.55124000000001</v>
      </c>
      <c r="H9" s="74">
        <v>517.99171999999999</v>
      </c>
      <c r="I9" s="74">
        <v>1379.6201999999998</v>
      </c>
      <c r="J9" s="74">
        <v>2306.73945</v>
      </c>
      <c r="K9" s="74">
        <v>254.21399</v>
      </c>
      <c r="L9" s="74">
        <v>1529.18067</v>
      </c>
    </row>
    <row r="10" spans="1:12" x14ac:dyDescent="0.25">
      <c r="A10" s="76" t="s">
        <v>249</v>
      </c>
      <c r="B10" s="188"/>
      <c r="C10" s="77">
        <v>1020.6831</v>
      </c>
      <c r="D10" s="77">
        <v>113.62697999999999</v>
      </c>
      <c r="E10" s="77">
        <v>540.11</v>
      </c>
      <c r="F10" s="77">
        <v>6.9774500000000002</v>
      </c>
      <c r="G10" s="77">
        <v>0</v>
      </c>
      <c r="H10" s="77">
        <v>3.4436</v>
      </c>
      <c r="I10" s="77">
        <v>284.42904999999996</v>
      </c>
      <c r="J10" s="77">
        <v>1945.6973799999998</v>
      </c>
      <c r="K10" s="77">
        <v>403.35215000000005</v>
      </c>
      <c r="L10" s="77">
        <v>5885.2113499999996</v>
      </c>
    </row>
    <row r="11" spans="1:12" ht="13.5" thickBot="1" x14ac:dyDescent="0.3">
      <c r="A11" s="78" t="s">
        <v>250</v>
      </c>
      <c r="B11" s="189"/>
      <c r="C11" s="79">
        <v>126.45975000000021</v>
      </c>
      <c r="D11" s="79">
        <v>288.96109999999999</v>
      </c>
      <c r="E11" s="79">
        <v>1088.40409</v>
      </c>
      <c r="F11" s="79">
        <v>99.742649999999998</v>
      </c>
      <c r="G11" s="79">
        <v>818.55124000000001</v>
      </c>
      <c r="H11" s="79">
        <v>514.54812000000004</v>
      </c>
      <c r="I11" s="79">
        <v>1095.1911499999999</v>
      </c>
      <c r="J11" s="79">
        <v>361.04207000000019</v>
      </c>
      <c r="K11" s="79">
        <v>-149.13816000000006</v>
      </c>
      <c r="L11" s="79">
        <v>-4356.0306799999998</v>
      </c>
    </row>
    <row r="12" spans="1:12" x14ac:dyDescent="0.25">
      <c r="A12" s="81" t="s">
        <v>247</v>
      </c>
      <c r="B12" s="190" t="s">
        <v>252</v>
      </c>
      <c r="C12" s="82">
        <v>949.03107999999997</v>
      </c>
      <c r="D12" s="82">
        <v>349.67635999999999</v>
      </c>
      <c r="E12" s="82">
        <v>1214.17733</v>
      </c>
      <c r="F12" s="88">
        <v>185.75485999999998</v>
      </c>
      <c r="G12" s="82">
        <v>811.28733999999997</v>
      </c>
      <c r="H12" s="82">
        <v>563.25229000000002</v>
      </c>
      <c r="I12" s="82">
        <v>849.58780000000002</v>
      </c>
      <c r="J12" s="82">
        <v>1304.5842600000001</v>
      </c>
      <c r="K12" s="82">
        <v>30.89358</v>
      </c>
      <c r="L12" s="82">
        <v>741.89301999999998</v>
      </c>
    </row>
    <row r="13" spans="1:12" x14ac:dyDescent="0.25">
      <c r="A13" s="83" t="s">
        <v>249</v>
      </c>
      <c r="B13" s="191"/>
      <c r="C13" s="84">
        <v>82.439689999999999</v>
      </c>
      <c r="D13" s="84">
        <v>50.21443</v>
      </c>
      <c r="E13" s="84">
        <v>245.37120000000002</v>
      </c>
      <c r="F13" s="89">
        <v>0.6</v>
      </c>
      <c r="G13" s="84">
        <v>0</v>
      </c>
      <c r="H13" s="84">
        <v>1.9437500000000001</v>
      </c>
      <c r="I13" s="84">
        <v>140.38800000000001</v>
      </c>
      <c r="J13" s="84">
        <v>1112.4216000000001</v>
      </c>
      <c r="K13" s="84">
        <v>145.4821</v>
      </c>
      <c r="L13" s="84">
        <v>5397.7368799999995</v>
      </c>
    </row>
    <row r="14" spans="1:12" ht="13.5" thickBot="1" x14ac:dyDescent="0.3">
      <c r="A14" s="85" t="s">
        <v>250</v>
      </c>
      <c r="B14" s="192"/>
      <c r="C14" s="86">
        <v>866.59138999999993</v>
      </c>
      <c r="D14" s="86">
        <v>299.46193</v>
      </c>
      <c r="E14" s="86">
        <v>968.80612999999994</v>
      </c>
      <c r="F14" s="86">
        <v>185.15485999999999</v>
      </c>
      <c r="G14" s="86">
        <v>811.28733999999997</v>
      </c>
      <c r="H14" s="86">
        <v>561.30853999999999</v>
      </c>
      <c r="I14" s="86">
        <v>709.19979999999998</v>
      </c>
      <c r="J14" s="86">
        <v>192.16265999999996</v>
      </c>
      <c r="K14" s="86">
        <v>-114.58852</v>
      </c>
      <c r="L14" s="86">
        <v>-4655.843859999999</v>
      </c>
    </row>
    <row r="15" spans="1:12" x14ac:dyDescent="0.25">
      <c r="A15" s="73" t="s">
        <v>247</v>
      </c>
      <c r="B15" s="187" t="s">
        <v>253</v>
      </c>
      <c r="C15" s="74">
        <v>248.16019</v>
      </c>
      <c r="D15" s="74">
        <v>63.599230000000006</v>
      </c>
      <c r="E15" s="74">
        <v>331.36078999999995</v>
      </c>
      <c r="F15" s="74">
        <v>30.776959999999999</v>
      </c>
      <c r="G15" s="74">
        <v>171.8664</v>
      </c>
      <c r="H15" s="74">
        <v>130.86455000000001</v>
      </c>
      <c r="I15" s="74">
        <v>111.18095</v>
      </c>
      <c r="J15" s="74">
        <v>353.83598000000001</v>
      </c>
      <c r="K15" s="74">
        <v>7.4145500000000002</v>
      </c>
      <c r="L15" s="74">
        <v>310.40714000000003</v>
      </c>
    </row>
    <row r="16" spans="1:12" x14ac:dyDescent="0.25">
      <c r="A16" s="76" t="s">
        <v>249</v>
      </c>
      <c r="B16" s="188"/>
      <c r="C16" s="77">
        <v>6.6466499999999993</v>
      </c>
      <c r="D16" s="77">
        <v>10.061500000000001</v>
      </c>
      <c r="E16" s="77">
        <v>40.677250000000001</v>
      </c>
      <c r="F16" s="77">
        <v>2</v>
      </c>
      <c r="G16" s="77">
        <v>0</v>
      </c>
      <c r="H16" s="77">
        <v>0.96299999999999997</v>
      </c>
      <c r="I16" s="77">
        <v>4.34</v>
      </c>
      <c r="J16" s="77">
        <v>322.75721999999996</v>
      </c>
      <c r="K16" s="77">
        <v>25.678999999999998</v>
      </c>
      <c r="L16" s="77">
        <v>1431.7377099999999</v>
      </c>
    </row>
    <row r="17" spans="1:12" ht="13.5" thickBot="1" x14ac:dyDescent="0.3">
      <c r="A17" s="78" t="s">
        <v>250</v>
      </c>
      <c r="B17" s="189"/>
      <c r="C17" s="79">
        <v>241.51354000000001</v>
      </c>
      <c r="D17" s="79">
        <v>53.537730000000003</v>
      </c>
      <c r="E17" s="79">
        <v>290.68353999999994</v>
      </c>
      <c r="F17" s="79">
        <v>28.776959999999999</v>
      </c>
      <c r="G17" s="79">
        <v>171.8664</v>
      </c>
      <c r="H17" s="79">
        <v>129.90155000000001</v>
      </c>
      <c r="I17" s="79">
        <v>106.84094999999999</v>
      </c>
      <c r="J17" s="79">
        <v>31.078760000000045</v>
      </c>
      <c r="K17" s="79">
        <v>-18.264449999999997</v>
      </c>
      <c r="L17" s="79">
        <v>-1121.3305699999999</v>
      </c>
    </row>
    <row r="18" spans="1:12" x14ac:dyDescent="0.25">
      <c r="A18" s="81" t="s">
        <v>247</v>
      </c>
      <c r="B18" s="190" t="s">
        <v>254</v>
      </c>
      <c r="C18" s="82">
        <v>2766.2166400000001</v>
      </c>
      <c r="D18" s="82">
        <v>1635.56249</v>
      </c>
      <c r="E18" s="82">
        <v>5402.35934</v>
      </c>
      <c r="F18" s="88">
        <v>596.03413999999998</v>
      </c>
      <c r="G18" s="82">
        <v>2873.1614500000001</v>
      </c>
      <c r="H18" s="82">
        <v>1687.38221</v>
      </c>
      <c r="I18" s="82">
        <v>2593.1494900000002</v>
      </c>
      <c r="J18" s="82">
        <v>2576.29412</v>
      </c>
      <c r="K18" s="82">
        <v>14.123299999999999</v>
      </c>
      <c r="L18" s="82">
        <v>1874.0330900000001</v>
      </c>
    </row>
    <row r="19" spans="1:12" x14ac:dyDescent="0.25">
      <c r="A19" s="83" t="s">
        <v>249</v>
      </c>
      <c r="B19" s="191"/>
      <c r="C19" s="84">
        <v>433.14140000000003</v>
      </c>
      <c r="D19" s="84">
        <v>213.72538</v>
      </c>
      <c r="E19" s="84">
        <v>1350.1025400000001</v>
      </c>
      <c r="F19" s="89">
        <v>9.9773999999999994</v>
      </c>
      <c r="G19" s="84">
        <v>6.6000000000000003E-2</v>
      </c>
      <c r="H19" s="84">
        <v>25.35577</v>
      </c>
      <c r="I19" s="84">
        <v>637.11715000000004</v>
      </c>
      <c r="J19" s="84">
        <v>2128.43833</v>
      </c>
      <c r="K19" s="84">
        <v>154.44200000000001</v>
      </c>
      <c r="L19" s="84">
        <v>17202.876769999999</v>
      </c>
    </row>
    <row r="20" spans="1:12" ht="13.5" thickBot="1" x14ac:dyDescent="0.3">
      <c r="A20" s="85" t="s">
        <v>250</v>
      </c>
      <c r="B20" s="192"/>
      <c r="C20" s="86">
        <v>2333.0752400000001</v>
      </c>
      <c r="D20" s="86">
        <v>1421.8371099999999</v>
      </c>
      <c r="E20" s="86">
        <v>4052.2568000000001</v>
      </c>
      <c r="F20" s="86">
        <v>586.05673999999999</v>
      </c>
      <c r="G20" s="86">
        <v>2873.0954500000003</v>
      </c>
      <c r="H20" s="86">
        <v>1662.0264400000001</v>
      </c>
      <c r="I20" s="86">
        <v>1956.0323400000002</v>
      </c>
      <c r="J20" s="86">
        <v>447.85579000000007</v>
      </c>
      <c r="K20" s="86">
        <v>-140.31870000000001</v>
      </c>
      <c r="L20" s="86">
        <v>-15328.843679999998</v>
      </c>
    </row>
    <row r="21" spans="1:12" x14ac:dyDescent="0.25">
      <c r="A21" s="73" t="s">
        <v>247</v>
      </c>
      <c r="B21" s="187" t="s">
        <v>255</v>
      </c>
      <c r="C21" s="74">
        <v>743.56667000000004</v>
      </c>
      <c r="D21" s="74">
        <v>258.45859999999999</v>
      </c>
      <c r="E21" s="74">
        <v>628.82219999999995</v>
      </c>
      <c r="F21" s="74">
        <v>65.606359999999995</v>
      </c>
      <c r="G21" s="74">
        <v>617.74228000000005</v>
      </c>
      <c r="H21" s="74">
        <v>366.13036999999997</v>
      </c>
      <c r="I21" s="74">
        <v>525.68799999999999</v>
      </c>
      <c r="J21" s="74">
        <v>754.17743000000007</v>
      </c>
      <c r="K21" s="74">
        <v>19.931650000000001</v>
      </c>
      <c r="L21" s="74">
        <v>526.99156000000005</v>
      </c>
    </row>
    <row r="22" spans="1:12" x14ac:dyDescent="0.25">
      <c r="A22" s="76" t="s">
        <v>249</v>
      </c>
      <c r="B22" s="188"/>
      <c r="C22" s="77">
        <v>105.11206</v>
      </c>
      <c r="D22" s="77">
        <v>64.465330000000009</v>
      </c>
      <c r="E22" s="77">
        <v>194.37404999999998</v>
      </c>
      <c r="F22" s="77">
        <v>7.2671999999999999</v>
      </c>
      <c r="G22" s="77">
        <v>0</v>
      </c>
      <c r="H22" s="77">
        <v>3.3820000000000001</v>
      </c>
      <c r="I22" s="77">
        <v>16.868549999999999</v>
      </c>
      <c r="J22" s="77">
        <v>739.09253000000001</v>
      </c>
      <c r="K22" s="77">
        <v>65.574830000000006</v>
      </c>
      <c r="L22" s="77">
        <v>3427.7158999999997</v>
      </c>
    </row>
    <row r="23" spans="1:12" ht="13.5" thickBot="1" x14ac:dyDescent="0.3">
      <c r="A23" s="78" t="s">
        <v>250</v>
      </c>
      <c r="B23" s="189"/>
      <c r="C23" s="79">
        <v>638.45461</v>
      </c>
      <c r="D23" s="79">
        <v>193.99327</v>
      </c>
      <c r="E23" s="79">
        <v>434.44814999999994</v>
      </c>
      <c r="F23" s="79">
        <v>58.339159999999993</v>
      </c>
      <c r="G23" s="79">
        <v>617.74228000000005</v>
      </c>
      <c r="H23" s="79">
        <v>362.74836999999997</v>
      </c>
      <c r="I23" s="79">
        <v>508.81944999999996</v>
      </c>
      <c r="J23" s="79">
        <v>15.084900000000061</v>
      </c>
      <c r="K23" s="79">
        <v>-45.643180000000001</v>
      </c>
      <c r="L23" s="79">
        <v>-2900.7243399999998</v>
      </c>
    </row>
    <row r="24" spans="1:12" x14ac:dyDescent="0.25">
      <c r="A24" s="81" t="s">
        <v>247</v>
      </c>
      <c r="B24" s="190" t="s">
        <v>5</v>
      </c>
      <c r="C24" s="82">
        <v>3285.0431899999999</v>
      </c>
      <c r="D24" s="82">
        <v>3985.4415400000003</v>
      </c>
      <c r="E24" s="82">
        <v>3855.66138</v>
      </c>
      <c r="F24" s="88">
        <v>4942.7328600000001</v>
      </c>
      <c r="G24" s="82">
        <v>5486.4710700000005</v>
      </c>
      <c r="H24" s="82">
        <v>3660.20282</v>
      </c>
      <c r="I24" s="82">
        <v>2884.0826000000002</v>
      </c>
      <c r="J24" s="82">
        <v>4298.0755300000001</v>
      </c>
      <c r="K24" s="82">
        <v>843.6139300000001</v>
      </c>
      <c r="L24" s="82">
        <v>5917.5285899999999</v>
      </c>
    </row>
    <row r="25" spans="1:12" x14ac:dyDescent="0.25">
      <c r="A25" s="83" t="s">
        <v>249</v>
      </c>
      <c r="B25" s="191"/>
      <c r="C25" s="84">
        <v>1692.99324</v>
      </c>
      <c r="D25" s="84">
        <v>1850.3207500000001</v>
      </c>
      <c r="E25" s="84">
        <v>551.69084999999995</v>
      </c>
      <c r="F25" s="89">
        <v>382.08431999999999</v>
      </c>
      <c r="G25" s="84">
        <v>0</v>
      </c>
      <c r="H25" s="84">
        <v>24.326900000000002</v>
      </c>
      <c r="I25" s="84">
        <v>2499.1373199999998</v>
      </c>
      <c r="J25" s="84">
        <v>3695.2275800000002</v>
      </c>
      <c r="K25" s="84">
        <v>498.02598</v>
      </c>
      <c r="L25" s="84">
        <v>30275.19354</v>
      </c>
    </row>
    <row r="26" spans="1:12" ht="13.5" thickBot="1" x14ac:dyDescent="0.3">
      <c r="A26" s="85" t="s">
        <v>250</v>
      </c>
      <c r="B26" s="192"/>
      <c r="C26" s="86">
        <v>1592.0499499999999</v>
      </c>
      <c r="D26" s="86">
        <v>2135.1207899999999</v>
      </c>
      <c r="E26" s="86">
        <v>3303.9705300000001</v>
      </c>
      <c r="F26" s="86">
        <v>4560.6485400000001</v>
      </c>
      <c r="G26" s="86">
        <v>5486.4710700000005</v>
      </c>
      <c r="H26" s="86">
        <v>3635.87592</v>
      </c>
      <c r="I26" s="86">
        <v>384.94528000000037</v>
      </c>
      <c r="J26" s="86">
        <v>602.84794999999986</v>
      </c>
      <c r="K26" s="86">
        <v>345.58795000000009</v>
      </c>
      <c r="L26" s="86">
        <v>-24357.664949999998</v>
      </c>
    </row>
    <row r="27" spans="1:12" x14ac:dyDescent="0.25">
      <c r="A27" s="87" t="s">
        <v>247</v>
      </c>
      <c r="B27" s="187" t="s">
        <v>256</v>
      </c>
      <c r="C27" s="74">
        <v>197.95347000000001</v>
      </c>
      <c r="D27" s="74">
        <v>86.544839999999994</v>
      </c>
      <c r="E27" s="74">
        <v>218.88637</v>
      </c>
      <c r="F27" s="74">
        <v>5.8213500000000007</v>
      </c>
      <c r="G27" s="74">
        <v>142.40851999999998</v>
      </c>
      <c r="H27" s="74">
        <v>130.18191000000002</v>
      </c>
      <c r="I27" s="74">
        <v>191.74293</v>
      </c>
      <c r="J27" s="74">
        <v>348.59870000000001</v>
      </c>
      <c r="K27" s="74">
        <v>26.951779999999999</v>
      </c>
      <c r="L27" s="74">
        <v>171.57779000000002</v>
      </c>
    </row>
    <row r="28" spans="1:12" x14ac:dyDescent="0.25">
      <c r="A28" s="76" t="s">
        <v>249</v>
      </c>
      <c r="B28" s="188"/>
      <c r="C28" s="77">
        <v>28.856009999999998</v>
      </c>
      <c r="D28" s="77">
        <v>8.2067000000000014</v>
      </c>
      <c r="E28" s="77">
        <v>43.4193</v>
      </c>
      <c r="F28" s="77">
        <v>0</v>
      </c>
      <c r="G28" s="77">
        <v>0</v>
      </c>
      <c r="H28" s="77">
        <v>2.2519999999999998</v>
      </c>
      <c r="I28" s="77">
        <v>56.685949999999998</v>
      </c>
      <c r="J28" s="77">
        <v>341.76420000000002</v>
      </c>
      <c r="K28" s="77">
        <v>12.62</v>
      </c>
      <c r="L28" s="77">
        <v>1019.58322</v>
      </c>
    </row>
    <row r="29" spans="1:12" ht="13.5" thickBot="1" x14ac:dyDescent="0.3">
      <c r="A29" s="78" t="s">
        <v>250</v>
      </c>
      <c r="B29" s="189"/>
      <c r="C29" s="79">
        <v>169.09746000000001</v>
      </c>
      <c r="D29" s="79">
        <v>78.338139999999996</v>
      </c>
      <c r="E29" s="79">
        <v>175.46707000000001</v>
      </c>
      <c r="F29" s="79">
        <v>5.8213500000000007</v>
      </c>
      <c r="G29" s="79">
        <v>142.40851999999998</v>
      </c>
      <c r="H29" s="79">
        <v>127.92991000000002</v>
      </c>
      <c r="I29" s="79">
        <v>135.05698000000001</v>
      </c>
      <c r="J29" s="79">
        <v>6.8344999999999914</v>
      </c>
      <c r="K29" s="79">
        <v>14.33178</v>
      </c>
      <c r="L29" s="79">
        <v>-848.00542999999993</v>
      </c>
    </row>
    <row r="30" spans="1:12" x14ac:dyDescent="0.25">
      <c r="A30" s="81" t="s">
        <v>247</v>
      </c>
      <c r="B30" s="190" t="s">
        <v>257</v>
      </c>
      <c r="C30" s="82">
        <v>1174.8890100000001</v>
      </c>
      <c r="D30" s="82">
        <v>312.82916</v>
      </c>
      <c r="E30" s="82">
        <v>1645.9196399999998</v>
      </c>
      <c r="F30" s="88">
        <v>266.22825</v>
      </c>
      <c r="G30" s="82">
        <v>903.00277000000006</v>
      </c>
      <c r="H30" s="82">
        <v>583.28019999999992</v>
      </c>
      <c r="I30" s="82">
        <v>751.97615000000008</v>
      </c>
      <c r="J30" s="82">
        <v>923.78117000000009</v>
      </c>
      <c r="K30" s="82">
        <v>26.704799999999999</v>
      </c>
      <c r="L30" s="82">
        <v>814.07767000000001</v>
      </c>
    </row>
    <row r="31" spans="1:12" x14ac:dyDescent="0.25">
      <c r="A31" s="83" t="s">
        <v>249</v>
      </c>
      <c r="B31" s="191"/>
      <c r="C31" s="84">
        <v>185.00968</v>
      </c>
      <c r="D31" s="84">
        <v>47.555050000000001</v>
      </c>
      <c r="E31" s="84">
        <v>413.21555000000001</v>
      </c>
      <c r="F31" s="89">
        <v>5.2763999999999998</v>
      </c>
      <c r="G31" s="84">
        <v>0</v>
      </c>
      <c r="H31" s="84">
        <v>23.5352</v>
      </c>
      <c r="I31" s="84">
        <v>122.06603</v>
      </c>
      <c r="J31" s="84">
        <v>837.02531999999997</v>
      </c>
      <c r="K31" s="84">
        <v>105.735</v>
      </c>
      <c r="L31" s="84">
        <v>5797.4998900000001</v>
      </c>
    </row>
    <row r="32" spans="1:12" ht="13.5" thickBot="1" x14ac:dyDescent="0.3">
      <c r="A32" s="85" t="s">
        <v>250</v>
      </c>
      <c r="B32" s="192"/>
      <c r="C32" s="86">
        <v>989.8793300000001</v>
      </c>
      <c r="D32" s="86">
        <v>265.27411000000001</v>
      </c>
      <c r="E32" s="86">
        <v>1232.7040899999997</v>
      </c>
      <c r="F32" s="86">
        <v>260.95184999999998</v>
      </c>
      <c r="G32" s="86">
        <v>903.00277000000006</v>
      </c>
      <c r="H32" s="86">
        <v>559.74499999999989</v>
      </c>
      <c r="I32" s="86">
        <v>629.91012000000012</v>
      </c>
      <c r="J32" s="86">
        <v>86.755850000000123</v>
      </c>
      <c r="K32" s="86">
        <v>-79.030200000000008</v>
      </c>
      <c r="L32" s="86">
        <v>-4983.4222200000004</v>
      </c>
    </row>
    <row r="33" spans="1:12" x14ac:dyDescent="0.25">
      <c r="A33" s="73" t="s">
        <v>247</v>
      </c>
      <c r="B33" s="187" t="s">
        <v>6</v>
      </c>
      <c r="C33" s="74">
        <v>2263.1770299999998</v>
      </c>
      <c r="D33" s="74">
        <v>1081.8604399999999</v>
      </c>
      <c r="E33" s="74">
        <v>3478.55665</v>
      </c>
      <c r="F33" s="74">
        <v>903.96487000000002</v>
      </c>
      <c r="G33" s="74">
        <v>3573.9625699999997</v>
      </c>
      <c r="H33" s="74">
        <v>2507.8261200000002</v>
      </c>
      <c r="I33" s="74">
        <v>2311.6185299999997</v>
      </c>
      <c r="J33" s="74">
        <v>1349.6422</v>
      </c>
      <c r="K33" s="74">
        <v>24.084949999999999</v>
      </c>
      <c r="L33" s="74">
        <v>2000.0303799999999</v>
      </c>
    </row>
    <row r="34" spans="1:12" x14ac:dyDescent="0.25">
      <c r="A34" s="76" t="s">
        <v>249</v>
      </c>
      <c r="B34" s="188"/>
      <c r="C34" s="77">
        <v>219.44644</v>
      </c>
      <c r="D34" s="77">
        <v>263.17295000000001</v>
      </c>
      <c r="E34" s="77">
        <v>1011.4215</v>
      </c>
      <c r="F34" s="77">
        <v>125.63380000000001</v>
      </c>
      <c r="G34" s="77">
        <v>0</v>
      </c>
      <c r="H34" s="77">
        <v>34.587199999999996</v>
      </c>
      <c r="I34" s="77">
        <v>270.09883000000002</v>
      </c>
      <c r="J34" s="77">
        <v>1165.86628</v>
      </c>
      <c r="K34" s="77">
        <v>110.96065</v>
      </c>
      <c r="L34" s="77">
        <v>15836.62299</v>
      </c>
    </row>
    <row r="35" spans="1:12" ht="13.5" thickBot="1" x14ac:dyDescent="0.3">
      <c r="A35" s="78" t="s">
        <v>250</v>
      </c>
      <c r="B35" s="189"/>
      <c r="C35" s="79">
        <v>2043.7305899999999</v>
      </c>
      <c r="D35" s="79">
        <v>818.68748999999991</v>
      </c>
      <c r="E35" s="79">
        <v>2467.1351500000001</v>
      </c>
      <c r="F35" s="79">
        <v>778.33106999999995</v>
      </c>
      <c r="G35" s="79">
        <v>3573.9625699999997</v>
      </c>
      <c r="H35" s="79">
        <v>2473.2389200000002</v>
      </c>
      <c r="I35" s="79">
        <v>2041.5196999999998</v>
      </c>
      <c r="J35" s="79">
        <v>183.77592000000004</v>
      </c>
      <c r="K35" s="79">
        <v>-86.875699999999995</v>
      </c>
      <c r="L35" s="79">
        <v>-13836.59261</v>
      </c>
    </row>
    <row r="36" spans="1:12" x14ac:dyDescent="0.25">
      <c r="A36" s="81" t="s">
        <v>247</v>
      </c>
      <c r="B36" s="190" t="s">
        <v>258</v>
      </c>
      <c r="C36" s="82">
        <v>916.93047000000001</v>
      </c>
      <c r="D36" s="82">
        <v>329.34121000000005</v>
      </c>
      <c r="E36" s="82">
        <v>1954.71389</v>
      </c>
      <c r="F36" s="88">
        <v>104.5356</v>
      </c>
      <c r="G36" s="82">
        <v>919.57432999999992</v>
      </c>
      <c r="H36" s="82">
        <v>707.0253100000001</v>
      </c>
      <c r="I36" s="82">
        <v>868.95918999999992</v>
      </c>
      <c r="J36" s="82">
        <v>1174.14229</v>
      </c>
      <c r="K36" s="82">
        <v>5.9463500000000007</v>
      </c>
      <c r="L36" s="82">
        <v>1156.8259499999999</v>
      </c>
    </row>
    <row r="37" spans="1:12" x14ac:dyDescent="0.25">
      <c r="A37" s="83" t="s">
        <v>249</v>
      </c>
      <c r="B37" s="191"/>
      <c r="C37" s="84">
        <v>121.9498</v>
      </c>
      <c r="D37" s="84">
        <v>31.115500000000001</v>
      </c>
      <c r="E37" s="84">
        <v>647.0652</v>
      </c>
      <c r="F37" s="89">
        <v>5.194</v>
      </c>
      <c r="G37" s="84">
        <v>0</v>
      </c>
      <c r="H37" s="84">
        <v>3.1031999999999997</v>
      </c>
      <c r="I37" s="84">
        <v>146.28185000000002</v>
      </c>
      <c r="J37" s="84">
        <v>1028.09494</v>
      </c>
      <c r="K37" s="84">
        <v>65.577429999999993</v>
      </c>
      <c r="L37" s="84">
        <v>6559.70255</v>
      </c>
    </row>
    <row r="38" spans="1:12" ht="13.5" thickBot="1" x14ac:dyDescent="0.3">
      <c r="A38" s="85" t="s">
        <v>250</v>
      </c>
      <c r="B38" s="192"/>
      <c r="C38" s="86">
        <v>794.98067000000003</v>
      </c>
      <c r="D38" s="86">
        <v>298.22571000000005</v>
      </c>
      <c r="E38" s="86">
        <v>1307.64869</v>
      </c>
      <c r="F38" s="86">
        <v>99.3416</v>
      </c>
      <c r="G38" s="86">
        <v>919.57432999999992</v>
      </c>
      <c r="H38" s="86">
        <v>703.92211000000009</v>
      </c>
      <c r="I38" s="86">
        <v>722.67733999999996</v>
      </c>
      <c r="J38" s="86">
        <v>146.04735000000005</v>
      </c>
      <c r="K38" s="86">
        <v>-59.63107999999999</v>
      </c>
      <c r="L38" s="86">
        <v>-5402.8765999999996</v>
      </c>
    </row>
    <row r="39" spans="1:12" x14ac:dyDescent="0.25">
      <c r="A39" s="73" t="s">
        <v>247</v>
      </c>
      <c r="B39" s="187" t="s">
        <v>259</v>
      </c>
      <c r="C39" s="74">
        <v>323.25567000000001</v>
      </c>
      <c r="D39" s="74">
        <v>136.54972000000001</v>
      </c>
      <c r="E39" s="74">
        <v>574.41155000000003</v>
      </c>
      <c r="F39" s="74">
        <v>61.939279999999997</v>
      </c>
      <c r="G39" s="74">
        <v>385.96695</v>
      </c>
      <c r="H39" s="74">
        <v>224.58347000000001</v>
      </c>
      <c r="I39" s="74">
        <v>346.48528999999996</v>
      </c>
      <c r="J39" s="74">
        <v>535.82961</v>
      </c>
      <c r="K39" s="74">
        <v>11.85777</v>
      </c>
      <c r="L39" s="74">
        <v>260.87970000000001</v>
      </c>
    </row>
    <row r="40" spans="1:12" x14ac:dyDescent="0.25">
      <c r="A40" s="76" t="s">
        <v>249</v>
      </c>
      <c r="B40" s="188"/>
      <c r="C40" s="77">
        <v>25.110189999999999</v>
      </c>
      <c r="D40" s="77">
        <v>16.466549999999998</v>
      </c>
      <c r="E40" s="77">
        <v>192.28023999999999</v>
      </c>
      <c r="F40" s="77">
        <v>7.88</v>
      </c>
      <c r="G40" s="77">
        <v>0</v>
      </c>
      <c r="H40" s="77">
        <v>1.68</v>
      </c>
      <c r="I40" s="77">
        <v>8.9333999999999989</v>
      </c>
      <c r="J40" s="77">
        <v>383.33449999999999</v>
      </c>
      <c r="K40" s="77">
        <v>44.079230000000003</v>
      </c>
      <c r="L40" s="77">
        <v>2145.4217799999997</v>
      </c>
    </row>
    <row r="41" spans="1:12" ht="13.5" thickBot="1" x14ac:dyDescent="0.3">
      <c r="A41" s="78" t="s">
        <v>250</v>
      </c>
      <c r="B41" s="189"/>
      <c r="C41" s="79">
        <v>298.14548000000002</v>
      </c>
      <c r="D41" s="79">
        <v>120.08317000000001</v>
      </c>
      <c r="E41" s="79">
        <v>382.13131000000004</v>
      </c>
      <c r="F41" s="79">
        <v>54.059279999999994</v>
      </c>
      <c r="G41" s="79">
        <v>385.96695</v>
      </c>
      <c r="H41" s="79">
        <v>222.90347</v>
      </c>
      <c r="I41" s="79">
        <v>337.55188999999996</v>
      </c>
      <c r="J41" s="79">
        <v>152.49511000000001</v>
      </c>
      <c r="K41" s="79">
        <v>-32.22146</v>
      </c>
      <c r="L41" s="79">
        <v>-1884.5420799999997</v>
      </c>
    </row>
    <row r="42" spans="1:12" x14ac:dyDescent="0.25">
      <c r="A42" s="81" t="s">
        <v>247</v>
      </c>
      <c r="B42" s="190" t="s">
        <v>260</v>
      </c>
      <c r="C42" s="82">
        <v>160.16228000000001</v>
      </c>
      <c r="D42" s="82">
        <v>81.952889999999996</v>
      </c>
      <c r="E42" s="82">
        <v>3.48685</v>
      </c>
      <c r="F42" s="88">
        <v>32.191299999999998</v>
      </c>
      <c r="G42" s="82">
        <v>99.27149</v>
      </c>
      <c r="H42" s="82">
        <v>102.28960000000001</v>
      </c>
      <c r="I42" s="82">
        <v>449.58632</v>
      </c>
      <c r="J42" s="82">
        <v>142.19804999999999</v>
      </c>
      <c r="K42" s="82">
        <v>11.0646</v>
      </c>
      <c r="L42" s="82">
        <v>348.15929</v>
      </c>
    </row>
    <row r="43" spans="1:12" x14ac:dyDescent="0.25">
      <c r="A43" s="83" t="s">
        <v>249</v>
      </c>
      <c r="B43" s="191"/>
      <c r="C43" s="84">
        <v>23.523799999999998</v>
      </c>
      <c r="D43" s="84">
        <v>60.465620000000001</v>
      </c>
      <c r="E43" s="84">
        <v>0</v>
      </c>
      <c r="F43" s="89">
        <v>4</v>
      </c>
      <c r="G43" s="84">
        <v>0</v>
      </c>
      <c r="H43" s="84">
        <v>0.52700000000000002</v>
      </c>
      <c r="I43" s="84">
        <v>59.014000000000003</v>
      </c>
      <c r="J43" s="84">
        <v>109.19964</v>
      </c>
      <c r="K43" s="84">
        <v>48.88</v>
      </c>
      <c r="L43" s="84">
        <v>1179.5917400000001</v>
      </c>
    </row>
    <row r="44" spans="1:12" ht="13.5" thickBot="1" x14ac:dyDescent="0.3">
      <c r="A44" s="85" t="s">
        <v>250</v>
      </c>
      <c r="B44" s="192"/>
      <c r="C44" s="86">
        <v>136.63848000000002</v>
      </c>
      <c r="D44" s="86">
        <v>21.487269999999995</v>
      </c>
      <c r="E44" s="86">
        <v>3.48685</v>
      </c>
      <c r="F44" s="86">
        <v>28.191299999999998</v>
      </c>
      <c r="G44" s="86">
        <v>99.27149</v>
      </c>
      <c r="H44" s="86">
        <v>101.76260000000001</v>
      </c>
      <c r="I44" s="86">
        <v>390.57231999999999</v>
      </c>
      <c r="J44" s="86">
        <v>32.998409999999993</v>
      </c>
      <c r="K44" s="86">
        <v>-37.815400000000004</v>
      </c>
      <c r="L44" s="86">
        <v>-831.43245000000002</v>
      </c>
    </row>
    <row r="45" spans="1:12" x14ac:dyDescent="0.25">
      <c r="A45" s="73" t="s">
        <v>247</v>
      </c>
      <c r="B45" s="187" t="s">
        <v>27</v>
      </c>
      <c r="C45" s="74">
        <v>24462.448270000001</v>
      </c>
      <c r="D45" s="74">
        <v>21348.273850000001</v>
      </c>
      <c r="E45" s="74">
        <v>36877.341690000001</v>
      </c>
      <c r="F45" s="74">
        <v>12844.21997</v>
      </c>
      <c r="G45" s="74">
        <v>62340.594520000006</v>
      </c>
      <c r="H45" s="74">
        <v>17082.22191</v>
      </c>
      <c r="I45" s="74">
        <v>24376.252860000001</v>
      </c>
      <c r="J45" s="74">
        <v>13385.23768</v>
      </c>
      <c r="K45" s="74">
        <v>1346.31792</v>
      </c>
      <c r="L45" s="74">
        <v>26084.413619999999</v>
      </c>
    </row>
    <row r="46" spans="1:12" x14ac:dyDescent="0.25">
      <c r="A46" s="76" t="s">
        <v>249</v>
      </c>
      <c r="B46" s="188"/>
      <c r="C46" s="77">
        <v>5019.5895499999997</v>
      </c>
      <c r="D46" s="77">
        <v>9519.2043699999995</v>
      </c>
      <c r="E46" s="77">
        <v>9571.2922600000002</v>
      </c>
      <c r="F46" s="77">
        <v>2273.8975800000003</v>
      </c>
      <c r="G46" s="77">
        <v>37952.377759999996</v>
      </c>
      <c r="H46" s="77">
        <v>308.89524999999998</v>
      </c>
      <c r="I46" s="77">
        <v>12049.392099999999</v>
      </c>
      <c r="J46" s="77">
        <v>11782.86551</v>
      </c>
      <c r="K46" s="77">
        <v>2064.20858</v>
      </c>
      <c r="L46" s="77">
        <v>147666.96596999999</v>
      </c>
    </row>
    <row r="47" spans="1:12" ht="13.5" thickBot="1" x14ac:dyDescent="0.3">
      <c r="A47" s="78" t="s">
        <v>250</v>
      </c>
      <c r="B47" s="189"/>
      <c r="C47" s="79">
        <v>19442.85872</v>
      </c>
      <c r="D47" s="79">
        <v>11829.069480000002</v>
      </c>
      <c r="E47" s="79">
        <v>27306.049429999999</v>
      </c>
      <c r="F47" s="79">
        <v>10570.322389999999</v>
      </c>
      <c r="G47" s="79">
        <v>24388.21676000001</v>
      </c>
      <c r="H47" s="79">
        <v>16773.326659999999</v>
      </c>
      <c r="I47" s="79">
        <v>12326.860760000001</v>
      </c>
      <c r="J47" s="79">
        <v>1602.3721700000006</v>
      </c>
      <c r="K47" s="79">
        <v>-717.89066000000003</v>
      </c>
      <c r="L47" s="79">
        <v>-121582.55234999998</v>
      </c>
    </row>
    <row r="48" spans="1:12" x14ac:dyDescent="0.25">
      <c r="A48" s="81" t="s">
        <v>247</v>
      </c>
      <c r="B48" s="190" t="s">
        <v>7</v>
      </c>
      <c r="C48" s="82">
        <v>3708.2017000000001</v>
      </c>
      <c r="D48" s="82">
        <v>4713.2367400000003</v>
      </c>
      <c r="E48" s="82">
        <v>5642.4682899999998</v>
      </c>
      <c r="F48" s="88">
        <v>1621.13699</v>
      </c>
      <c r="G48" s="82">
        <v>4038.1474600000001</v>
      </c>
      <c r="H48" s="82">
        <v>2370.40587</v>
      </c>
      <c r="I48" s="82">
        <v>2345.6600600000002</v>
      </c>
      <c r="J48" s="82">
        <v>2253.8254999999999</v>
      </c>
      <c r="K48" s="82">
        <v>199.98681999999999</v>
      </c>
      <c r="L48" s="82">
        <v>2740.4619199999997</v>
      </c>
    </row>
    <row r="49" spans="1:12" x14ac:dyDescent="0.25">
      <c r="A49" s="83" t="s">
        <v>249</v>
      </c>
      <c r="B49" s="191"/>
      <c r="C49" s="84">
        <v>662.08629000000008</v>
      </c>
      <c r="D49" s="84">
        <v>3215.1771600000002</v>
      </c>
      <c r="E49" s="84">
        <v>1336.3851999999999</v>
      </c>
      <c r="F49" s="89">
        <v>315.34084999999999</v>
      </c>
      <c r="G49" s="84">
        <v>12.413950000000002</v>
      </c>
      <c r="H49" s="84">
        <v>133.99054999999998</v>
      </c>
      <c r="I49" s="84">
        <v>825.17087000000004</v>
      </c>
      <c r="J49" s="84">
        <v>2012.6920400000001</v>
      </c>
      <c r="K49" s="84">
        <v>486.83519999999999</v>
      </c>
      <c r="L49" s="84">
        <v>21876.138149999999</v>
      </c>
    </row>
    <row r="50" spans="1:12" ht="13.5" thickBot="1" x14ac:dyDescent="0.3">
      <c r="A50" s="85" t="s">
        <v>250</v>
      </c>
      <c r="B50" s="192"/>
      <c r="C50" s="86">
        <v>3046.1154099999999</v>
      </c>
      <c r="D50" s="86">
        <v>1498.0595800000001</v>
      </c>
      <c r="E50" s="86">
        <v>4306.0830900000001</v>
      </c>
      <c r="F50" s="86">
        <v>1305.7961399999999</v>
      </c>
      <c r="G50" s="86">
        <v>4025.73351</v>
      </c>
      <c r="H50" s="86">
        <v>2236.4153200000001</v>
      </c>
      <c r="I50" s="86">
        <v>1520.4891900000002</v>
      </c>
      <c r="J50" s="86">
        <v>241.13345999999979</v>
      </c>
      <c r="K50" s="86">
        <v>-286.84838000000002</v>
      </c>
      <c r="L50" s="86">
        <v>-19135.676229999997</v>
      </c>
    </row>
    <row r="51" spans="1:12" x14ac:dyDescent="0.25">
      <c r="A51" s="73" t="s">
        <v>247</v>
      </c>
      <c r="B51" s="187" t="s">
        <v>261</v>
      </c>
      <c r="C51" s="74">
        <v>1842.3060399999999</v>
      </c>
      <c r="D51" s="74">
        <v>856.64526999999998</v>
      </c>
      <c r="E51" s="74">
        <v>2584.6965299999997</v>
      </c>
      <c r="F51" s="74">
        <v>397.74083000000002</v>
      </c>
      <c r="G51" s="74">
        <v>2614.7961800000003</v>
      </c>
      <c r="H51" s="74">
        <v>2353.4351099999999</v>
      </c>
      <c r="I51" s="74">
        <v>2152.4415299999996</v>
      </c>
      <c r="J51" s="74">
        <v>2878.1029100000001</v>
      </c>
      <c r="K51" s="74">
        <v>38.654600000000002</v>
      </c>
      <c r="L51" s="74">
        <v>4210.0171399999999</v>
      </c>
    </row>
    <row r="52" spans="1:12" x14ac:dyDescent="0.25">
      <c r="A52" s="76" t="s">
        <v>249</v>
      </c>
      <c r="B52" s="188"/>
      <c r="C52" s="77">
        <v>339.38679999999999</v>
      </c>
      <c r="D52" s="77">
        <v>132.63432999999998</v>
      </c>
      <c r="E52" s="77">
        <v>476.73290000000003</v>
      </c>
      <c r="F52" s="77">
        <v>26.293099999999999</v>
      </c>
      <c r="G52" s="77">
        <v>4.3555000000000001</v>
      </c>
      <c r="H52" s="77">
        <v>66.405649999999994</v>
      </c>
      <c r="I52" s="77">
        <v>254.83742999999998</v>
      </c>
      <c r="J52" s="77">
        <v>2657.04882</v>
      </c>
      <c r="K52" s="77">
        <v>0</v>
      </c>
      <c r="L52" s="77">
        <v>16271.8336</v>
      </c>
    </row>
    <row r="53" spans="1:12" ht="13.5" thickBot="1" x14ac:dyDescent="0.3">
      <c r="A53" s="78" t="s">
        <v>250</v>
      </c>
      <c r="B53" s="189"/>
      <c r="C53" s="79">
        <v>1502.9192399999999</v>
      </c>
      <c r="D53" s="79">
        <v>724.01094000000001</v>
      </c>
      <c r="E53" s="79">
        <v>2107.9636299999997</v>
      </c>
      <c r="F53" s="79">
        <v>371.44773000000004</v>
      </c>
      <c r="G53" s="79">
        <v>2610.4406800000002</v>
      </c>
      <c r="H53" s="79">
        <v>2287.0294599999997</v>
      </c>
      <c r="I53" s="79">
        <v>1897.6040999999996</v>
      </c>
      <c r="J53" s="79">
        <v>221.05409000000009</v>
      </c>
      <c r="K53" s="79">
        <v>38.654600000000002</v>
      </c>
      <c r="L53" s="79">
        <v>-12061.81646</v>
      </c>
    </row>
    <row r="54" spans="1:12" x14ac:dyDescent="0.25">
      <c r="A54" s="81" t="s">
        <v>247</v>
      </c>
      <c r="B54" s="190" t="s">
        <v>262</v>
      </c>
      <c r="C54" s="82">
        <v>880.79131999999993</v>
      </c>
      <c r="D54" s="82">
        <v>179.04804999999999</v>
      </c>
      <c r="E54" s="82">
        <v>477.34934000000004</v>
      </c>
      <c r="F54" s="88">
        <v>478.67595</v>
      </c>
      <c r="G54" s="82">
        <v>962.02781000000004</v>
      </c>
      <c r="H54" s="82">
        <v>742.76634999999999</v>
      </c>
      <c r="I54" s="82">
        <v>667.34616000000005</v>
      </c>
      <c r="J54" s="82">
        <v>860.44434999999999</v>
      </c>
      <c r="K54" s="82">
        <v>134.08395000000002</v>
      </c>
      <c r="L54" s="82">
        <v>1075.7489499999999</v>
      </c>
    </row>
    <row r="55" spans="1:12" x14ac:dyDescent="0.25">
      <c r="A55" s="83" t="s">
        <v>249</v>
      </c>
      <c r="B55" s="191"/>
      <c r="C55" s="84">
        <v>64.311949999999996</v>
      </c>
      <c r="D55" s="84">
        <v>51.987660000000005</v>
      </c>
      <c r="E55" s="84">
        <v>86.736949999999993</v>
      </c>
      <c r="F55" s="89">
        <v>202.59414999999998</v>
      </c>
      <c r="G55" s="84">
        <v>0</v>
      </c>
      <c r="H55" s="84">
        <v>3.012</v>
      </c>
      <c r="I55" s="84">
        <v>165.78182000000001</v>
      </c>
      <c r="J55" s="84">
        <v>766.42094999999995</v>
      </c>
      <c r="K55" s="84">
        <v>20.088000000000001</v>
      </c>
      <c r="L55" s="84">
        <v>5139.5317800000003</v>
      </c>
    </row>
    <row r="56" spans="1:12" ht="13.5" thickBot="1" x14ac:dyDescent="0.3">
      <c r="A56" s="85" t="s">
        <v>250</v>
      </c>
      <c r="B56" s="192"/>
      <c r="C56" s="86">
        <v>816.4793699999999</v>
      </c>
      <c r="D56" s="86">
        <v>127.06038999999998</v>
      </c>
      <c r="E56" s="86">
        <v>390.61239000000006</v>
      </c>
      <c r="F56" s="86">
        <v>276.08180000000004</v>
      </c>
      <c r="G56" s="86">
        <v>962.02781000000004</v>
      </c>
      <c r="H56" s="86">
        <v>739.75435000000004</v>
      </c>
      <c r="I56" s="86">
        <v>501.56434000000002</v>
      </c>
      <c r="J56" s="86">
        <v>94.023400000000038</v>
      </c>
      <c r="K56" s="86">
        <v>113.99595000000002</v>
      </c>
      <c r="L56" s="86">
        <v>-4063.7828300000001</v>
      </c>
    </row>
    <row r="57" spans="1:12" x14ac:dyDescent="0.25">
      <c r="A57" s="73" t="s">
        <v>247</v>
      </c>
      <c r="B57" s="187" t="s">
        <v>263</v>
      </c>
      <c r="C57" s="74">
        <v>1103.6200800000001</v>
      </c>
      <c r="D57" s="74">
        <v>526.82419999999991</v>
      </c>
      <c r="E57" s="74">
        <v>1576.32545</v>
      </c>
      <c r="F57" s="74">
        <v>503.93096000000003</v>
      </c>
      <c r="G57" s="74">
        <v>895.04259999999999</v>
      </c>
      <c r="H57" s="74">
        <v>631.26523999999995</v>
      </c>
      <c r="I57" s="74">
        <v>1652.50315</v>
      </c>
      <c r="J57" s="74">
        <v>1772.7284999999999</v>
      </c>
      <c r="K57" s="74">
        <v>252.69289999999998</v>
      </c>
      <c r="L57" s="74">
        <v>1532.7558799999999</v>
      </c>
    </row>
    <row r="58" spans="1:12" x14ac:dyDescent="0.25">
      <c r="A58" s="76" t="s">
        <v>249</v>
      </c>
      <c r="B58" s="188"/>
      <c r="C58" s="77">
        <v>143.26148999999998</v>
      </c>
      <c r="D58" s="77">
        <v>79.348799999999997</v>
      </c>
      <c r="E58" s="77">
        <v>429.38675000000001</v>
      </c>
      <c r="F58" s="77">
        <v>40.905550000000005</v>
      </c>
      <c r="G58" s="77">
        <v>0</v>
      </c>
      <c r="H58" s="77">
        <v>3.3359999999999999</v>
      </c>
      <c r="I58" s="77">
        <v>375.57774999999998</v>
      </c>
      <c r="J58" s="77">
        <v>1657.2263899999998</v>
      </c>
      <c r="K58" s="77">
        <v>602.89584000000002</v>
      </c>
      <c r="L58" s="77">
        <v>7278.5659100000003</v>
      </c>
    </row>
    <row r="59" spans="1:12" ht="13.5" thickBot="1" x14ac:dyDescent="0.3">
      <c r="A59" s="78" t="s">
        <v>250</v>
      </c>
      <c r="B59" s="189"/>
      <c r="C59" s="79">
        <v>960.35859000000016</v>
      </c>
      <c r="D59" s="79">
        <v>447.47539999999992</v>
      </c>
      <c r="E59" s="79">
        <v>1146.9387000000002</v>
      </c>
      <c r="F59" s="79">
        <v>463.02541000000002</v>
      </c>
      <c r="G59" s="79">
        <v>895.04259999999999</v>
      </c>
      <c r="H59" s="79">
        <v>627.92923999999994</v>
      </c>
      <c r="I59" s="79">
        <v>1276.9254000000001</v>
      </c>
      <c r="J59" s="79">
        <v>115.50211000000013</v>
      </c>
      <c r="K59" s="79">
        <v>-350.20294000000001</v>
      </c>
      <c r="L59" s="79">
        <v>-5745.8100300000006</v>
      </c>
    </row>
    <row r="60" spans="1:12" x14ac:dyDescent="0.25">
      <c r="A60" s="81" t="s">
        <v>247</v>
      </c>
      <c r="B60" s="190" t="s">
        <v>8</v>
      </c>
      <c r="C60" s="82">
        <v>629.94317000000001</v>
      </c>
      <c r="D60" s="82">
        <v>296.21520000000004</v>
      </c>
      <c r="E60" s="82">
        <v>1051.83071</v>
      </c>
      <c r="F60" s="88">
        <v>130.46019999999999</v>
      </c>
      <c r="G60" s="82">
        <v>-198.33414000000002</v>
      </c>
      <c r="H60" s="82">
        <v>114.27264</v>
      </c>
      <c r="I60" s="82">
        <v>367.53245000000004</v>
      </c>
      <c r="J60" s="82">
        <v>566.54273000000001</v>
      </c>
      <c r="K60" s="82">
        <v>45.94547</v>
      </c>
      <c r="L60" s="82">
        <v>1474.90428</v>
      </c>
    </row>
    <row r="61" spans="1:12" x14ac:dyDescent="0.25">
      <c r="A61" s="83" t="s">
        <v>249</v>
      </c>
      <c r="B61" s="191"/>
      <c r="C61" s="84">
        <v>97.532499999999999</v>
      </c>
      <c r="D61" s="84">
        <v>75.44</v>
      </c>
      <c r="E61" s="84">
        <v>296.93354999999997</v>
      </c>
      <c r="F61" s="89">
        <v>1.9217</v>
      </c>
      <c r="G61" s="84">
        <v>1.8954500000000001</v>
      </c>
      <c r="H61" s="84">
        <v>7.46</v>
      </c>
      <c r="I61" s="84">
        <v>134.59975</v>
      </c>
      <c r="J61" s="84">
        <v>510.1388</v>
      </c>
      <c r="K61" s="84">
        <v>138.82939000000002</v>
      </c>
      <c r="L61" s="84">
        <v>3243.8766499999997</v>
      </c>
    </row>
    <row r="62" spans="1:12" ht="13.5" thickBot="1" x14ac:dyDescent="0.3">
      <c r="A62" s="85" t="s">
        <v>250</v>
      </c>
      <c r="B62" s="192"/>
      <c r="C62" s="86">
        <v>532.41066999999998</v>
      </c>
      <c r="D62" s="86">
        <v>220.77520000000004</v>
      </c>
      <c r="E62" s="86">
        <v>754.89715999999999</v>
      </c>
      <c r="F62" s="86">
        <v>128.5385</v>
      </c>
      <c r="G62" s="86">
        <v>-200.22959000000003</v>
      </c>
      <c r="H62" s="86">
        <v>106.81264</v>
      </c>
      <c r="I62" s="86">
        <v>232.93270000000004</v>
      </c>
      <c r="J62" s="86">
        <v>56.403930000000003</v>
      </c>
      <c r="K62" s="86">
        <v>-92.883920000000018</v>
      </c>
      <c r="L62" s="86">
        <v>-1768.9723699999997</v>
      </c>
    </row>
    <row r="63" spans="1:12" x14ac:dyDescent="0.25">
      <c r="A63" s="73" t="s">
        <v>247</v>
      </c>
      <c r="B63" s="187" t="s">
        <v>264</v>
      </c>
      <c r="C63" s="74">
        <v>139.38516000000001</v>
      </c>
      <c r="D63" s="74">
        <v>22.569029999999998</v>
      </c>
      <c r="E63" s="74">
        <v>12.993799999999998</v>
      </c>
      <c r="F63" s="74">
        <v>18.648009999999999</v>
      </c>
      <c r="G63" s="74">
        <v>29.357980000000001</v>
      </c>
      <c r="H63" s="74">
        <v>21.302889999999998</v>
      </c>
      <c r="I63" s="74">
        <v>326.17462</v>
      </c>
      <c r="J63" s="74">
        <v>155.39670000000001</v>
      </c>
      <c r="K63" s="74">
        <v>45.594300000000004</v>
      </c>
      <c r="L63" s="74">
        <v>108.00266999999999</v>
      </c>
    </row>
    <row r="64" spans="1:12" x14ac:dyDescent="0.25">
      <c r="A64" s="76" t="s">
        <v>249</v>
      </c>
      <c r="B64" s="188"/>
      <c r="C64" s="77">
        <v>30.24108</v>
      </c>
      <c r="D64" s="77">
        <v>0.18</v>
      </c>
      <c r="E64" s="77">
        <v>1.75</v>
      </c>
      <c r="F64" s="77">
        <v>0</v>
      </c>
      <c r="G64" s="77">
        <v>0</v>
      </c>
      <c r="H64" s="77">
        <v>0.443</v>
      </c>
      <c r="I64" s="77">
        <v>28.401340000000001</v>
      </c>
      <c r="J64" s="77">
        <v>124.2597</v>
      </c>
      <c r="K64" s="77">
        <v>0</v>
      </c>
      <c r="L64" s="77">
        <v>594.07303999999999</v>
      </c>
    </row>
    <row r="65" spans="1:12" ht="13.5" thickBot="1" x14ac:dyDescent="0.3">
      <c r="A65" s="78" t="s">
        <v>250</v>
      </c>
      <c r="B65" s="189"/>
      <c r="C65" s="79">
        <v>109.14408000000002</v>
      </c>
      <c r="D65" s="79">
        <v>22.389029999999998</v>
      </c>
      <c r="E65" s="79">
        <v>11.243799999999998</v>
      </c>
      <c r="F65" s="79">
        <v>18.648009999999999</v>
      </c>
      <c r="G65" s="79">
        <v>29.357980000000001</v>
      </c>
      <c r="H65" s="79">
        <v>20.859889999999996</v>
      </c>
      <c r="I65" s="79">
        <v>297.77328</v>
      </c>
      <c r="J65" s="79">
        <v>31.137000000000015</v>
      </c>
      <c r="K65" s="79">
        <v>45.594300000000004</v>
      </c>
      <c r="L65" s="79">
        <v>-486.07037000000003</v>
      </c>
    </row>
    <row r="66" spans="1:12" x14ac:dyDescent="0.25">
      <c r="A66" s="81" t="s">
        <v>247</v>
      </c>
      <c r="B66" s="190" t="s">
        <v>265</v>
      </c>
      <c r="C66" s="82">
        <v>1419.0988500000001</v>
      </c>
      <c r="D66" s="82">
        <v>460.31306000000001</v>
      </c>
      <c r="E66" s="82">
        <v>1630.8793899999998</v>
      </c>
      <c r="F66" s="88">
        <v>194.63902999999999</v>
      </c>
      <c r="G66" s="82">
        <v>1097.3580400000001</v>
      </c>
      <c r="H66" s="82">
        <v>567.83316000000002</v>
      </c>
      <c r="I66" s="82">
        <v>1237.7616599999999</v>
      </c>
      <c r="J66" s="82">
        <v>2167.09863</v>
      </c>
      <c r="K66" s="82">
        <v>54.495800000000003</v>
      </c>
      <c r="L66" s="82">
        <v>1375.2296799999999</v>
      </c>
    </row>
    <row r="67" spans="1:12" x14ac:dyDescent="0.25">
      <c r="A67" s="83" t="s">
        <v>249</v>
      </c>
      <c r="B67" s="191"/>
      <c r="C67" s="84">
        <v>137.93154999999999</v>
      </c>
      <c r="D67" s="84">
        <v>56.486150000000002</v>
      </c>
      <c r="E67" s="84">
        <v>405.07729</v>
      </c>
      <c r="F67" s="89">
        <v>5.484</v>
      </c>
      <c r="G67" s="84">
        <v>0</v>
      </c>
      <c r="H67" s="84">
        <v>5.4038999999999993</v>
      </c>
      <c r="I67" s="84">
        <v>65.997470000000007</v>
      </c>
      <c r="J67" s="84">
        <v>1539.20775</v>
      </c>
      <c r="K67" s="84">
        <v>230.822</v>
      </c>
      <c r="L67" s="84">
        <v>7475.5624000000007</v>
      </c>
    </row>
    <row r="68" spans="1:12" ht="13.5" thickBot="1" x14ac:dyDescent="0.3">
      <c r="A68" s="85" t="s">
        <v>250</v>
      </c>
      <c r="B68" s="192"/>
      <c r="C68" s="86">
        <v>1281.1673000000001</v>
      </c>
      <c r="D68" s="86">
        <v>403.82691</v>
      </c>
      <c r="E68" s="86">
        <v>1225.8020999999999</v>
      </c>
      <c r="F68" s="86">
        <v>189.15502999999998</v>
      </c>
      <c r="G68" s="86">
        <v>1097.3580400000001</v>
      </c>
      <c r="H68" s="86">
        <v>562.42926</v>
      </c>
      <c r="I68" s="86">
        <v>1171.7641899999999</v>
      </c>
      <c r="J68" s="86">
        <v>627.89087999999992</v>
      </c>
      <c r="K68" s="86">
        <v>-176.3262</v>
      </c>
      <c r="L68" s="86">
        <v>-6100.3327200000003</v>
      </c>
    </row>
    <row r="69" spans="1:12" x14ac:dyDescent="0.25">
      <c r="A69" s="73" t="s">
        <v>247</v>
      </c>
      <c r="B69" s="187" t="s">
        <v>47</v>
      </c>
      <c r="C69" s="74">
        <v>668.05507999999998</v>
      </c>
      <c r="D69" s="74">
        <v>155.60057999999998</v>
      </c>
      <c r="E69" s="74">
        <v>439.83684999999997</v>
      </c>
      <c r="F69" s="74">
        <v>121.44535</v>
      </c>
      <c r="G69" s="74">
        <v>359.66311999999999</v>
      </c>
      <c r="H69" s="74">
        <v>279.77307999999999</v>
      </c>
      <c r="I69" s="74">
        <v>316.62245000000001</v>
      </c>
      <c r="J69" s="74">
        <v>339.88115000000005</v>
      </c>
      <c r="K69" s="74">
        <v>43.616050000000001</v>
      </c>
      <c r="L69" s="74">
        <v>427.43071999999995</v>
      </c>
    </row>
    <row r="70" spans="1:12" x14ac:dyDescent="0.25">
      <c r="A70" s="76" t="s">
        <v>249</v>
      </c>
      <c r="B70" s="188"/>
      <c r="C70" s="77">
        <v>83.148539999999997</v>
      </c>
      <c r="D70" s="77">
        <v>18.995200000000001</v>
      </c>
      <c r="E70" s="77">
        <v>196.17564999999999</v>
      </c>
      <c r="F70" s="77">
        <v>0.34799999999999998</v>
      </c>
      <c r="G70" s="77">
        <v>0</v>
      </c>
      <c r="H70" s="77">
        <v>1.3248</v>
      </c>
      <c r="I70" s="77">
        <v>150.45155</v>
      </c>
      <c r="J70" s="77">
        <v>366.83555000000001</v>
      </c>
      <c r="K70" s="77">
        <v>52.188000000000002</v>
      </c>
      <c r="L70" s="77">
        <v>2443.1634199999999</v>
      </c>
    </row>
    <row r="71" spans="1:12" ht="13.5" thickBot="1" x14ac:dyDescent="0.3">
      <c r="A71" s="78" t="s">
        <v>250</v>
      </c>
      <c r="B71" s="189"/>
      <c r="C71" s="79">
        <v>584.90653999999995</v>
      </c>
      <c r="D71" s="79">
        <v>136.60537999999997</v>
      </c>
      <c r="E71" s="79">
        <v>243.66119999999998</v>
      </c>
      <c r="F71" s="79">
        <v>121.09735000000001</v>
      </c>
      <c r="G71" s="79">
        <v>359.66311999999999</v>
      </c>
      <c r="H71" s="79">
        <v>278.44828000000001</v>
      </c>
      <c r="I71" s="79">
        <v>166.17090000000002</v>
      </c>
      <c r="J71" s="79">
        <v>-26.954399999999964</v>
      </c>
      <c r="K71" s="79">
        <v>-8.5719500000000011</v>
      </c>
      <c r="L71" s="79">
        <v>-2015.7327</v>
      </c>
    </row>
    <row r="72" spans="1:12" x14ac:dyDescent="0.25">
      <c r="A72" s="81" t="s">
        <v>247</v>
      </c>
      <c r="B72" s="190" t="s">
        <v>266</v>
      </c>
      <c r="C72" s="82">
        <v>1693.5146200000001</v>
      </c>
      <c r="D72" s="82">
        <v>740.63405</v>
      </c>
      <c r="E72" s="82">
        <v>1689.1437100000001</v>
      </c>
      <c r="F72" s="88">
        <v>872.41962000000001</v>
      </c>
      <c r="G72" s="82">
        <v>1301.77801</v>
      </c>
      <c r="H72" s="82">
        <v>900.87081999999998</v>
      </c>
      <c r="I72" s="82">
        <v>1757.6200200000001</v>
      </c>
      <c r="J72" s="82">
        <v>2876.17229</v>
      </c>
      <c r="K72" s="82">
        <v>163.99254999999999</v>
      </c>
      <c r="L72" s="82">
        <v>2098.71967</v>
      </c>
    </row>
    <row r="73" spans="1:12" x14ac:dyDescent="0.25">
      <c r="A73" s="83" t="s">
        <v>249</v>
      </c>
      <c r="B73" s="191"/>
      <c r="C73" s="84">
        <v>365.70752000000005</v>
      </c>
      <c r="D73" s="84">
        <v>196.42607000000001</v>
      </c>
      <c r="E73" s="84">
        <v>441.68945000000002</v>
      </c>
      <c r="F73" s="89">
        <v>154.49341000000001</v>
      </c>
      <c r="G73" s="84">
        <v>0</v>
      </c>
      <c r="H73" s="84">
        <v>6.2953999999999999</v>
      </c>
      <c r="I73" s="84">
        <v>1090.4793100000002</v>
      </c>
      <c r="J73" s="84">
        <v>2847.4301800000003</v>
      </c>
      <c r="K73" s="84">
        <v>195.40299999999999</v>
      </c>
      <c r="L73" s="84">
        <v>9042.7464999999993</v>
      </c>
    </row>
    <row r="74" spans="1:12" ht="13.5" thickBot="1" x14ac:dyDescent="0.3">
      <c r="A74" s="85" t="s">
        <v>250</v>
      </c>
      <c r="B74" s="192"/>
      <c r="C74" s="86">
        <v>1327.8071</v>
      </c>
      <c r="D74" s="86">
        <v>544.20798000000002</v>
      </c>
      <c r="E74" s="86">
        <v>1247.45426</v>
      </c>
      <c r="F74" s="86">
        <v>717.92620999999997</v>
      </c>
      <c r="G74" s="86">
        <v>1301.77801</v>
      </c>
      <c r="H74" s="86">
        <v>894.57542000000001</v>
      </c>
      <c r="I74" s="86">
        <v>667.1407099999999</v>
      </c>
      <c r="J74" s="86">
        <v>28.742109999999684</v>
      </c>
      <c r="K74" s="86">
        <v>-31.410449999999997</v>
      </c>
      <c r="L74" s="86">
        <v>-6944.0268299999989</v>
      </c>
    </row>
    <row r="75" spans="1:12" x14ac:dyDescent="0.25">
      <c r="A75" s="73" t="s">
        <v>247</v>
      </c>
      <c r="B75" s="187" t="s">
        <v>267</v>
      </c>
      <c r="C75" s="74">
        <v>622.21149000000003</v>
      </c>
      <c r="D75" s="74">
        <v>127.64264999999999</v>
      </c>
      <c r="E75" s="74">
        <v>219.7765</v>
      </c>
      <c r="F75" s="74">
        <v>48.131149999999998</v>
      </c>
      <c r="G75" s="74">
        <v>322.67909999999995</v>
      </c>
      <c r="H75" s="74">
        <v>216.77651999999998</v>
      </c>
      <c r="I75" s="74">
        <v>401.12894</v>
      </c>
      <c r="J75" s="74">
        <v>472.86066999999997</v>
      </c>
      <c r="K75" s="74">
        <v>52.5124</v>
      </c>
      <c r="L75" s="74">
        <v>208.9118</v>
      </c>
    </row>
    <row r="76" spans="1:12" x14ac:dyDescent="0.25">
      <c r="A76" s="76" t="s">
        <v>249</v>
      </c>
      <c r="B76" s="188"/>
      <c r="C76" s="77">
        <v>118.58787</v>
      </c>
      <c r="D76" s="77">
        <v>28.882200000000001</v>
      </c>
      <c r="E76" s="77">
        <v>24.595099999999999</v>
      </c>
      <c r="F76" s="77">
        <v>1.95</v>
      </c>
      <c r="G76" s="77">
        <v>0</v>
      </c>
      <c r="H76" s="77">
        <v>1.232</v>
      </c>
      <c r="I76" s="77">
        <v>216.57518999999999</v>
      </c>
      <c r="J76" s="77">
        <v>697.67891000000009</v>
      </c>
      <c r="K76" s="77">
        <v>16.706</v>
      </c>
      <c r="L76" s="77">
        <v>2002.3661299999999</v>
      </c>
    </row>
    <row r="77" spans="1:12" ht="13.5" thickBot="1" x14ac:dyDescent="0.3">
      <c r="A77" s="78" t="s">
        <v>250</v>
      </c>
      <c r="B77" s="189"/>
      <c r="C77" s="79">
        <v>503.62362000000002</v>
      </c>
      <c r="D77" s="79">
        <v>98.760449999999992</v>
      </c>
      <c r="E77" s="79">
        <v>195.1814</v>
      </c>
      <c r="F77" s="79">
        <v>46.181149999999995</v>
      </c>
      <c r="G77" s="79">
        <v>322.67909999999995</v>
      </c>
      <c r="H77" s="79">
        <v>215.54451999999998</v>
      </c>
      <c r="I77" s="79">
        <v>184.55375000000001</v>
      </c>
      <c r="J77" s="79">
        <v>-224.81824000000012</v>
      </c>
      <c r="K77" s="79">
        <v>35.806399999999996</v>
      </c>
      <c r="L77" s="79">
        <v>-1793.4543299999998</v>
      </c>
    </row>
    <row r="78" spans="1:12" x14ac:dyDescent="0.25">
      <c r="A78" s="81" t="s">
        <v>247</v>
      </c>
      <c r="B78" s="190" t="s">
        <v>268</v>
      </c>
      <c r="C78" s="82">
        <v>471.74799000000002</v>
      </c>
      <c r="D78" s="82">
        <v>160.72757999999999</v>
      </c>
      <c r="E78" s="82">
        <v>775.88306999999998</v>
      </c>
      <c r="F78" s="88">
        <v>71.770660000000007</v>
      </c>
      <c r="G78" s="82">
        <v>392.28611000000001</v>
      </c>
      <c r="H78" s="82">
        <v>285.20999</v>
      </c>
      <c r="I78" s="82">
        <v>397.73581999999999</v>
      </c>
      <c r="J78" s="82">
        <v>785.54895999999997</v>
      </c>
      <c r="K78" s="82">
        <v>17.887550000000001</v>
      </c>
      <c r="L78" s="82">
        <v>525.00007999999991</v>
      </c>
    </row>
    <row r="79" spans="1:12" x14ac:dyDescent="0.25">
      <c r="A79" s="83" t="s">
        <v>249</v>
      </c>
      <c r="B79" s="191"/>
      <c r="C79" s="84">
        <v>52.082599999999999</v>
      </c>
      <c r="D79" s="84">
        <v>17.1829</v>
      </c>
      <c r="E79" s="84">
        <v>124.1313</v>
      </c>
      <c r="F79" s="89">
        <v>0</v>
      </c>
      <c r="G79" s="84">
        <v>0</v>
      </c>
      <c r="H79" s="84">
        <v>9.9055999999999997</v>
      </c>
      <c r="I79" s="84">
        <v>102.46357</v>
      </c>
      <c r="J79" s="84">
        <v>668.07646</v>
      </c>
      <c r="K79" s="84">
        <v>65.7</v>
      </c>
      <c r="L79" s="84">
        <v>2863.2938899999999</v>
      </c>
    </row>
    <row r="80" spans="1:12" ht="13.5" thickBot="1" x14ac:dyDescent="0.3">
      <c r="A80" s="85" t="s">
        <v>250</v>
      </c>
      <c r="B80" s="192"/>
      <c r="C80" s="86">
        <v>419.66539</v>
      </c>
      <c r="D80" s="86">
        <v>143.54468</v>
      </c>
      <c r="E80" s="86">
        <v>651.75176999999996</v>
      </c>
      <c r="F80" s="86">
        <v>71.770660000000007</v>
      </c>
      <c r="G80" s="86">
        <v>392.28611000000001</v>
      </c>
      <c r="H80" s="86">
        <v>275.30439000000001</v>
      </c>
      <c r="I80" s="86">
        <v>295.27224999999999</v>
      </c>
      <c r="J80" s="86">
        <v>117.47249999999997</v>
      </c>
      <c r="K80" s="86">
        <v>-47.812449999999998</v>
      </c>
      <c r="L80" s="86">
        <v>-2338.2938100000001</v>
      </c>
    </row>
    <row r="81" spans="1:12" x14ac:dyDescent="0.25">
      <c r="A81" s="73" t="s">
        <v>247</v>
      </c>
      <c r="B81" s="187" t="s">
        <v>269</v>
      </c>
      <c r="C81" s="74">
        <v>900.53716000000009</v>
      </c>
      <c r="D81" s="74">
        <v>397.90165999999999</v>
      </c>
      <c r="E81" s="74">
        <v>1345.71559</v>
      </c>
      <c r="F81" s="74">
        <v>867.88457999999991</v>
      </c>
      <c r="G81" s="74">
        <v>1191.36024</v>
      </c>
      <c r="H81" s="74">
        <v>911.26896999999997</v>
      </c>
      <c r="I81" s="74">
        <v>1305.63724</v>
      </c>
      <c r="J81" s="74">
        <v>1178.03007</v>
      </c>
      <c r="K81" s="74">
        <v>5.85595</v>
      </c>
      <c r="L81" s="74">
        <v>3827.40344</v>
      </c>
    </row>
    <row r="82" spans="1:12" x14ac:dyDescent="0.25">
      <c r="A82" s="76" t="s">
        <v>249</v>
      </c>
      <c r="B82" s="188"/>
      <c r="C82" s="77">
        <v>75.7898</v>
      </c>
      <c r="D82" s="77">
        <v>49.690649999999998</v>
      </c>
      <c r="E82" s="77">
        <v>122.5624</v>
      </c>
      <c r="F82" s="77">
        <v>358.17174999999997</v>
      </c>
      <c r="G82" s="77">
        <v>0.24545</v>
      </c>
      <c r="H82" s="77">
        <v>9.4201499999999996</v>
      </c>
      <c r="I82" s="77">
        <v>492.37609000000003</v>
      </c>
      <c r="J82" s="77">
        <v>971.49898999999994</v>
      </c>
      <c r="K82" s="77">
        <v>34.466000000000001</v>
      </c>
      <c r="L82" s="77">
        <v>7164.9871499999999</v>
      </c>
    </row>
    <row r="83" spans="1:12" ht="13.5" thickBot="1" x14ac:dyDescent="0.3">
      <c r="A83" s="78" t="s">
        <v>250</v>
      </c>
      <c r="B83" s="189"/>
      <c r="C83" s="79">
        <v>824.74736000000007</v>
      </c>
      <c r="D83" s="79">
        <v>348.21100999999999</v>
      </c>
      <c r="E83" s="79">
        <v>1223.15319</v>
      </c>
      <c r="F83" s="79">
        <v>509.71282999999994</v>
      </c>
      <c r="G83" s="79">
        <v>1191.1147900000001</v>
      </c>
      <c r="H83" s="79">
        <v>901.84881999999993</v>
      </c>
      <c r="I83" s="79">
        <v>813.26115000000004</v>
      </c>
      <c r="J83" s="79">
        <v>206.53108000000009</v>
      </c>
      <c r="K83" s="79">
        <v>-28.610050000000001</v>
      </c>
      <c r="L83" s="79">
        <v>-3337.5837099999999</v>
      </c>
    </row>
    <row r="84" spans="1:12" x14ac:dyDescent="0.25">
      <c r="A84" s="81" t="s">
        <v>247</v>
      </c>
      <c r="B84" s="190" t="s">
        <v>270</v>
      </c>
      <c r="C84" s="82">
        <v>1260.0853100000002</v>
      </c>
      <c r="D84" s="82">
        <v>928.27814999999998</v>
      </c>
      <c r="E84" s="82">
        <v>3059.9903999999997</v>
      </c>
      <c r="F84" s="88">
        <v>293.6062</v>
      </c>
      <c r="G84" s="82">
        <v>1732.43461</v>
      </c>
      <c r="H84" s="82">
        <v>1247.06276</v>
      </c>
      <c r="I84" s="82">
        <v>1580.16805</v>
      </c>
      <c r="J84" s="82">
        <v>1827.62816</v>
      </c>
      <c r="K84" s="82">
        <v>19.957799999999999</v>
      </c>
      <c r="L84" s="82">
        <v>1673.31466</v>
      </c>
    </row>
    <row r="85" spans="1:12" x14ac:dyDescent="0.25">
      <c r="A85" s="83" t="s">
        <v>249</v>
      </c>
      <c r="B85" s="191"/>
      <c r="C85" s="84">
        <v>152.7319</v>
      </c>
      <c r="D85" s="84">
        <v>180.85315</v>
      </c>
      <c r="E85" s="84">
        <v>780.8759</v>
      </c>
      <c r="F85" s="89">
        <v>2.6883000000000004</v>
      </c>
      <c r="G85" s="84">
        <v>7.7098500000000003</v>
      </c>
      <c r="H85" s="84">
        <v>6.1832000000000003</v>
      </c>
      <c r="I85" s="84">
        <v>680.47709999999995</v>
      </c>
      <c r="J85" s="84">
        <v>1729.68479</v>
      </c>
      <c r="K85" s="84">
        <v>169.58265</v>
      </c>
      <c r="L85" s="84">
        <v>10204.69333</v>
      </c>
    </row>
    <row r="86" spans="1:12" ht="13.5" thickBot="1" x14ac:dyDescent="0.3">
      <c r="A86" s="85" t="s">
        <v>250</v>
      </c>
      <c r="B86" s="192"/>
      <c r="C86" s="86">
        <v>1107.3534100000002</v>
      </c>
      <c r="D86" s="86">
        <v>747.42499999999995</v>
      </c>
      <c r="E86" s="86">
        <v>2279.1144999999997</v>
      </c>
      <c r="F86" s="86">
        <v>290.91789999999997</v>
      </c>
      <c r="G86" s="86">
        <v>1724.7247600000001</v>
      </c>
      <c r="H86" s="86">
        <v>1240.8795600000001</v>
      </c>
      <c r="I86" s="86">
        <v>899.69095000000004</v>
      </c>
      <c r="J86" s="86">
        <v>97.943369999999959</v>
      </c>
      <c r="K86" s="86">
        <v>-149.62485000000001</v>
      </c>
      <c r="L86" s="86">
        <v>-8531.3786700000001</v>
      </c>
    </row>
    <row r="87" spans="1:12" x14ac:dyDescent="0.25">
      <c r="A87" s="73" t="s">
        <v>247</v>
      </c>
      <c r="B87" s="187" t="s">
        <v>9</v>
      </c>
      <c r="C87" s="74">
        <v>160.97792000000001</v>
      </c>
      <c r="D87" s="74">
        <v>31.93216</v>
      </c>
      <c r="E87" s="74">
        <v>0.12</v>
      </c>
      <c r="F87" s="74">
        <v>13.363250000000001</v>
      </c>
      <c r="G87" s="74">
        <v>21.711680000000001</v>
      </c>
      <c r="H87" s="74">
        <v>28.488409999999998</v>
      </c>
      <c r="I87" s="74">
        <v>130.36375000000001</v>
      </c>
      <c r="J87" s="74">
        <v>76.898179999999996</v>
      </c>
      <c r="K87" s="74">
        <v>13.44435</v>
      </c>
      <c r="L87" s="74">
        <v>77.807369999999992</v>
      </c>
    </row>
    <row r="88" spans="1:12" x14ac:dyDescent="0.25">
      <c r="A88" s="76" t="s">
        <v>249</v>
      </c>
      <c r="B88" s="188"/>
      <c r="C88" s="77">
        <v>17.488849999999999</v>
      </c>
      <c r="D88" s="77">
        <v>2.3470500000000003</v>
      </c>
      <c r="E88" s="77">
        <v>0</v>
      </c>
      <c r="F88" s="77">
        <v>0</v>
      </c>
      <c r="G88" s="77">
        <v>0</v>
      </c>
      <c r="H88" s="77">
        <v>0.58599999999999997</v>
      </c>
      <c r="I88" s="77">
        <v>6.0945</v>
      </c>
      <c r="J88" s="77">
        <v>53.69435</v>
      </c>
      <c r="K88" s="77">
        <v>24.46</v>
      </c>
      <c r="L88" s="77">
        <v>702.99785999999995</v>
      </c>
    </row>
    <row r="89" spans="1:12" ht="13.5" thickBot="1" x14ac:dyDescent="0.3">
      <c r="A89" s="78" t="s">
        <v>250</v>
      </c>
      <c r="B89" s="189"/>
      <c r="C89" s="79">
        <v>143.48907000000003</v>
      </c>
      <c r="D89" s="79">
        <v>29.58511</v>
      </c>
      <c r="E89" s="79">
        <v>0.12</v>
      </c>
      <c r="F89" s="79">
        <v>13.363250000000001</v>
      </c>
      <c r="G89" s="79">
        <v>21.711680000000001</v>
      </c>
      <c r="H89" s="79">
        <v>27.90241</v>
      </c>
      <c r="I89" s="79">
        <v>124.26925000000001</v>
      </c>
      <c r="J89" s="79">
        <v>23.203829999999996</v>
      </c>
      <c r="K89" s="79">
        <v>-11.015650000000001</v>
      </c>
      <c r="L89" s="79">
        <v>-625.19048999999995</v>
      </c>
    </row>
    <row r="90" spans="1:12" x14ac:dyDescent="0.25">
      <c r="A90" s="81" t="s">
        <v>247</v>
      </c>
      <c r="B90" s="193" t="s">
        <v>10</v>
      </c>
      <c r="C90" s="82">
        <v>1443.40023</v>
      </c>
      <c r="D90" s="82">
        <v>652.83717000000001</v>
      </c>
      <c r="E90" s="82">
        <v>2049.4438</v>
      </c>
      <c r="F90" s="88">
        <v>413.12344999999999</v>
      </c>
      <c r="G90" s="82">
        <v>1505.89859</v>
      </c>
      <c r="H90" s="82">
        <v>1151.8066299999998</v>
      </c>
      <c r="I90" s="82">
        <v>958.36673999999994</v>
      </c>
      <c r="J90" s="82">
        <v>766.42246999999998</v>
      </c>
      <c r="K90" s="82">
        <v>16.525400000000001</v>
      </c>
      <c r="L90" s="82">
        <v>1130.7452800000001</v>
      </c>
    </row>
    <row r="91" spans="1:12" x14ac:dyDescent="0.25">
      <c r="A91" s="83" t="s">
        <v>249</v>
      </c>
      <c r="B91" s="194"/>
      <c r="C91" s="84">
        <v>116.46730000000001</v>
      </c>
      <c r="D91" s="84">
        <v>32.444699999999997</v>
      </c>
      <c r="E91" s="84">
        <v>387.85374999999999</v>
      </c>
      <c r="F91" s="89">
        <v>66.319800000000001</v>
      </c>
      <c r="G91" s="84">
        <v>3.7330000000000001</v>
      </c>
      <c r="H91" s="84">
        <v>4.5430000000000001</v>
      </c>
      <c r="I91" s="84">
        <v>217.79920000000001</v>
      </c>
      <c r="J91" s="84">
        <v>591.91419999999994</v>
      </c>
      <c r="K91" s="84">
        <v>35.680999999999997</v>
      </c>
      <c r="L91" s="84">
        <v>8524.4791800000003</v>
      </c>
    </row>
    <row r="92" spans="1:12" ht="13.5" thickBot="1" x14ac:dyDescent="0.3">
      <c r="A92" s="85" t="s">
        <v>250</v>
      </c>
      <c r="B92" s="195"/>
      <c r="C92" s="86">
        <v>1326.9329299999999</v>
      </c>
      <c r="D92" s="86">
        <v>620.39247</v>
      </c>
      <c r="E92" s="86">
        <v>1661.59005</v>
      </c>
      <c r="F92" s="86">
        <v>346.80365</v>
      </c>
      <c r="G92" s="86">
        <v>1502.1655900000001</v>
      </c>
      <c r="H92" s="86">
        <v>1147.2636299999999</v>
      </c>
      <c r="I92" s="86">
        <v>740.56753999999989</v>
      </c>
      <c r="J92" s="86">
        <v>174.50827000000004</v>
      </c>
      <c r="K92" s="86">
        <v>-19.155599999999996</v>
      </c>
      <c r="L92" s="86">
        <v>-7393.7339000000002</v>
      </c>
    </row>
    <row r="93" spans="1:12" x14ac:dyDescent="0.25">
      <c r="A93" s="73" t="s">
        <v>247</v>
      </c>
      <c r="B93" s="187" t="s">
        <v>271</v>
      </c>
      <c r="C93" s="74">
        <v>3831.9313199999997</v>
      </c>
      <c r="D93" s="74">
        <v>2840.1079500000001</v>
      </c>
      <c r="E93" s="74">
        <v>6288.3393499999993</v>
      </c>
      <c r="F93" s="74">
        <v>2212.9306499999998</v>
      </c>
      <c r="G93" s="74">
        <v>3950.3475400000002</v>
      </c>
      <c r="H93" s="74">
        <v>3205.9835600000001</v>
      </c>
      <c r="I93" s="74">
        <v>3183.0129500000003</v>
      </c>
      <c r="J93" s="74">
        <v>4710.50389</v>
      </c>
      <c r="K93" s="74">
        <v>76.163800000000009</v>
      </c>
      <c r="L93" s="74">
        <v>4131.6413599999996</v>
      </c>
    </row>
    <row r="94" spans="1:12" x14ac:dyDescent="0.25">
      <c r="A94" s="76" t="s">
        <v>249</v>
      </c>
      <c r="B94" s="188"/>
      <c r="C94" s="77">
        <v>1222.98713</v>
      </c>
      <c r="D94" s="77">
        <v>1392.4936699999998</v>
      </c>
      <c r="E94" s="77">
        <v>1585.02628</v>
      </c>
      <c r="F94" s="77">
        <v>808.52545999999995</v>
      </c>
      <c r="G94" s="77">
        <v>0</v>
      </c>
      <c r="H94" s="77">
        <v>792.68790000000001</v>
      </c>
      <c r="I94" s="77">
        <v>773.23302000000001</v>
      </c>
      <c r="J94" s="77">
        <v>4217.6144199999999</v>
      </c>
      <c r="K94" s="77">
        <v>248.65223999999998</v>
      </c>
      <c r="L94" s="77">
        <v>23889.484499999999</v>
      </c>
    </row>
    <row r="95" spans="1:12" ht="13.5" thickBot="1" x14ac:dyDescent="0.3">
      <c r="A95" s="78" t="s">
        <v>250</v>
      </c>
      <c r="B95" s="189"/>
      <c r="C95" s="79">
        <v>2608.9441899999997</v>
      </c>
      <c r="D95" s="79">
        <v>1447.6142800000002</v>
      </c>
      <c r="E95" s="79">
        <v>4703.3130699999992</v>
      </c>
      <c r="F95" s="79">
        <v>1404.4051899999999</v>
      </c>
      <c r="G95" s="79">
        <v>3950.3475400000002</v>
      </c>
      <c r="H95" s="79">
        <v>2413.2956600000002</v>
      </c>
      <c r="I95" s="79">
        <v>2409.7799300000001</v>
      </c>
      <c r="J95" s="79">
        <v>492.88947000000007</v>
      </c>
      <c r="K95" s="79">
        <v>-172.48843999999997</v>
      </c>
      <c r="L95" s="79">
        <v>-19757.843139999997</v>
      </c>
    </row>
    <row r="96" spans="1:12" x14ac:dyDescent="0.25">
      <c r="A96" s="81" t="s">
        <v>247</v>
      </c>
      <c r="B96" s="193" t="s">
        <v>272</v>
      </c>
      <c r="C96" s="82">
        <v>2219.0294800000001</v>
      </c>
      <c r="D96" s="82">
        <v>2600.74782</v>
      </c>
      <c r="E96" s="82">
        <v>2989.67</v>
      </c>
      <c r="F96" s="88">
        <v>636.75861999999995</v>
      </c>
      <c r="G96" s="82">
        <v>2685.38409</v>
      </c>
      <c r="H96" s="82">
        <v>2604.4510399999999</v>
      </c>
      <c r="I96" s="82">
        <v>1127.6911599999999</v>
      </c>
      <c r="J96" s="82">
        <v>3064.6407400000003</v>
      </c>
      <c r="K96" s="82">
        <v>68.995050000000006</v>
      </c>
      <c r="L96" s="82">
        <v>2012.80924</v>
      </c>
    </row>
    <row r="97" spans="1:12" x14ac:dyDescent="0.25">
      <c r="A97" s="83" t="s">
        <v>249</v>
      </c>
      <c r="B97" s="194"/>
      <c r="C97" s="84">
        <v>293.21224999999998</v>
      </c>
      <c r="D97" s="84">
        <v>1412.34536</v>
      </c>
      <c r="E97" s="84">
        <v>804.15700000000004</v>
      </c>
      <c r="F97" s="89">
        <v>22.430949999999999</v>
      </c>
      <c r="G97" s="84">
        <v>0</v>
      </c>
      <c r="H97" s="84">
        <v>894.01758999999993</v>
      </c>
      <c r="I97" s="84">
        <v>411.01753000000002</v>
      </c>
      <c r="J97" s="84">
        <v>2664.22192</v>
      </c>
      <c r="K97" s="84">
        <v>123.19114</v>
      </c>
      <c r="L97" s="84">
        <v>13334.214619999999</v>
      </c>
    </row>
    <row r="98" spans="1:12" ht="13.5" thickBot="1" x14ac:dyDescent="0.3">
      <c r="A98" s="85" t="s">
        <v>250</v>
      </c>
      <c r="B98" s="195"/>
      <c r="C98" s="86">
        <v>1925.8172300000001</v>
      </c>
      <c r="D98" s="86">
        <v>1188.40246</v>
      </c>
      <c r="E98" s="86">
        <v>2185.5129999999999</v>
      </c>
      <c r="F98" s="86">
        <v>614.3276699999999</v>
      </c>
      <c r="G98" s="86">
        <v>2685.38409</v>
      </c>
      <c r="H98" s="86">
        <v>1710.43345</v>
      </c>
      <c r="I98" s="86">
        <v>716.67362999999978</v>
      </c>
      <c r="J98" s="86">
        <v>400.41882000000032</v>
      </c>
      <c r="K98" s="86">
        <v>-54.196089999999998</v>
      </c>
      <c r="L98" s="86">
        <v>-11321.405379999998</v>
      </c>
    </row>
    <row r="99" spans="1:12" x14ac:dyDescent="0.25">
      <c r="A99" s="73" t="s">
        <v>247</v>
      </c>
      <c r="B99" s="187" t="s">
        <v>273</v>
      </c>
      <c r="C99" s="74">
        <v>1575.2372600000001</v>
      </c>
      <c r="D99" s="74">
        <v>703.12668999999994</v>
      </c>
      <c r="E99" s="74">
        <v>2233.3440499999997</v>
      </c>
      <c r="F99" s="74">
        <v>688.59093999999993</v>
      </c>
      <c r="G99" s="74">
        <v>1844.1948300000001</v>
      </c>
      <c r="H99" s="74">
        <v>1320.0595900000001</v>
      </c>
      <c r="I99" s="74">
        <v>1225.9841999999999</v>
      </c>
      <c r="J99" s="74">
        <v>1857.4377400000001</v>
      </c>
      <c r="K99" s="74">
        <v>38.479050000000001</v>
      </c>
      <c r="L99" s="74">
        <v>3433.81149</v>
      </c>
    </row>
    <row r="100" spans="1:12" x14ac:dyDescent="0.25">
      <c r="A100" s="76" t="s">
        <v>249</v>
      </c>
      <c r="B100" s="188"/>
      <c r="C100" s="77">
        <v>165.85695000000001</v>
      </c>
      <c r="D100" s="77">
        <v>136.39464000000001</v>
      </c>
      <c r="E100" s="77">
        <v>321.52515999999997</v>
      </c>
      <c r="F100" s="77">
        <v>12.396240000000001</v>
      </c>
      <c r="G100" s="77">
        <v>2.7727499999999998</v>
      </c>
      <c r="H100" s="77">
        <v>4.4513999999999996</v>
      </c>
      <c r="I100" s="77">
        <v>163.86688000000001</v>
      </c>
      <c r="J100" s="77">
        <v>1559.4506100000001</v>
      </c>
      <c r="K100" s="77">
        <v>125.7492</v>
      </c>
      <c r="L100" s="77">
        <v>9501.4292499999992</v>
      </c>
    </row>
    <row r="101" spans="1:12" ht="13.5" thickBot="1" x14ac:dyDescent="0.3">
      <c r="A101" s="78" t="s">
        <v>250</v>
      </c>
      <c r="B101" s="189"/>
      <c r="C101" s="79">
        <v>1409.38031</v>
      </c>
      <c r="D101" s="79">
        <v>566.73204999999996</v>
      </c>
      <c r="E101" s="79">
        <v>1911.8188899999998</v>
      </c>
      <c r="F101" s="79">
        <v>676.1946999999999</v>
      </c>
      <c r="G101" s="79">
        <v>1841.4220800000001</v>
      </c>
      <c r="H101" s="79">
        <v>1315.6081900000001</v>
      </c>
      <c r="I101" s="79">
        <v>1062.1173199999998</v>
      </c>
      <c r="J101" s="79">
        <v>297.98712999999998</v>
      </c>
      <c r="K101" s="79">
        <v>-87.270150000000001</v>
      </c>
      <c r="L101" s="79">
        <v>-6067.6177599999992</v>
      </c>
    </row>
    <row r="102" spans="1:12" x14ac:dyDescent="0.25">
      <c r="A102" s="81" t="s">
        <v>247</v>
      </c>
      <c r="B102" s="193" t="s">
        <v>274</v>
      </c>
      <c r="C102" s="82">
        <v>710.67912000000001</v>
      </c>
      <c r="D102" s="82">
        <v>410.74721999999997</v>
      </c>
      <c r="E102" s="82">
        <v>949.79610000000002</v>
      </c>
      <c r="F102" s="88">
        <v>249.53327999999999</v>
      </c>
      <c r="G102" s="82">
        <v>642.99007999999992</v>
      </c>
      <c r="H102" s="82">
        <v>401.61365999999998</v>
      </c>
      <c r="I102" s="82">
        <v>1314.94794</v>
      </c>
      <c r="J102" s="82">
        <v>1411.97874</v>
      </c>
      <c r="K102" s="82">
        <v>71.53398</v>
      </c>
      <c r="L102" s="82">
        <v>936.41697999999997</v>
      </c>
    </row>
    <row r="103" spans="1:12" x14ac:dyDescent="0.25">
      <c r="A103" s="83" t="s">
        <v>249</v>
      </c>
      <c r="B103" s="194"/>
      <c r="C103" s="84">
        <v>196.87870000000001</v>
      </c>
      <c r="D103" s="84">
        <v>83.917149999999992</v>
      </c>
      <c r="E103" s="84">
        <v>283.77179999999998</v>
      </c>
      <c r="F103" s="89">
        <v>0</v>
      </c>
      <c r="G103" s="84">
        <v>0</v>
      </c>
      <c r="H103" s="84">
        <v>2.2719999999999998</v>
      </c>
      <c r="I103" s="84">
        <v>918.44981999999993</v>
      </c>
      <c r="J103" s="84">
        <v>1336.0903899999998</v>
      </c>
      <c r="K103" s="84">
        <v>83.911469999999994</v>
      </c>
      <c r="L103" s="84">
        <v>4373.7460899999996</v>
      </c>
    </row>
    <row r="104" spans="1:12" ht="13.5" thickBot="1" x14ac:dyDescent="0.3">
      <c r="A104" s="85" t="s">
        <v>250</v>
      </c>
      <c r="B104" s="195"/>
      <c r="C104" s="86">
        <v>513.80042000000003</v>
      </c>
      <c r="D104" s="86">
        <v>326.83006999999998</v>
      </c>
      <c r="E104" s="86">
        <v>666.02430000000004</v>
      </c>
      <c r="F104" s="86">
        <v>249.53327999999999</v>
      </c>
      <c r="G104" s="86">
        <v>642.99007999999992</v>
      </c>
      <c r="H104" s="86">
        <v>399.34165999999999</v>
      </c>
      <c r="I104" s="86">
        <v>396.49812000000009</v>
      </c>
      <c r="J104" s="86">
        <v>75.888350000000173</v>
      </c>
      <c r="K104" s="86">
        <v>-12.377489999999995</v>
      </c>
      <c r="L104" s="86">
        <v>-3437.3291099999997</v>
      </c>
    </row>
    <row r="105" spans="1:12" x14ac:dyDescent="0.25">
      <c r="A105" s="73" t="s">
        <v>247</v>
      </c>
      <c r="B105" s="187" t="s">
        <v>275</v>
      </c>
      <c r="C105" s="74">
        <v>117.49774000000001</v>
      </c>
      <c r="D105" s="74">
        <v>17.225300000000001</v>
      </c>
      <c r="E105" s="74">
        <v>0</v>
      </c>
      <c r="F105" s="74">
        <v>16.6023</v>
      </c>
      <c r="G105" s="74">
        <v>21.875139999999998</v>
      </c>
      <c r="H105" s="74">
        <v>12.746259999999999</v>
      </c>
      <c r="I105" s="74">
        <v>101.13285</v>
      </c>
      <c r="J105" s="74">
        <v>88.919070000000005</v>
      </c>
      <c r="K105" s="74">
        <v>8.1286000000000005</v>
      </c>
      <c r="L105" s="74">
        <v>110.87871000000001</v>
      </c>
    </row>
    <row r="106" spans="1:12" x14ac:dyDescent="0.25">
      <c r="A106" s="76" t="s">
        <v>249</v>
      </c>
      <c r="B106" s="188"/>
      <c r="C106" s="77">
        <v>0.91985000000000006</v>
      </c>
      <c r="D106" s="77">
        <v>15.0855</v>
      </c>
      <c r="E106" s="77">
        <v>4.6399999999999997</v>
      </c>
      <c r="F106" s="77">
        <v>0</v>
      </c>
      <c r="G106" s="77">
        <v>0</v>
      </c>
      <c r="H106" s="77">
        <v>0.45739999999999997</v>
      </c>
      <c r="I106" s="77">
        <v>13.757999999999999</v>
      </c>
      <c r="J106" s="77">
        <v>88.540120000000002</v>
      </c>
      <c r="K106" s="77">
        <v>0</v>
      </c>
      <c r="L106" s="77">
        <v>348.59021000000001</v>
      </c>
    </row>
    <row r="107" spans="1:12" ht="13.5" thickBot="1" x14ac:dyDescent="0.3">
      <c r="A107" s="78" t="s">
        <v>250</v>
      </c>
      <c r="B107" s="189"/>
      <c r="C107" s="79">
        <v>116.57789000000001</v>
      </c>
      <c r="D107" s="79">
        <v>2.139800000000001</v>
      </c>
      <c r="E107" s="79">
        <v>-4.6399999999999997</v>
      </c>
      <c r="F107" s="79">
        <v>16.6023</v>
      </c>
      <c r="G107" s="79">
        <v>21.875139999999998</v>
      </c>
      <c r="H107" s="79">
        <v>12.28886</v>
      </c>
      <c r="I107" s="79">
        <v>87.374850000000009</v>
      </c>
      <c r="J107" s="79">
        <v>0.37895000000000323</v>
      </c>
      <c r="K107" s="79">
        <v>8.1286000000000005</v>
      </c>
      <c r="L107" s="79">
        <v>-237.7115</v>
      </c>
    </row>
    <row r="108" spans="1:12" x14ac:dyDescent="0.25">
      <c r="A108" s="81" t="s">
        <v>247</v>
      </c>
      <c r="B108" s="193" t="s">
        <v>276</v>
      </c>
      <c r="C108" s="82">
        <v>1269.2153799999999</v>
      </c>
      <c r="D108" s="82">
        <v>231.25452999999999</v>
      </c>
      <c r="E108" s="82">
        <v>1219.89534</v>
      </c>
      <c r="F108" s="88">
        <v>191.31994</v>
      </c>
      <c r="G108" s="82">
        <v>588.30276000000003</v>
      </c>
      <c r="H108" s="82">
        <v>498.95072999999996</v>
      </c>
      <c r="I108" s="82">
        <v>856.49297999999999</v>
      </c>
      <c r="J108" s="82">
        <v>1009.7994399999999</v>
      </c>
      <c r="K108" s="82">
        <v>85.403660000000002</v>
      </c>
      <c r="L108" s="82">
        <v>1038.2285200000001</v>
      </c>
    </row>
    <row r="109" spans="1:12" x14ac:dyDescent="0.25">
      <c r="A109" s="83" t="s">
        <v>249</v>
      </c>
      <c r="B109" s="194"/>
      <c r="C109" s="84">
        <v>159.79400000000001</v>
      </c>
      <c r="D109" s="84">
        <v>71.039199999999994</v>
      </c>
      <c r="E109" s="84">
        <v>455.04622999999998</v>
      </c>
      <c r="F109" s="89">
        <v>33.855699999999999</v>
      </c>
      <c r="G109" s="84">
        <v>0</v>
      </c>
      <c r="H109" s="84">
        <v>109.44045</v>
      </c>
      <c r="I109" s="84">
        <v>260.59033999999997</v>
      </c>
      <c r="J109" s="84">
        <v>878.79158999999993</v>
      </c>
      <c r="K109" s="84">
        <v>155.03385</v>
      </c>
      <c r="L109" s="84">
        <v>4538.1610300000002</v>
      </c>
    </row>
    <row r="110" spans="1:12" ht="13.5" thickBot="1" x14ac:dyDescent="0.3">
      <c r="A110" s="85" t="s">
        <v>250</v>
      </c>
      <c r="B110" s="195"/>
      <c r="C110" s="86">
        <v>1109.4213799999998</v>
      </c>
      <c r="D110" s="86">
        <v>160.21532999999999</v>
      </c>
      <c r="E110" s="86">
        <v>764.84911000000011</v>
      </c>
      <c r="F110" s="86">
        <v>157.46424000000002</v>
      </c>
      <c r="G110" s="86">
        <v>588.30276000000003</v>
      </c>
      <c r="H110" s="86">
        <v>389.51027999999997</v>
      </c>
      <c r="I110" s="86">
        <v>595.90264000000002</v>
      </c>
      <c r="J110" s="86">
        <v>131.00784999999996</v>
      </c>
      <c r="K110" s="86">
        <v>-69.630189999999999</v>
      </c>
      <c r="L110" s="86">
        <v>-3499.9325100000001</v>
      </c>
    </row>
    <row r="111" spans="1:12" x14ac:dyDescent="0.25">
      <c r="A111" s="73" t="s">
        <v>247</v>
      </c>
      <c r="B111" s="187" t="s">
        <v>11</v>
      </c>
      <c r="C111" s="74">
        <v>5781.1124600000003</v>
      </c>
      <c r="D111" s="74">
        <v>8532.6078300000008</v>
      </c>
      <c r="E111" s="74">
        <v>6460.6673600000004</v>
      </c>
      <c r="F111" s="74">
        <v>8079.0553899999995</v>
      </c>
      <c r="G111" s="74">
        <v>23865.914690000001</v>
      </c>
      <c r="H111" s="74">
        <v>7501.6873399999995</v>
      </c>
      <c r="I111" s="74">
        <v>4832.1354099999999</v>
      </c>
      <c r="J111" s="74">
        <v>2997.6513199999999</v>
      </c>
      <c r="K111" s="74">
        <v>553.71090000000004</v>
      </c>
      <c r="L111" s="74">
        <v>7067.8898600000002</v>
      </c>
    </row>
    <row r="112" spans="1:12" x14ac:dyDescent="0.25">
      <c r="A112" s="76" t="s">
        <v>249</v>
      </c>
      <c r="B112" s="188"/>
      <c r="C112" s="77">
        <v>1240.23993</v>
      </c>
      <c r="D112" s="77">
        <v>4074.1132000000002</v>
      </c>
      <c r="E112" s="77">
        <v>1213.7764999999999</v>
      </c>
      <c r="F112" s="77">
        <v>2513.2610299999997</v>
      </c>
      <c r="G112" s="77">
        <v>16943.37614</v>
      </c>
      <c r="H112" s="77">
        <v>1378.0228999999999</v>
      </c>
      <c r="I112" s="77">
        <v>2613.4275400000001</v>
      </c>
      <c r="J112" s="77">
        <v>2278.63348</v>
      </c>
      <c r="K112" s="77">
        <v>335.42470000000003</v>
      </c>
      <c r="L112" s="77">
        <v>42932.685319999997</v>
      </c>
    </row>
    <row r="113" spans="1:12" ht="13.5" thickBot="1" x14ac:dyDescent="0.3">
      <c r="A113" s="78" t="s">
        <v>250</v>
      </c>
      <c r="B113" s="189"/>
      <c r="C113" s="79">
        <v>4540.8725300000006</v>
      </c>
      <c r="D113" s="79">
        <v>4458.4946300000011</v>
      </c>
      <c r="E113" s="79">
        <v>5246.8908600000004</v>
      </c>
      <c r="F113" s="79">
        <v>5565.7943599999999</v>
      </c>
      <c r="G113" s="79">
        <v>6922.5385500000011</v>
      </c>
      <c r="H113" s="79">
        <v>6123.6644399999996</v>
      </c>
      <c r="I113" s="79">
        <v>2218.7078699999997</v>
      </c>
      <c r="J113" s="79">
        <v>719.01783999999998</v>
      </c>
      <c r="K113" s="79">
        <v>218.28620000000001</v>
      </c>
      <c r="L113" s="79">
        <v>-35864.795459999994</v>
      </c>
    </row>
    <row r="114" spans="1:12" x14ac:dyDescent="0.25">
      <c r="A114" s="81" t="s">
        <v>247</v>
      </c>
      <c r="B114" s="193" t="s">
        <v>277</v>
      </c>
      <c r="C114" s="88">
        <v>1731.5945300000001</v>
      </c>
      <c r="D114" s="88">
        <v>788.31117000000006</v>
      </c>
      <c r="E114" s="88">
        <v>2096.7292699999998</v>
      </c>
      <c r="F114" s="88">
        <v>256.79755999999998</v>
      </c>
      <c r="G114" s="88">
        <v>1633.9195</v>
      </c>
      <c r="H114" s="88">
        <v>1109.63886</v>
      </c>
      <c r="I114" s="88">
        <v>1265.7952299999999</v>
      </c>
      <c r="J114" s="88">
        <v>1445.43849</v>
      </c>
      <c r="K114" s="88">
        <v>167.14429999999999</v>
      </c>
      <c r="L114" s="88">
        <v>1615.8996200000001</v>
      </c>
    </row>
    <row r="115" spans="1:12" x14ac:dyDescent="0.25">
      <c r="A115" s="83" t="s">
        <v>249</v>
      </c>
      <c r="B115" s="194"/>
      <c r="C115" s="89">
        <v>226.57024999999999</v>
      </c>
      <c r="D115" s="89">
        <v>128.90694999999999</v>
      </c>
      <c r="E115" s="89">
        <v>494.17225000000002</v>
      </c>
      <c r="F115" s="89">
        <v>6</v>
      </c>
      <c r="G115" s="89">
        <v>0</v>
      </c>
      <c r="H115" s="89">
        <v>79.017589999999998</v>
      </c>
      <c r="I115" s="89">
        <v>520.79751999999996</v>
      </c>
      <c r="J115" s="89">
        <v>1328.87591</v>
      </c>
      <c r="K115" s="89">
        <v>191.45585</v>
      </c>
      <c r="L115" s="89">
        <v>9151.6125199999988</v>
      </c>
    </row>
    <row r="116" spans="1:12" ht="13.5" thickBot="1" x14ac:dyDescent="0.3">
      <c r="A116" s="85" t="s">
        <v>250</v>
      </c>
      <c r="B116" s="195"/>
      <c r="C116" s="86">
        <v>1505.0242800000001</v>
      </c>
      <c r="D116" s="86">
        <v>659.40422000000012</v>
      </c>
      <c r="E116" s="86">
        <v>1602.5570199999997</v>
      </c>
      <c r="F116" s="86">
        <v>250.79755999999998</v>
      </c>
      <c r="G116" s="86">
        <v>1633.9195</v>
      </c>
      <c r="H116" s="86">
        <v>1030.6212700000001</v>
      </c>
      <c r="I116" s="86">
        <v>744.99770999999998</v>
      </c>
      <c r="J116" s="86">
        <v>116.56258000000003</v>
      </c>
      <c r="K116" s="86">
        <v>-24.311550000000011</v>
      </c>
      <c r="L116" s="86">
        <v>-7535.7128999999986</v>
      </c>
    </row>
    <row r="117" spans="1:12" x14ac:dyDescent="0.25">
      <c r="A117" s="73" t="s">
        <v>247</v>
      </c>
      <c r="B117" s="187" t="s">
        <v>278</v>
      </c>
      <c r="C117" s="74">
        <v>3801.0479</v>
      </c>
      <c r="D117" s="74">
        <v>2130.2698999999998</v>
      </c>
      <c r="E117" s="74">
        <v>3694.3654799999999</v>
      </c>
      <c r="F117" s="74">
        <v>2537.8263500000003</v>
      </c>
      <c r="G117" s="74">
        <v>6680.4144800000004</v>
      </c>
      <c r="H117" s="74">
        <v>5747.7371700000003</v>
      </c>
      <c r="I117" s="74">
        <v>2352.7599300000002</v>
      </c>
      <c r="J117" s="74">
        <v>5669.6584800000001</v>
      </c>
      <c r="K117" s="74">
        <v>229.76579999999998</v>
      </c>
      <c r="L117" s="74">
        <v>11253.53579</v>
      </c>
    </row>
    <row r="118" spans="1:12" x14ac:dyDescent="0.25">
      <c r="A118" s="76" t="s">
        <v>249</v>
      </c>
      <c r="B118" s="188"/>
      <c r="C118" s="77">
        <v>410.72505999999998</v>
      </c>
      <c r="D118" s="77">
        <v>335.45940999999999</v>
      </c>
      <c r="E118" s="77">
        <v>365.91624999999999</v>
      </c>
      <c r="F118" s="77">
        <v>165.06965</v>
      </c>
      <c r="G118" s="77">
        <v>0</v>
      </c>
      <c r="H118" s="77">
        <v>179.4846</v>
      </c>
      <c r="I118" s="77">
        <v>104.83251</v>
      </c>
      <c r="J118" s="77">
        <v>4893.2587199999998</v>
      </c>
      <c r="K118" s="77">
        <v>272.29075</v>
      </c>
      <c r="L118" s="77">
        <v>39028.494119999996</v>
      </c>
    </row>
    <row r="119" spans="1:12" ht="13.5" thickBot="1" x14ac:dyDescent="0.3">
      <c r="A119" s="78" t="s">
        <v>250</v>
      </c>
      <c r="B119" s="189"/>
      <c r="C119" s="79">
        <v>3390.3228399999998</v>
      </c>
      <c r="D119" s="79">
        <v>1794.8104899999998</v>
      </c>
      <c r="E119" s="79">
        <v>3328.4492300000002</v>
      </c>
      <c r="F119" s="79">
        <v>2372.7567000000004</v>
      </c>
      <c r="G119" s="79">
        <v>6680.4144800000004</v>
      </c>
      <c r="H119" s="79">
        <v>5568.2525700000006</v>
      </c>
      <c r="I119" s="79">
        <v>2247.92742</v>
      </c>
      <c r="J119" s="79">
        <v>776.39976000000024</v>
      </c>
      <c r="K119" s="79">
        <v>-42.524950000000018</v>
      </c>
      <c r="L119" s="79">
        <v>-27774.958329999994</v>
      </c>
    </row>
    <row r="120" spans="1:12" x14ac:dyDescent="0.25">
      <c r="A120" s="81" t="s">
        <v>247</v>
      </c>
      <c r="B120" s="193" t="s">
        <v>279</v>
      </c>
      <c r="C120" s="88">
        <v>1317.1664599999999</v>
      </c>
      <c r="D120" s="88">
        <v>625.58308999999997</v>
      </c>
      <c r="E120" s="88">
        <v>2328.3132599999999</v>
      </c>
      <c r="F120" s="88">
        <v>578.21973000000003</v>
      </c>
      <c r="G120" s="88">
        <v>1869.9354099999998</v>
      </c>
      <c r="H120" s="88">
        <v>1262.88327</v>
      </c>
      <c r="I120" s="88">
        <v>806.11264000000006</v>
      </c>
      <c r="J120" s="88">
        <v>1450.6685600000001</v>
      </c>
      <c r="K120" s="88">
        <v>15.400049999999998</v>
      </c>
      <c r="L120" s="88">
        <v>1587.75532</v>
      </c>
    </row>
    <row r="121" spans="1:12" x14ac:dyDescent="0.25">
      <c r="A121" s="83" t="s">
        <v>249</v>
      </c>
      <c r="B121" s="194"/>
      <c r="C121" s="89">
        <v>123.47753999999999</v>
      </c>
      <c r="D121" s="89">
        <v>58.691050000000004</v>
      </c>
      <c r="E121" s="89">
        <v>503.24484999999999</v>
      </c>
      <c r="F121" s="89">
        <v>25.51275</v>
      </c>
      <c r="G121" s="89">
        <v>0.1</v>
      </c>
      <c r="H121" s="89">
        <v>7.18</v>
      </c>
      <c r="I121" s="89">
        <v>180.16910000000001</v>
      </c>
      <c r="J121" s="89">
        <v>1170.7370100000001</v>
      </c>
      <c r="K121" s="89">
        <v>55.695</v>
      </c>
      <c r="L121" s="89">
        <v>8721.3810899999989</v>
      </c>
    </row>
    <row r="122" spans="1:12" ht="13.5" thickBot="1" x14ac:dyDescent="0.3">
      <c r="A122" s="85" t="s">
        <v>250</v>
      </c>
      <c r="B122" s="195"/>
      <c r="C122" s="86">
        <v>1193.6889199999998</v>
      </c>
      <c r="D122" s="86">
        <v>566.89203999999995</v>
      </c>
      <c r="E122" s="86">
        <v>1825.0684099999999</v>
      </c>
      <c r="F122" s="86">
        <v>552.70698000000004</v>
      </c>
      <c r="G122" s="86">
        <v>1869.8354099999999</v>
      </c>
      <c r="H122" s="86">
        <v>1255.70327</v>
      </c>
      <c r="I122" s="86">
        <v>625.94353999999998</v>
      </c>
      <c r="J122" s="86">
        <v>279.93155000000002</v>
      </c>
      <c r="K122" s="86">
        <v>-40.29495</v>
      </c>
      <c r="L122" s="86">
        <v>-7133.6257699999987</v>
      </c>
    </row>
    <row r="123" spans="1:12" x14ac:dyDescent="0.25">
      <c r="A123" s="73" t="s">
        <v>247</v>
      </c>
      <c r="B123" s="187" t="s">
        <v>280</v>
      </c>
      <c r="C123" s="74">
        <v>1578.4829499999998</v>
      </c>
      <c r="D123" s="74">
        <v>548.88855000000001</v>
      </c>
      <c r="E123" s="74">
        <v>3566.3778500000003</v>
      </c>
      <c r="F123" s="74">
        <v>447.46969999999999</v>
      </c>
      <c r="G123" s="74">
        <v>1712.05738</v>
      </c>
      <c r="H123" s="74">
        <v>948.23646999999994</v>
      </c>
      <c r="I123" s="74">
        <v>1170.9964</v>
      </c>
      <c r="J123" s="74">
        <v>2002.6193000000001</v>
      </c>
      <c r="K123" s="74">
        <v>76.406050000000008</v>
      </c>
      <c r="L123" s="74">
        <v>975.95801000000006</v>
      </c>
    </row>
    <row r="124" spans="1:12" x14ac:dyDescent="0.25">
      <c r="A124" s="76" t="s">
        <v>249</v>
      </c>
      <c r="B124" s="188"/>
      <c r="C124" s="77">
        <v>218.42515</v>
      </c>
      <c r="D124" s="77">
        <v>48.39855</v>
      </c>
      <c r="E124" s="77">
        <v>1428.6236999999999</v>
      </c>
      <c r="F124" s="77">
        <v>49.959269999999997</v>
      </c>
      <c r="G124" s="77">
        <v>0.69850000000000001</v>
      </c>
      <c r="H124" s="77">
        <v>14.791</v>
      </c>
      <c r="I124" s="77">
        <v>438.41159999999996</v>
      </c>
      <c r="J124" s="77">
        <v>1871.0337099999999</v>
      </c>
      <c r="K124" s="77">
        <v>148.25135</v>
      </c>
      <c r="L124" s="77">
        <v>9179.617400000001</v>
      </c>
    </row>
    <row r="125" spans="1:12" ht="13.5" thickBot="1" x14ac:dyDescent="0.3">
      <c r="A125" s="78" t="s">
        <v>250</v>
      </c>
      <c r="B125" s="189"/>
      <c r="C125" s="79">
        <v>1360.0577999999998</v>
      </c>
      <c r="D125" s="79">
        <v>500.49</v>
      </c>
      <c r="E125" s="79">
        <v>2137.7541500000007</v>
      </c>
      <c r="F125" s="79">
        <v>397.51042999999999</v>
      </c>
      <c r="G125" s="79">
        <v>1711.35888</v>
      </c>
      <c r="H125" s="79">
        <v>933.44546999999989</v>
      </c>
      <c r="I125" s="79">
        <v>732.58480000000009</v>
      </c>
      <c r="J125" s="79">
        <v>131.58559000000014</v>
      </c>
      <c r="K125" s="79">
        <v>-71.845299999999995</v>
      </c>
      <c r="L125" s="79">
        <v>-8203.6593900000007</v>
      </c>
    </row>
    <row r="126" spans="1:12" x14ac:dyDescent="0.25">
      <c r="A126" s="81" t="s">
        <v>247</v>
      </c>
      <c r="B126" s="193" t="s">
        <v>281</v>
      </c>
      <c r="C126" s="88">
        <v>985.52166</v>
      </c>
      <c r="D126" s="88">
        <v>479.03498999999999</v>
      </c>
      <c r="E126" s="88">
        <v>1480.5582899999999</v>
      </c>
      <c r="F126" s="88">
        <v>481.98306000000002</v>
      </c>
      <c r="G126" s="88">
        <v>930.31565999999998</v>
      </c>
      <c r="H126" s="88">
        <v>640.83767</v>
      </c>
      <c r="I126" s="88">
        <v>431.50889000000001</v>
      </c>
      <c r="J126" s="88">
        <v>1103.26206</v>
      </c>
      <c r="K126" s="88">
        <v>42.14432</v>
      </c>
      <c r="L126" s="88">
        <v>761.68552</v>
      </c>
    </row>
    <row r="127" spans="1:12" x14ac:dyDescent="0.25">
      <c r="A127" s="83" t="s">
        <v>249</v>
      </c>
      <c r="B127" s="194"/>
      <c r="C127" s="89">
        <v>106.82239999999999</v>
      </c>
      <c r="D127" s="89">
        <v>113.92785000000001</v>
      </c>
      <c r="E127" s="89">
        <v>209.42400000000001</v>
      </c>
      <c r="F127" s="89">
        <v>11.081100000000001</v>
      </c>
      <c r="G127" s="89">
        <v>0</v>
      </c>
      <c r="H127" s="89">
        <v>3.04</v>
      </c>
      <c r="I127" s="89">
        <v>46.352050000000006</v>
      </c>
      <c r="J127" s="89">
        <v>1008.8626899999999</v>
      </c>
      <c r="K127" s="89">
        <v>42.906999999999996</v>
      </c>
      <c r="L127" s="89">
        <v>5268.3294000000005</v>
      </c>
    </row>
    <row r="128" spans="1:12" ht="13.5" thickBot="1" x14ac:dyDescent="0.3">
      <c r="A128" s="85" t="s">
        <v>250</v>
      </c>
      <c r="B128" s="195"/>
      <c r="C128" s="86">
        <v>878.69925999999998</v>
      </c>
      <c r="D128" s="86">
        <v>365.10713999999996</v>
      </c>
      <c r="E128" s="86">
        <v>1271.13429</v>
      </c>
      <c r="F128" s="86">
        <v>470.90196000000003</v>
      </c>
      <c r="G128" s="86">
        <v>930.31565999999998</v>
      </c>
      <c r="H128" s="86">
        <v>637.79767000000004</v>
      </c>
      <c r="I128" s="86">
        <v>385.15683999999999</v>
      </c>
      <c r="J128" s="86">
        <v>94.39937000000009</v>
      </c>
      <c r="K128" s="86">
        <v>-0.76267999999999603</v>
      </c>
      <c r="L128" s="86">
        <v>-4506.6438800000005</v>
      </c>
    </row>
    <row r="129" spans="1:12" x14ac:dyDescent="0.25">
      <c r="A129" s="73" t="s">
        <v>247</v>
      </c>
      <c r="B129" s="187" t="s">
        <v>282</v>
      </c>
      <c r="C129" s="74">
        <v>313.55162999999999</v>
      </c>
      <c r="D129" s="74">
        <v>127.51481</v>
      </c>
      <c r="E129" s="74">
        <v>455.00609000000003</v>
      </c>
      <c r="F129" s="74">
        <v>38.32938</v>
      </c>
      <c r="G129" s="74">
        <v>349.65355999999997</v>
      </c>
      <c r="H129" s="74">
        <v>269.74324999999999</v>
      </c>
      <c r="I129" s="74">
        <v>183.83332000000001</v>
      </c>
      <c r="J129" s="74">
        <v>367.51168000000001</v>
      </c>
      <c r="K129" s="74">
        <v>9.7385599999999997</v>
      </c>
      <c r="L129" s="74">
        <v>334.28808000000004</v>
      </c>
    </row>
    <row r="130" spans="1:12" x14ac:dyDescent="0.25">
      <c r="A130" s="76" t="s">
        <v>249</v>
      </c>
      <c r="B130" s="188"/>
      <c r="C130" s="77">
        <v>41.857500000000002</v>
      </c>
      <c r="D130" s="77">
        <v>16.46575</v>
      </c>
      <c r="E130" s="77">
        <v>120.86045</v>
      </c>
      <c r="F130" s="77">
        <v>5.0750000000000002</v>
      </c>
      <c r="G130" s="77">
        <v>0</v>
      </c>
      <c r="H130" s="77">
        <v>2.4408000000000003</v>
      </c>
      <c r="I130" s="77">
        <v>15.75</v>
      </c>
      <c r="J130" s="77">
        <v>344.47296999999998</v>
      </c>
      <c r="K130" s="77">
        <v>31.085000000000001</v>
      </c>
      <c r="L130" s="77">
        <v>2024.8388500000001</v>
      </c>
    </row>
    <row r="131" spans="1:12" ht="13.5" thickBot="1" x14ac:dyDescent="0.3">
      <c r="A131" s="78" t="s">
        <v>250</v>
      </c>
      <c r="B131" s="189"/>
      <c r="C131" s="79">
        <v>271.69412999999997</v>
      </c>
      <c r="D131" s="79">
        <v>111.04906</v>
      </c>
      <c r="E131" s="79">
        <v>334.14564000000001</v>
      </c>
      <c r="F131" s="79">
        <v>33.254379999999998</v>
      </c>
      <c r="G131" s="79">
        <v>349.65355999999997</v>
      </c>
      <c r="H131" s="79">
        <v>267.30244999999996</v>
      </c>
      <c r="I131" s="79">
        <v>168.08332000000001</v>
      </c>
      <c r="J131" s="79">
        <v>23.038710000000037</v>
      </c>
      <c r="K131" s="79">
        <v>-21.346440000000001</v>
      </c>
      <c r="L131" s="79">
        <v>-1690.5507700000001</v>
      </c>
    </row>
    <row r="132" spans="1:12" x14ac:dyDescent="0.25">
      <c r="A132" s="81" t="s">
        <v>247</v>
      </c>
      <c r="B132" s="193" t="s">
        <v>283</v>
      </c>
      <c r="C132" s="88">
        <v>203.35376000000002</v>
      </c>
      <c r="D132" s="88">
        <v>76.438890000000001</v>
      </c>
      <c r="E132" s="88">
        <v>145.51398</v>
      </c>
      <c r="F132" s="88">
        <v>32.439349999999997</v>
      </c>
      <c r="G132" s="88">
        <v>113.24294</v>
      </c>
      <c r="H132" s="88">
        <v>43.086750000000002</v>
      </c>
      <c r="I132" s="88">
        <v>175.85535000000002</v>
      </c>
      <c r="J132" s="88">
        <v>185.63645000000002</v>
      </c>
      <c r="K132" s="88">
        <v>21.758950000000002</v>
      </c>
      <c r="L132" s="88">
        <v>74.094139999999996</v>
      </c>
    </row>
    <row r="133" spans="1:12" x14ac:dyDescent="0.25">
      <c r="A133" s="83" t="s">
        <v>249</v>
      </c>
      <c r="B133" s="194"/>
      <c r="C133" s="89">
        <v>68.543700000000001</v>
      </c>
      <c r="D133" s="89">
        <v>4.7054499999999999</v>
      </c>
      <c r="E133" s="89">
        <v>0</v>
      </c>
      <c r="F133" s="89">
        <v>0</v>
      </c>
      <c r="G133" s="89">
        <v>0</v>
      </c>
      <c r="H133" s="89">
        <v>0.76700000000000002</v>
      </c>
      <c r="I133" s="89">
        <v>91.861199999999997</v>
      </c>
      <c r="J133" s="89">
        <v>213.00839999999999</v>
      </c>
      <c r="K133" s="89">
        <v>37.134</v>
      </c>
      <c r="L133" s="89">
        <v>722.93267000000003</v>
      </c>
    </row>
    <row r="134" spans="1:12" ht="13.5" thickBot="1" x14ac:dyDescent="0.3">
      <c r="A134" s="85" t="s">
        <v>250</v>
      </c>
      <c r="B134" s="195"/>
      <c r="C134" s="86">
        <v>134.81006000000002</v>
      </c>
      <c r="D134" s="86">
        <v>71.733440000000002</v>
      </c>
      <c r="E134" s="86">
        <v>145.51398</v>
      </c>
      <c r="F134" s="86">
        <v>32.439349999999997</v>
      </c>
      <c r="G134" s="86">
        <v>113.24294</v>
      </c>
      <c r="H134" s="86">
        <v>42.319749999999999</v>
      </c>
      <c r="I134" s="86">
        <v>83.994150000000019</v>
      </c>
      <c r="J134" s="86">
        <v>-27.37194999999997</v>
      </c>
      <c r="K134" s="86">
        <v>-15.375049999999998</v>
      </c>
      <c r="L134" s="86">
        <v>-648.83852999999999</v>
      </c>
    </row>
    <row r="135" spans="1:12" x14ac:dyDescent="0.25">
      <c r="A135" s="73" t="s">
        <v>247</v>
      </c>
      <c r="B135" s="187" t="s">
        <v>284</v>
      </c>
      <c r="C135" s="74">
        <v>1612.4352200000001</v>
      </c>
      <c r="D135" s="74">
        <v>1071.1042</v>
      </c>
      <c r="E135" s="74">
        <v>2495.2603100000001</v>
      </c>
      <c r="F135" s="74">
        <v>959.35009000000002</v>
      </c>
      <c r="G135" s="74">
        <v>1594.0996200000002</v>
      </c>
      <c r="H135" s="74">
        <v>781.97401000000002</v>
      </c>
      <c r="I135" s="74">
        <v>2502.5537400000003</v>
      </c>
      <c r="J135" s="74">
        <v>3070.6490099999996</v>
      </c>
      <c r="K135" s="74">
        <v>451.91919000000001</v>
      </c>
      <c r="L135" s="74">
        <v>1955.7119299999999</v>
      </c>
    </row>
    <row r="136" spans="1:12" x14ac:dyDescent="0.25">
      <c r="A136" s="76" t="s">
        <v>249</v>
      </c>
      <c r="B136" s="188"/>
      <c r="C136" s="77">
        <v>159.11036999999999</v>
      </c>
      <c r="D136" s="77">
        <v>382.76265000000001</v>
      </c>
      <c r="E136" s="77">
        <v>881.80135999999993</v>
      </c>
      <c r="F136" s="77">
        <v>87.722949999999997</v>
      </c>
      <c r="G136" s="77">
        <v>2.4744000000000002</v>
      </c>
      <c r="H136" s="77">
        <v>5.2568000000000001</v>
      </c>
      <c r="I136" s="77">
        <v>320.5016</v>
      </c>
      <c r="J136" s="77">
        <v>2244.94353</v>
      </c>
      <c r="K136" s="77">
        <v>1210.1886000000002</v>
      </c>
      <c r="L136" s="77">
        <v>11248.548050000001</v>
      </c>
    </row>
    <row r="137" spans="1:12" ht="13.5" thickBot="1" x14ac:dyDescent="0.3">
      <c r="A137" s="78" t="s">
        <v>250</v>
      </c>
      <c r="B137" s="189"/>
      <c r="C137" s="79">
        <v>1453.32485</v>
      </c>
      <c r="D137" s="79">
        <v>688.34154999999998</v>
      </c>
      <c r="E137" s="79">
        <v>1613.4589500000002</v>
      </c>
      <c r="F137" s="79">
        <v>871.62714000000005</v>
      </c>
      <c r="G137" s="79">
        <v>1591.6252200000001</v>
      </c>
      <c r="H137" s="79">
        <v>776.71721000000002</v>
      </c>
      <c r="I137" s="79">
        <v>2182.0521400000002</v>
      </c>
      <c r="J137" s="79">
        <v>825.70547999999962</v>
      </c>
      <c r="K137" s="79">
        <v>-758.26941000000011</v>
      </c>
      <c r="L137" s="79">
        <v>-9292.8361200000018</v>
      </c>
    </row>
    <row r="138" spans="1:12" x14ac:dyDescent="0.25">
      <c r="A138" s="81" t="s">
        <v>247</v>
      </c>
      <c r="B138" s="193" t="s">
        <v>285</v>
      </c>
      <c r="C138" s="88">
        <v>3438.3159000000001</v>
      </c>
      <c r="D138" s="88">
        <v>1335.8027999999999</v>
      </c>
      <c r="E138" s="88">
        <v>5224.1381500000007</v>
      </c>
      <c r="F138" s="88">
        <v>734.84186999999997</v>
      </c>
      <c r="G138" s="88">
        <v>3621.2205099999996</v>
      </c>
      <c r="H138" s="88">
        <v>2029.14123</v>
      </c>
      <c r="I138" s="88">
        <v>3588.5020199999999</v>
      </c>
      <c r="J138" s="88">
        <v>5299.5014700000002</v>
      </c>
      <c r="K138" s="88">
        <v>365.63974000000002</v>
      </c>
      <c r="L138" s="88">
        <v>5247.9514100000006</v>
      </c>
    </row>
    <row r="139" spans="1:12" x14ac:dyDescent="0.25">
      <c r="A139" s="83" t="s">
        <v>249</v>
      </c>
      <c r="B139" s="194"/>
      <c r="C139" s="89">
        <v>1178.0402799999999</v>
      </c>
      <c r="D139" s="89">
        <v>247.25825</v>
      </c>
      <c r="E139" s="89">
        <v>1504.1903</v>
      </c>
      <c r="F139" s="89">
        <v>204.99190999999999</v>
      </c>
      <c r="G139" s="89">
        <v>57.035550000000001</v>
      </c>
      <c r="H139" s="89">
        <v>30.070799999999998</v>
      </c>
      <c r="I139" s="89">
        <v>1087.7995000000001</v>
      </c>
      <c r="J139" s="89">
        <v>5349.8741500000006</v>
      </c>
      <c r="K139" s="89">
        <v>702.23427000000004</v>
      </c>
      <c r="L139" s="89">
        <v>18311.916719999997</v>
      </c>
    </row>
    <row r="140" spans="1:12" ht="13.5" thickBot="1" x14ac:dyDescent="0.3">
      <c r="A140" s="85" t="s">
        <v>250</v>
      </c>
      <c r="B140" s="195"/>
      <c r="C140" s="86">
        <v>2260.2756200000003</v>
      </c>
      <c r="D140" s="86">
        <v>1088.5445499999998</v>
      </c>
      <c r="E140" s="86">
        <v>3719.9478500000005</v>
      </c>
      <c r="F140" s="86">
        <v>529.84996000000001</v>
      </c>
      <c r="G140" s="86">
        <v>3564.1849599999996</v>
      </c>
      <c r="H140" s="86">
        <v>1999.07043</v>
      </c>
      <c r="I140" s="86">
        <v>2500.7025199999998</v>
      </c>
      <c r="J140" s="86">
        <v>-50.3726800000004</v>
      </c>
      <c r="K140" s="86">
        <v>-336.59453000000002</v>
      </c>
      <c r="L140" s="86">
        <v>-13063.965309999996</v>
      </c>
    </row>
    <row r="141" spans="1:12" x14ac:dyDescent="0.25">
      <c r="A141" s="73" t="s">
        <v>247</v>
      </c>
      <c r="B141" s="187" t="s">
        <v>286</v>
      </c>
      <c r="C141" s="74">
        <v>524.07270000000005</v>
      </c>
      <c r="D141" s="74">
        <v>287.74502000000001</v>
      </c>
      <c r="E141" s="74">
        <v>738.21755000000007</v>
      </c>
      <c r="F141" s="74">
        <v>117.38397999999999</v>
      </c>
      <c r="G141" s="74">
        <v>642.02897999999993</v>
      </c>
      <c r="H141" s="74">
        <v>447.43521000000004</v>
      </c>
      <c r="I141" s="74">
        <v>503.48484000000002</v>
      </c>
      <c r="J141" s="74">
        <v>769.39013</v>
      </c>
      <c r="K141" s="74">
        <v>14.512600000000001</v>
      </c>
      <c r="L141" s="74">
        <v>856.54257999999993</v>
      </c>
    </row>
    <row r="142" spans="1:12" x14ac:dyDescent="0.25">
      <c r="A142" s="76" t="s">
        <v>249</v>
      </c>
      <c r="B142" s="188"/>
      <c r="C142" s="77">
        <v>32.870599999999996</v>
      </c>
      <c r="D142" s="77">
        <v>9.6147999999999989</v>
      </c>
      <c r="E142" s="77">
        <v>190.58965000000001</v>
      </c>
      <c r="F142" s="77">
        <v>69.727550000000008</v>
      </c>
      <c r="G142" s="77">
        <v>0</v>
      </c>
      <c r="H142" s="77">
        <v>22.116</v>
      </c>
      <c r="I142" s="77">
        <v>99.259919999999994</v>
      </c>
      <c r="J142" s="77">
        <v>756.01652000000001</v>
      </c>
      <c r="K142" s="77">
        <v>93.278999999999996</v>
      </c>
      <c r="L142" s="77">
        <v>3883.5319100000002</v>
      </c>
    </row>
    <row r="143" spans="1:12" ht="13.5" thickBot="1" x14ac:dyDescent="0.3">
      <c r="A143" s="78" t="s">
        <v>250</v>
      </c>
      <c r="B143" s="189"/>
      <c r="C143" s="79">
        <v>491.20210000000009</v>
      </c>
      <c r="D143" s="79">
        <v>278.13022000000001</v>
      </c>
      <c r="E143" s="79">
        <v>547.62790000000007</v>
      </c>
      <c r="F143" s="79">
        <v>47.656429999999986</v>
      </c>
      <c r="G143" s="79">
        <v>642.02897999999993</v>
      </c>
      <c r="H143" s="79">
        <v>425.31921000000006</v>
      </c>
      <c r="I143" s="79">
        <v>404.22492</v>
      </c>
      <c r="J143" s="79">
        <v>13.373609999999985</v>
      </c>
      <c r="K143" s="79">
        <v>-78.76639999999999</v>
      </c>
      <c r="L143" s="79">
        <v>-3026.9893300000003</v>
      </c>
    </row>
    <row r="144" spans="1:12" x14ac:dyDescent="0.25">
      <c r="A144" s="81" t="s">
        <v>247</v>
      </c>
      <c r="B144" s="193" t="s">
        <v>287</v>
      </c>
      <c r="C144" s="88">
        <v>2039.5415600000001</v>
      </c>
      <c r="D144" s="88">
        <v>4533.7485800000004</v>
      </c>
      <c r="E144" s="88">
        <v>3745.1411899999998</v>
      </c>
      <c r="F144" s="88">
        <v>385.1284</v>
      </c>
      <c r="G144" s="88">
        <v>2653.2176099999997</v>
      </c>
      <c r="H144" s="88">
        <v>1637.3278600000001</v>
      </c>
      <c r="I144" s="88">
        <v>1515.7028300000002</v>
      </c>
      <c r="J144" s="88">
        <v>2639.0599700000002</v>
      </c>
      <c r="K144" s="88">
        <v>67.655899999999988</v>
      </c>
      <c r="L144" s="88">
        <v>2591.6199500000002</v>
      </c>
    </row>
    <row r="145" spans="1:12" x14ac:dyDescent="0.25">
      <c r="A145" s="83" t="s">
        <v>249</v>
      </c>
      <c r="B145" s="194"/>
      <c r="C145" s="89">
        <v>383.10356999999999</v>
      </c>
      <c r="D145" s="89">
        <v>3382.4923199999998</v>
      </c>
      <c r="E145" s="89">
        <v>1011.2646500000001</v>
      </c>
      <c r="F145" s="89">
        <v>6.25</v>
      </c>
      <c r="G145" s="89">
        <v>6.0095499999999999</v>
      </c>
      <c r="H145" s="89">
        <v>25.917099999999998</v>
      </c>
      <c r="I145" s="89">
        <v>351.23813000000001</v>
      </c>
      <c r="J145" s="89">
        <v>2509.2651700000001</v>
      </c>
      <c r="K145" s="89">
        <v>208.01242000000002</v>
      </c>
      <c r="L145" s="89">
        <v>14387.549779999999</v>
      </c>
    </row>
    <row r="146" spans="1:12" ht="13.5" thickBot="1" x14ac:dyDescent="0.3">
      <c r="A146" s="85" t="s">
        <v>250</v>
      </c>
      <c r="B146" s="195"/>
      <c r="C146" s="86">
        <v>1656.4379900000001</v>
      </c>
      <c r="D146" s="86">
        <v>1151.2562600000006</v>
      </c>
      <c r="E146" s="86">
        <v>2733.8765399999997</v>
      </c>
      <c r="F146" s="86">
        <v>378.8784</v>
      </c>
      <c r="G146" s="86">
        <v>2647.2080599999995</v>
      </c>
      <c r="H146" s="86">
        <v>1611.4107600000002</v>
      </c>
      <c r="I146" s="86">
        <v>1164.4647000000002</v>
      </c>
      <c r="J146" s="86">
        <v>129.79480000000012</v>
      </c>
      <c r="K146" s="86">
        <v>-140.35652000000005</v>
      </c>
      <c r="L146" s="86">
        <v>-11795.929829999999</v>
      </c>
    </row>
    <row r="147" spans="1:12" x14ac:dyDescent="0.25">
      <c r="A147" s="73" t="s">
        <v>247</v>
      </c>
      <c r="B147" s="187" t="s">
        <v>12</v>
      </c>
      <c r="C147" s="74">
        <v>293.92343</v>
      </c>
      <c r="D147" s="74">
        <v>123.51727000000001</v>
      </c>
      <c r="E147" s="74">
        <v>272.53194999999999</v>
      </c>
      <c r="F147" s="74">
        <v>63.050339999999998</v>
      </c>
      <c r="G147" s="74">
        <v>464.14971000000003</v>
      </c>
      <c r="H147" s="74">
        <v>392.94916999999998</v>
      </c>
      <c r="I147" s="74">
        <v>422.77393000000001</v>
      </c>
      <c r="J147" s="74">
        <v>438.53580999999997</v>
      </c>
      <c r="K147" s="74">
        <v>1.6555</v>
      </c>
      <c r="L147" s="74">
        <v>538.36146999999994</v>
      </c>
    </row>
    <row r="148" spans="1:12" x14ac:dyDescent="0.25">
      <c r="A148" s="76" t="s">
        <v>249</v>
      </c>
      <c r="B148" s="188"/>
      <c r="C148" s="77">
        <v>19.064700000000002</v>
      </c>
      <c r="D148" s="77">
        <v>11.149850000000001</v>
      </c>
      <c r="E148" s="77">
        <v>25.614150000000002</v>
      </c>
      <c r="F148" s="77">
        <v>6.5000000000000002E-2</v>
      </c>
      <c r="G148" s="77">
        <v>0.72909999999999997</v>
      </c>
      <c r="H148" s="77">
        <v>1.147</v>
      </c>
      <c r="I148" s="77">
        <v>20.927799999999998</v>
      </c>
      <c r="J148" s="77">
        <v>330.39868999999999</v>
      </c>
      <c r="K148" s="77">
        <v>31.466999999999999</v>
      </c>
      <c r="L148" s="77">
        <v>2867.7583500000001</v>
      </c>
    </row>
    <row r="149" spans="1:12" ht="13.5" thickBot="1" x14ac:dyDescent="0.3">
      <c r="A149" s="78" t="s">
        <v>250</v>
      </c>
      <c r="B149" s="189"/>
      <c r="C149" s="79">
        <v>274.85872999999998</v>
      </c>
      <c r="D149" s="79">
        <v>112.36742000000001</v>
      </c>
      <c r="E149" s="79">
        <v>246.9178</v>
      </c>
      <c r="F149" s="79">
        <v>62.985340000000001</v>
      </c>
      <c r="G149" s="79">
        <v>463.42061000000001</v>
      </c>
      <c r="H149" s="79">
        <v>391.80216999999999</v>
      </c>
      <c r="I149" s="79">
        <v>401.84613000000002</v>
      </c>
      <c r="J149" s="79">
        <v>108.13711999999998</v>
      </c>
      <c r="K149" s="79">
        <v>-29.811499999999999</v>
      </c>
      <c r="L149" s="79">
        <v>-2329.3968800000002</v>
      </c>
    </row>
    <row r="150" spans="1:12" x14ac:dyDescent="0.25">
      <c r="A150" s="81" t="s">
        <v>247</v>
      </c>
      <c r="B150" s="193" t="s">
        <v>288</v>
      </c>
      <c r="C150" s="88">
        <v>883.44164000000001</v>
      </c>
      <c r="D150" s="88">
        <v>353.84805999999998</v>
      </c>
      <c r="E150" s="88">
        <v>1423.3200300000001</v>
      </c>
      <c r="F150" s="88">
        <v>98.278130000000004</v>
      </c>
      <c r="G150" s="88">
        <v>1068.57494</v>
      </c>
      <c r="H150" s="88">
        <v>746.92730000000006</v>
      </c>
      <c r="I150" s="88">
        <v>483.14633000000003</v>
      </c>
      <c r="J150" s="88">
        <v>984.63130000000001</v>
      </c>
      <c r="K150" s="88">
        <v>6.7028500000000006</v>
      </c>
      <c r="L150" s="88">
        <v>595.00565000000006</v>
      </c>
    </row>
    <row r="151" spans="1:12" x14ac:dyDescent="0.25">
      <c r="A151" s="83" t="s">
        <v>249</v>
      </c>
      <c r="B151" s="194"/>
      <c r="C151" s="89">
        <v>84.103130000000007</v>
      </c>
      <c r="D151" s="89">
        <v>43.7288</v>
      </c>
      <c r="E151" s="89">
        <v>194.57029999999997</v>
      </c>
      <c r="F151" s="89">
        <v>0</v>
      </c>
      <c r="G151" s="89">
        <v>1.7273499999999999</v>
      </c>
      <c r="H151" s="89">
        <v>2.915</v>
      </c>
      <c r="I151" s="89">
        <v>112.51300999999999</v>
      </c>
      <c r="J151" s="89">
        <v>820.85209999999995</v>
      </c>
      <c r="K151" s="89">
        <v>32.07</v>
      </c>
      <c r="L151" s="89">
        <v>5190.4642999999996</v>
      </c>
    </row>
    <row r="152" spans="1:12" ht="13.5" thickBot="1" x14ac:dyDescent="0.3">
      <c r="A152" s="85" t="s">
        <v>250</v>
      </c>
      <c r="B152" s="195"/>
      <c r="C152" s="86">
        <v>799.33851000000004</v>
      </c>
      <c r="D152" s="86">
        <v>310.11926</v>
      </c>
      <c r="E152" s="86">
        <v>1228.74973</v>
      </c>
      <c r="F152" s="86">
        <v>98.278130000000004</v>
      </c>
      <c r="G152" s="86">
        <v>1066.8475900000001</v>
      </c>
      <c r="H152" s="86">
        <v>744.0123000000001</v>
      </c>
      <c r="I152" s="86">
        <v>370.63332000000003</v>
      </c>
      <c r="J152" s="86">
        <v>163.77920000000006</v>
      </c>
      <c r="K152" s="86">
        <v>-25.367149999999999</v>
      </c>
      <c r="L152" s="86">
        <v>-4595.4586499999996</v>
      </c>
    </row>
    <row r="153" spans="1:12" x14ac:dyDescent="0.25">
      <c r="A153" s="73" t="s">
        <v>247</v>
      </c>
      <c r="B153" s="187" t="s">
        <v>289</v>
      </c>
      <c r="C153" s="74">
        <v>251.99542000000002</v>
      </c>
      <c r="D153" s="74">
        <v>121.05668</v>
      </c>
      <c r="E153" s="74">
        <v>397.24621000000002</v>
      </c>
      <c r="F153" s="74">
        <v>77.872749999999996</v>
      </c>
      <c r="G153" s="74">
        <v>139.64068</v>
      </c>
      <c r="H153" s="74">
        <v>102.59161999999999</v>
      </c>
      <c r="I153" s="74">
        <v>237.93667000000002</v>
      </c>
      <c r="J153" s="74">
        <v>312.61252000000002</v>
      </c>
      <c r="K153" s="74">
        <v>4.5778500000000006</v>
      </c>
      <c r="L153" s="74">
        <v>290.50546000000003</v>
      </c>
    </row>
    <row r="154" spans="1:12" x14ac:dyDescent="0.25">
      <c r="A154" s="76" t="s">
        <v>249</v>
      </c>
      <c r="B154" s="188"/>
      <c r="C154" s="77">
        <v>39.291199999999996</v>
      </c>
      <c r="D154" s="77">
        <v>16.824249999999999</v>
      </c>
      <c r="E154" s="77">
        <v>175.69337999999999</v>
      </c>
      <c r="F154" s="77">
        <v>3.2</v>
      </c>
      <c r="G154" s="77">
        <v>0</v>
      </c>
      <c r="H154" s="77">
        <v>1.1000000000000001</v>
      </c>
      <c r="I154" s="77">
        <v>42.792349999999999</v>
      </c>
      <c r="J154" s="77">
        <v>243.92697000000001</v>
      </c>
      <c r="K154" s="77">
        <v>55.177</v>
      </c>
      <c r="L154" s="77">
        <v>1401.15425</v>
      </c>
    </row>
    <row r="155" spans="1:12" ht="13.5" thickBot="1" x14ac:dyDescent="0.3">
      <c r="A155" s="78" t="s">
        <v>250</v>
      </c>
      <c r="B155" s="189"/>
      <c r="C155" s="79">
        <v>212.70422000000002</v>
      </c>
      <c r="D155" s="79">
        <v>104.23242999999999</v>
      </c>
      <c r="E155" s="79">
        <v>221.55283000000003</v>
      </c>
      <c r="F155" s="79">
        <v>74.672749999999994</v>
      </c>
      <c r="G155" s="79">
        <v>139.64068</v>
      </c>
      <c r="H155" s="79">
        <v>101.49162</v>
      </c>
      <c r="I155" s="79">
        <v>195.14432000000002</v>
      </c>
      <c r="J155" s="79">
        <v>68.685550000000006</v>
      </c>
      <c r="K155" s="79">
        <v>-50.599150000000002</v>
      </c>
      <c r="L155" s="79">
        <v>-1110.64879</v>
      </c>
    </row>
    <row r="156" spans="1:12" x14ac:dyDescent="0.25">
      <c r="A156" s="81" t="s">
        <v>247</v>
      </c>
      <c r="B156" s="193" t="s">
        <v>290</v>
      </c>
      <c r="C156" s="88">
        <v>965.28880000000004</v>
      </c>
      <c r="D156" s="88">
        <v>1898.28748</v>
      </c>
      <c r="E156" s="88">
        <v>2279.1096600000001</v>
      </c>
      <c r="F156" s="88">
        <v>164.64959999999999</v>
      </c>
      <c r="G156" s="88">
        <v>1255.6872599999999</v>
      </c>
      <c r="H156" s="88">
        <v>848.91505000000006</v>
      </c>
      <c r="I156" s="88">
        <v>943.15393000000006</v>
      </c>
      <c r="J156" s="88">
        <v>1544.8373899999999</v>
      </c>
      <c r="K156" s="88">
        <v>6.8268500000000003</v>
      </c>
      <c r="L156" s="88">
        <v>1120.5677599999999</v>
      </c>
    </row>
    <row r="157" spans="1:12" x14ac:dyDescent="0.25">
      <c r="A157" s="83" t="s">
        <v>249</v>
      </c>
      <c r="B157" s="194"/>
      <c r="C157" s="89">
        <v>244.00451999999999</v>
      </c>
      <c r="D157" s="89">
        <v>1563.5584099999999</v>
      </c>
      <c r="E157" s="89">
        <v>1243.71091</v>
      </c>
      <c r="F157" s="89">
        <v>28.511849999999999</v>
      </c>
      <c r="G157" s="89">
        <v>0</v>
      </c>
      <c r="H157" s="89">
        <v>86.994</v>
      </c>
      <c r="I157" s="89">
        <v>146.3348</v>
      </c>
      <c r="J157" s="89">
        <v>1347.3903300000002</v>
      </c>
      <c r="K157" s="89">
        <v>55.790999999999997</v>
      </c>
      <c r="L157" s="89">
        <v>6870.1526199999998</v>
      </c>
    </row>
    <row r="158" spans="1:12" ht="13.5" thickBot="1" x14ac:dyDescent="0.3">
      <c r="A158" s="85" t="s">
        <v>250</v>
      </c>
      <c r="B158" s="195"/>
      <c r="C158" s="86">
        <v>721.28428000000008</v>
      </c>
      <c r="D158" s="86">
        <v>334.72907000000009</v>
      </c>
      <c r="E158" s="86">
        <v>1035.3987500000001</v>
      </c>
      <c r="F158" s="86">
        <v>136.13774999999998</v>
      </c>
      <c r="G158" s="86">
        <v>1255.6872599999999</v>
      </c>
      <c r="H158" s="86">
        <v>761.92105000000004</v>
      </c>
      <c r="I158" s="86">
        <v>796.81913000000009</v>
      </c>
      <c r="J158" s="86">
        <v>197.44705999999974</v>
      </c>
      <c r="K158" s="86">
        <v>-48.964149999999997</v>
      </c>
      <c r="L158" s="86">
        <v>-5749.5848599999999</v>
      </c>
    </row>
    <row r="159" spans="1:12" x14ac:dyDescent="0.25">
      <c r="A159" s="73" t="s">
        <v>247</v>
      </c>
      <c r="B159" s="187" t="s">
        <v>13</v>
      </c>
      <c r="C159" s="74">
        <v>691.65206999999998</v>
      </c>
      <c r="D159" s="74">
        <v>417.00496000000004</v>
      </c>
      <c r="E159" s="74">
        <v>1602.82285</v>
      </c>
      <c r="F159" s="74">
        <v>38.721609999999998</v>
      </c>
      <c r="G159" s="74">
        <v>733.36526000000003</v>
      </c>
      <c r="H159" s="74">
        <v>525.53640000000007</v>
      </c>
      <c r="I159" s="74">
        <v>439.75493</v>
      </c>
      <c r="J159" s="74">
        <v>553.96230000000003</v>
      </c>
      <c r="K159" s="74">
        <v>7.5182000000000002</v>
      </c>
      <c r="L159" s="74">
        <v>816.54294999999991</v>
      </c>
    </row>
    <row r="160" spans="1:12" x14ac:dyDescent="0.25">
      <c r="A160" s="76" t="s">
        <v>249</v>
      </c>
      <c r="B160" s="188"/>
      <c r="C160" s="77">
        <v>112.12795</v>
      </c>
      <c r="D160" s="77">
        <v>129.83784</v>
      </c>
      <c r="E160" s="77">
        <v>466.30243999999999</v>
      </c>
      <c r="F160" s="77">
        <v>2.0563200000000004</v>
      </c>
      <c r="G160" s="77">
        <v>0.94604999999999995</v>
      </c>
      <c r="H160" s="77">
        <v>6.0810000000000004</v>
      </c>
      <c r="I160" s="77">
        <v>99.809699999999992</v>
      </c>
      <c r="J160" s="77">
        <v>627.69766000000004</v>
      </c>
      <c r="K160" s="77">
        <v>54.365079999999999</v>
      </c>
      <c r="L160" s="77">
        <v>4612.4594900000002</v>
      </c>
    </row>
    <row r="161" spans="1:12" ht="13.5" thickBot="1" x14ac:dyDescent="0.3">
      <c r="A161" s="78" t="s">
        <v>250</v>
      </c>
      <c r="B161" s="189"/>
      <c r="C161" s="79">
        <v>579.52412000000004</v>
      </c>
      <c r="D161" s="79">
        <v>287.16712000000007</v>
      </c>
      <c r="E161" s="79">
        <v>1136.5204100000001</v>
      </c>
      <c r="F161" s="79">
        <v>36.665289999999999</v>
      </c>
      <c r="G161" s="79">
        <v>732.41921000000002</v>
      </c>
      <c r="H161" s="79">
        <v>519.45540000000005</v>
      </c>
      <c r="I161" s="79">
        <v>339.94523000000004</v>
      </c>
      <c r="J161" s="79">
        <v>-73.735360000000014</v>
      </c>
      <c r="K161" s="79">
        <v>-46.846879999999999</v>
      </c>
      <c r="L161" s="79">
        <v>-3795.9165400000002</v>
      </c>
    </row>
    <row r="162" spans="1:12" x14ac:dyDescent="0.25">
      <c r="A162" s="81" t="s">
        <v>247</v>
      </c>
      <c r="B162" s="193" t="s">
        <v>26</v>
      </c>
      <c r="C162" s="88">
        <v>554.30898999999999</v>
      </c>
      <c r="D162" s="88">
        <v>138.30020000000002</v>
      </c>
      <c r="E162" s="88">
        <v>484.15924999999999</v>
      </c>
      <c r="F162" s="88">
        <v>375.3852</v>
      </c>
      <c r="G162" s="88">
        <v>268.2133</v>
      </c>
      <c r="H162" s="88">
        <v>256.01245</v>
      </c>
      <c r="I162" s="88">
        <v>874.55604000000005</v>
      </c>
      <c r="J162" s="88">
        <v>414.74650000000003</v>
      </c>
      <c r="K162" s="88">
        <v>94.181440000000009</v>
      </c>
      <c r="L162" s="88">
        <v>358.88223999999997</v>
      </c>
    </row>
    <row r="163" spans="1:12" x14ac:dyDescent="0.25">
      <c r="A163" s="83" t="s">
        <v>249</v>
      </c>
      <c r="B163" s="194"/>
      <c r="C163" s="89">
        <v>98.453149999999994</v>
      </c>
      <c r="D163" s="89">
        <v>9.201649999999999</v>
      </c>
      <c r="E163" s="89">
        <v>126.43898</v>
      </c>
      <c r="F163" s="89">
        <v>215.27167</v>
      </c>
      <c r="G163" s="89">
        <v>0</v>
      </c>
      <c r="H163" s="89">
        <v>1.2766</v>
      </c>
      <c r="I163" s="89">
        <v>361.52484999999996</v>
      </c>
      <c r="J163" s="89">
        <v>357.33267999999998</v>
      </c>
      <c r="K163" s="89">
        <v>247.33573999999999</v>
      </c>
      <c r="L163" s="89">
        <v>2407.66264</v>
      </c>
    </row>
    <row r="164" spans="1:12" ht="13.5" thickBot="1" x14ac:dyDescent="0.3">
      <c r="A164" s="85" t="s">
        <v>250</v>
      </c>
      <c r="B164" s="195"/>
      <c r="C164" s="86">
        <v>455.85584</v>
      </c>
      <c r="D164" s="86">
        <v>129.09855000000002</v>
      </c>
      <c r="E164" s="86">
        <v>357.72026999999997</v>
      </c>
      <c r="F164" s="86">
        <v>160.11353</v>
      </c>
      <c r="G164" s="86">
        <v>268.2133</v>
      </c>
      <c r="H164" s="86">
        <v>254.73585</v>
      </c>
      <c r="I164" s="86">
        <v>513.03119000000015</v>
      </c>
      <c r="J164" s="86">
        <v>57.413820000000044</v>
      </c>
      <c r="K164" s="86">
        <v>-153.15429999999998</v>
      </c>
      <c r="L164" s="86">
        <v>-2048.7804000000001</v>
      </c>
    </row>
    <row r="165" spans="1:12" x14ac:dyDescent="0.25">
      <c r="A165" s="73" t="s">
        <v>247</v>
      </c>
      <c r="B165" s="187" t="s">
        <v>291</v>
      </c>
      <c r="C165" s="74">
        <v>56.352849999999997</v>
      </c>
      <c r="D165" s="74">
        <v>21.354669999999999</v>
      </c>
      <c r="E165" s="74">
        <v>0.14365</v>
      </c>
      <c r="F165" s="74">
        <v>7.9471499999999997</v>
      </c>
      <c r="G165" s="74">
        <v>33.76155</v>
      </c>
      <c r="H165" s="74">
        <v>22.556639999999998</v>
      </c>
      <c r="I165" s="74">
        <v>43.104399999999998</v>
      </c>
      <c r="J165" s="74">
        <v>49.458400000000005</v>
      </c>
      <c r="K165" s="74">
        <v>5.6421000000000001</v>
      </c>
      <c r="L165" s="74">
        <v>32.396380000000001</v>
      </c>
    </row>
    <row r="166" spans="1:12" x14ac:dyDescent="0.25">
      <c r="A166" s="76" t="s">
        <v>249</v>
      </c>
      <c r="B166" s="188"/>
      <c r="C166" s="77">
        <v>1.169</v>
      </c>
      <c r="D166" s="77">
        <v>0.33110000000000001</v>
      </c>
      <c r="E166" s="77">
        <v>0</v>
      </c>
      <c r="F166" s="77">
        <v>0</v>
      </c>
      <c r="G166" s="77">
        <v>0</v>
      </c>
      <c r="H166" s="77">
        <v>0.42399999999999999</v>
      </c>
      <c r="I166" s="77">
        <v>5.9610000000000003</v>
      </c>
      <c r="J166" s="77">
        <v>42.948</v>
      </c>
      <c r="K166" s="77">
        <v>0</v>
      </c>
      <c r="L166" s="77">
        <v>197.36798000000002</v>
      </c>
    </row>
    <row r="167" spans="1:12" ht="13.5" thickBot="1" x14ac:dyDescent="0.3">
      <c r="A167" s="78" t="s">
        <v>250</v>
      </c>
      <c r="B167" s="189"/>
      <c r="C167" s="79">
        <v>55.18385</v>
      </c>
      <c r="D167" s="79">
        <v>21.023569999999999</v>
      </c>
      <c r="E167" s="79">
        <v>0.14365</v>
      </c>
      <c r="F167" s="79">
        <v>7.9471499999999997</v>
      </c>
      <c r="G167" s="79">
        <v>33.76155</v>
      </c>
      <c r="H167" s="79">
        <v>22.132639999999999</v>
      </c>
      <c r="I167" s="79">
        <v>37.1434</v>
      </c>
      <c r="J167" s="79">
        <v>6.5104000000000042</v>
      </c>
      <c r="K167" s="79">
        <v>5.6421000000000001</v>
      </c>
      <c r="L167" s="79">
        <v>-164.97160000000002</v>
      </c>
    </row>
    <row r="168" spans="1:12" x14ac:dyDescent="0.25">
      <c r="A168" s="81" t="s">
        <v>247</v>
      </c>
      <c r="B168" s="193" t="s">
        <v>14</v>
      </c>
      <c r="C168" s="88">
        <v>11145.047269999999</v>
      </c>
      <c r="D168" s="88">
        <v>11370.245869999999</v>
      </c>
      <c r="E168" s="88">
        <v>9893.2245399999993</v>
      </c>
      <c r="F168" s="88">
        <v>5891.1801100000002</v>
      </c>
      <c r="G168" s="88">
        <v>10217.84441</v>
      </c>
      <c r="H168" s="88">
        <v>10198.62228</v>
      </c>
      <c r="I168" s="88">
        <v>8054.8882000000003</v>
      </c>
      <c r="J168" s="88">
        <v>6821.0376500000002</v>
      </c>
      <c r="K168" s="88">
        <v>1276.22145</v>
      </c>
      <c r="L168" s="88">
        <v>9458.4219300000004</v>
      </c>
    </row>
    <row r="169" spans="1:12" x14ac:dyDescent="0.25">
      <c r="A169" s="83" t="s">
        <v>249</v>
      </c>
      <c r="B169" s="194"/>
      <c r="C169" s="89">
        <v>3810.0175199999999</v>
      </c>
      <c r="D169" s="89">
        <v>7209.0215099999996</v>
      </c>
      <c r="E169" s="89">
        <v>2520.2408500000001</v>
      </c>
      <c r="F169" s="89">
        <v>1788.3164400000001</v>
      </c>
      <c r="G169" s="89">
        <v>156.00710000000001</v>
      </c>
      <c r="H169" s="89">
        <v>2343.82159</v>
      </c>
      <c r="I169" s="89">
        <v>4870.22084</v>
      </c>
      <c r="J169" s="89">
        <v>6566.3070599999992</v>
      </c>
      <c r="K169" s="89">
        <v>1068.46965</v>
      </c>
      <c r="L169" s="89">
        <v>54892.463189999995</v>
      </c>
    </row>
    <row r="170" spans="1:12" ht="13.5" thickBot="1" x14ac:dyDescent="0.3">
      <c r="A170" s="85" t="s">
        <v>250</v>
      </c>
      <c r="B170" s="195"/>
      <c r="C170" s="86">
        <v>7335.0297499999997</v>
      </c>
      <c r="D170" s="86">
        <v>4161.2243599999993</v>
      </c>
      <c r="E170" s="86">
        <v>7372.9836899999991</v>
      </c>
      <c r="F170" s="86">
        <v>4102.8636700000006</v>
      </c>
      <c r="G170" s="86">
        <v>10061.837309999999</v>
      </c>
      <c r="H170" s="86">
        <v>7854.80069</v>
      </c>
      <c r="I170" s="86">
        <v>3184.6673600000004</v>
      </c>
      <c r="J170" s="86">
        <v>254.73059000000103</v>
      </c>
      <c r="K170" s="86">
        <v>207.7518</v>
      </c>
      <c r="L170" s="86">
        <v>-45434.041259999998</v>
      </c>
    </row>
    <row r="171" spans="1:12" x14ac:dyDescent="0.25">
      <c r="A171" s="73" t="s">
        <v>247</v>
      </c>
      <c r="B171" s="187" t="s">
        <v>28</v>
      </c>
      <c r="C171" s="74">
        <v>2531.03505</v>
      </c>
      <c r="D171" s="74">
        <v>2771.0890299999996</v>
      </c>
      <c r="E171" s="74">
        <v>5808.2995199999996</v>
      </c>
      <c r="F171" s="74">
        <v>732.8229399999999</v>
      </c>
      <c r="G171" s="74">
        <v>3743.6752200000001</v>
      </c>
      <c r="H171" s="74">
        <v>2742.1722799999998</v>
      </c>
      <c r="I171" s="74">
        <v>3209.5962100000002</v>
      </c>
      <c r="J171" s="74">
        <v>2935.29477</v>
      </c>
      <c r="K171" s="74">
        <v>220.03364999999999</v>
      </c>
      <c r="L171" s="74">
        <v>2962.1119900000003</v>
      </c>
    </row>
    <row r="172" spans="1:12" x14ac:dyDescent="0.25">
      <c r="A172" s="76" t="s">
        <v>249</v>
      </c>
      <c r="B172" s="188"/>
      <c r="C172" s="77">
        <v>309.81232</v>
      </c>
      <c r="D172" s="77">
        <v>928.9067</v>
      </c>
      <c r="E172" s="77">
        <v>1311.2106999999999</v>
      </c>
      <c r="F172" s="77">
        <v>32.537150000000004</v>
      </c>
      <c r="G172" s="77">
        <v>7.1842499999999996</v>
      </c>
      <c r="H172" s="77">
        <v>140.47710000000001</v>
      </c>
      <c r="I172" s="77">
        <v>701.88544999999999</v>
      </c>
      <c r="J172" s="77">
        <v>2609.6846399999999</v>
      </c>
      <c r="K172" s="77">
        <v>143.50960000000001</v>
      </c>
      <c r="L172" s="77">
        <v>22646.71027</v>
      </c>
    </row>
    <row r="173" spans="1:12" ht="13.5" thickBot="1" x14ac:dyDescent="0.3">
      <c r="A173" s="78" t="s">
        <v>250</v>
      </c>
      <c r="B173" s="189"/>
      <c r="C173" s="79">
        <v>2221.22273</v>
      </c>
      <c r="D173" s="79">
        <v>1842.1823299999996</v>
      </c>
      <c r="E173" s="79">
        <v>4497.0888199999999</v>
      </c>
      <c r="F173" s="79">
        <v>700.28578999999991</v>
      </c>
      <c r="G173" s="79">
        <v>3736.4909700000003</v>
      </c>
      <c r="H173" s="79">
        <v>2601.6951799999997</v>
      </c>
      <c r="I173" s="79">
        <v>2507.7107599999999</v>
      </c>
      <c r="J173" s="79">
        <v>325.61013000000003</v>
      </c>
      <c r="K173" s="79">
        <v>76.524049999999988</v>
      </c>
      <c r="L173" s="79">
        <v>-19684.598279999998</v>
      </c>
    </row>
    <row r="174" spans="1:12" x14ac:dyDescent="0.25">
      <c r="A174" s="81" t="s">
        <v>247</v>
      </c>
      <c r="B174" s="193" t="s">
        <v>29</v>
      </c>
      <c r="C174" s="88">
        <v>45712.050040000002</v>
      </c>
      <c r="D174" s="88">
        <v>45822.400020000001</v>
      </c>
      <c r="E174" s="88">
        <v>53958.4715</v>
      </c>
      <c r="F174" s="88">
        <v>53615.414579999997</v>
      </c>
      <c r="G174" s="88">
        <v>60778.68982</v>
      </c>
      <c r="H174" s="88">
        <v>54001.559439999997</v>
      </c>
      <c r="I174" s="88">
        <v>58994.749600000003</v>
      </c>
      <c r="J174" s="88">
        <v>29651.955129999998</v>
      </c>
      <c r="K174" s="88">
        <v>4545.8539700000001</v>
      </c>
      <c r="L174" s="88">
        <v>78050.453720000005</v>
      </c>
    </row>
    <row r="175" spans="1:12" x14ac:dyDescent="0.25">
      <c r="A175" s="83" t="s">
        <v>249</v>
      </c>
      <c r="B175" s="194"/>
      <c r="C175" s="89">
        <v>9055.0936300000012</v>
      </c>
      <c r="D175" s="89">
        <v>17827.19371</v>
      </c>
      <c r="E175" s="89">
        <v>6662.7958099999996</v>
      </c>
      <c r="F175" s="89">
        <v>7521.4473600000001</v>
      </c>
      <c r="G175" s="89">
        <v>252.61704999999998</v>
      </c>
      <c r="H175" s="89">
        <v>2568.2645299999999</v>
      </c>
      <c r="I175" s="89">
        <v>25542.77145</v>
      </c>
      <c r="J175" s="89">
        <v>22924.010100000003</v>
      </c>
      <c r="K175" s="89">
        <v>2326.2934399999999</v>
      </c>
      <c r="L175" s="89">
        <v>388431.45037999999</v>
      </c>
    </row>
    <row r="176" spans="1:12" ht="13.5" thickBot="1" x14ac:dyDescent="0.3">
      <c r="A176" s="85" t="s">
        <v>250</v>
      </c>
      <c r="B176" s="195"/>
      <c r="C176" s="86">
        <v>36656.956409999999</v>
      </c>
      <c r="D176" s="86">
        <v>27995.206310000001</v>
      </c>
      <c r="E176" s="86">
        <v>47295.675690000004</v>
      </c>
      <c r="F176" s="86">
        <v>46093.967219999999</v>
      </c>
      <c r="G176" s="86">
        <v>60526.072769999999</v>
      </c>
      <c r="H176" s="86">
        <v>51433.294909999997</v>
      </c>
      <c r="I176" s="86">
        <v>33451.978150000003</v>
      </c>
      <c r="J176" s="86">
        <v>6727.9450299999953</v>
      </c>
      <c r="K176" s="86">
        <v>2219.5605300000002</v>
      </c>
      <c r="L176" s="86">
        <v>-310380.99666</v>
      </c>
    </row>
    <row r="177" spans="1:12" x14ac:dyDescent="0.25">
      <c r="A177" s="73" t="s">
        <v>247</v>
      </c>
      <c r="B177" s="187" t="s">
        <v>292</v>
      </c>
      <c r="C177" s="74">
        <v>939.27581000000009</v>
      </c>
      <c r="D177" s="74">
        <v>529.70190000000002</v>
      </c>
      <c r="E177" s="74">
        <v>1396.6798799999999</v>
      </c>
      <c r="F177" s="74">
        <v>32.098579999999998</v>
      </c>
      <c r="G177" s="74">
        <v>797.04561999999999</v>
      </c>
      <c r="H177" s="74">
        <v>587.73443999999995</v>
      </c>
      <c r="I177" s="74">
        <v>592.05093999999997</v>
      </c>
      <c r="J177" s="74">
        <v>852.25962000000004</v>
      </c>
      <c r="K177" s="74">
        <v>10.867799999999999</v>
      </c>
      <c r="L177" s="74">
        <v>1276.27277</v>
      </c>
    </row>
    <row r="178" spans="1:12" x14ac:dyDescent="0.25">
      <c r="A178" s="76" t="s">
        <v>249</v>
      </c>
      <c r="B178" s="188"/>
      <c r="C178" s="77">
        <v>122.22642999999999</v>
      </c>
      <c r="D178" s="77">
        <v>69.155899999999988</v>
      </c>
      <c r="E178" s="77">
        <v>399.43334999999996</v>
      </c>
      <c r="F178" s="77">
        <v>0</v>
      </c>
      <c r="G178" s="77">
        <v>0</v>
      </c>
      <c r="H178" s="77">
        <v>36.599800000000002</v>
      </c>
      <c r="I178" s="77">
        <v>58.784379999999999</v>
      </c>
      <c r="J178" s="77">
        <v>842.94547</v>
      </c>
      <c r="K178" s="77">
        <v>127.88142999999999</v>
      </c>
      <c r="L178" s="77">
        <v>5361.6470099999997</v>
      </c>
    </row>
    <row r="179" spans="1:12" ht="13.5" thickBot="1" x14ac:dyDescent="0.3">
      <c r="A179" s="78" t="s">
        <v>250</v>
      </c>
      <c r="B179" s="189"/>
      <c r="C179" s="79">
        <v>817.04938000000016</v>
      </c>
      <c r="D179" s="79">
        <v>460.54600000000005</v>
      </c>
      <c r="E179" s="79">
        <v>997.24652999999989</v>
      </c>
      <c r="F179" s="79">
        <v>32.098579999999998</v>
      </c>
      <c r="G179" s="79">
        <v>797.04561999999999</v>
      </c>
      <c r="H179" s="79">
        <v>551.13463999999999</v>
      </c>
      <c r="I179" s="79">
        <v>533.26656000000003</v>
      </c>
      <c r="J179" s="79">
        <v>9.3141500000000406</v>
      </c>
      <c r="K179" s="79">
        <v>-117.01362999999999</v>
      </c>
      <c r="L179" s="79">
        <v>-4085.3742399999996</v>
      </c>
    </row>
    <row r="180" spans="1:12" x14ac:dyDescent="0.25">
      <c r="A180" s="81" t="s">
        <v>247</v>
      </c>
      <c r="B180" s="193" t="s">
        <v>293</v>
      </c>
      <c r="C180" s="88">
        <v>1539.2591499999999</v>
      </c>
      <c r="D180" s="88">
        <v>689.56506000000002</v>
      </c>
      <c r="E180" s="88">
        <v>2909.1257799999998</v>
      </c>
      <c r="F180" s="88">
        <v>441.73446999999999</v>
      </c>
      <c r="G180" s="88">
        <v>1625.0451</v>
      </c>
      <c r="H180" s="88">
        <v>959.28377</v>
      </c>
      <c r="I180" s="88">
        <v>1758.65308</v>
      </c>
      <c r="J180" s="88">
        <v>2345.6814199999999</v>
      </c>
      <c r="K180" s="88">
        <v>248.11054999999999</v>
      </c>
      <c r="L180" s="88">
        <v>1375.9288300000001</v>
      </c>
    </row>
    <row r="181" spans="1:12" x14ac:dyDescent="0.25">
      <c r="A181" s="83" t="s">
        <v>249</v>
      </c>
      <c r="B181" s="194"/>
      <c r="C181" s="89">
        <v>237.93429999999998</v>
      </c>
      <c r="D181" s="89">
        <v>199.53067000000001</v>
      </c>
      <c r="E181" s="89">
        <v>663.6866</v>
      </c>
      <c r="F181" s="89">
        <v>2.76</v>
      </c>
      <c r="G181" s="89">
        <v>0</v>
      </c>
      <c r="H181" s="89">
        <v>17.303999999999998</v>
      </c>
      <c r="I181" s="89">
        <v>280.80275</v>
      </c>
      <c r="J181" s="89">
        <v>2304.12842</v>
      </c>
      <c r="K181" s="89">
        <v>327.10742999999997</v>
      </c>
      <c r="L181" s="89">
        <v>9407.0484299999989</v>
      </c>
    </row>
    <row r="182" spans="1:12" ht="13.5" thickBot="1" x14ac:dyDescent="0.3">
      <c r="A182" s="85" t="s">
        <v>250</v>
      </c>
      <c r="B182" s="195"/>
      <c r="C182" s="86">
        <v>1301.32485</v>
      </c>
      <c r="D182" s="86">
        <v>490.03439000000003</v>
      </c>
      <c r="E182" s="86">
        <v>2245.4391799999999</v>
      </c>
      <c r="F182" s="86">
        <v>438.97447</v>
      </c>
      <c r="G182" s="86">
        <v>1625.0451</v>
      </c>
      <c r="H182" s="86">
        <v>941.97977000000003</v>
      </c>
      <c r="I182" s="86">
        <v>1477.85033</v>
      </c>
      <c r="J182" s="86">
        <v>41.552999999999884</v>
      </c>
      <c r="K182" s="86">
        <v>-78.996879999999976</v>
      </c>
      <c r="L182" s="86">
        <v>-8031.1195999999991</v>
      </c>
    </row>
    <row r="183" spans="1:12" x14ac:dyDescent="0.25">
      <c r="A183" s="73" t="s">
        <v>247</v>
      </c>
      <c r="B183" s="187" t="s">
        <v>294</v>
      </c>
      <c r="C183" s="74">
        <v>883.21271000000002</v>
      </c>
      <c r="D183" s="74">
        <v>539.00364999999999</v>
      </c>
      <c r="E183" s="74">
        <v>1218.7791599999998</v>
      </c>
      <c r="F183" s="74">
        <v>192.42075</v>
      </c>
      <c r="G183" s="74">
        <v>1220.8656699999999</v>
      </c>
      <c r="H183" s="74">
        <v>734.48374000000001</v>
      </c>
      <c r="I183" s="74">
        <v>704.54680000000008</v>
      </c>
      <c r="J183" s="74">
        <v>1136.18949</v>
      </c>
      <c r="K183" s="74">
        <v>28.70965</v>
      </c>
      <c r="L183" s="74">
        <v>635.04264999999998</v>
      </c>
    </row>
    <row r="184" spans="1:12" x14ac:dyDescent="0.25">
      <c r="A184" s="76" t="s">
        <v>249</v>
      </c>
      <c r="B184" s="188"/>
      <c r="C184" s="77">
        <v>67.113199999999992</v>
      </c>
      <c r="D184" s="77">
        <v>62.236199999999997</v>
      </c>
      <c r="E184" s="77">
        <v>293.26035999999999</v>
      </c>
      <c r="F184" s="77">
        <v>4.96</v>
      </c>
      <c r="G184" s="77">
        <v>0</v>
      </c>
      <c r="H184" s="77">
        <v>5.7122000000000002</v>
      </c>
      <c r="I184" s="77">
        <v>221.24204999999998</v>
      </c>
      <c r="J184" s="77">
        <v>1080.92029</v>
      </c>
      <c r="K184" s="77">
        <v>45.058</v>
      </c>
      <c r="L184" s="77">
        <v>5797.7866199999999</v>
      </c>
    </row>
    <row r="185" spans="1:12" ht="13.5" thickBot="1" x14ac:dyDescent="0.3">
      <c r="A185" s="78" t="s">
        <v>250</v>
      </c>
      <c r="B185" s="189"/>
      <c r="C185" s="79">
        <v>816.09951000000001</v>
      </c>
      <c r="D185" s="79">
        <v>476.76745</v>
      </c>
      <c r="E185" s="79">
        <v>925.51879999999983</v>
      </c>
      <c r="F185" s="79">
        <v>187.46074999999999</v>
      </c>
      <c r="G185" s="79">
        <v>1220.8656699999999</v>
      </c>
      <c r="H185" s="79">
        <v>728.77153999999996</v>
      </c>
      <c r="I185" s="79">
        <v>483.30475000000013</v>
      </c>
      <c r="J185" s="79">
        <v>55.269199999999955</v>
      </c>
      <c r="K185" s="79">
        <v>-16.34835</v>
      </c>
      <c r="L185" s="79">
        <v>-5162.7439699999995</v>
      </c>
    </row>
    <row r="186" spans="1:12" x14ac:dyDescent="0.25">
      <c r="A186" s="90" t="s">
        <v>247</v>
      </c>
      <c r="B186" s="193" t="s">
        <v>295</v>
      </c>
      <c r="C186" s="88">
        <v>1327.2677099999999</v>
      </c>
      <c r="D186" s="88">
        <v>408.86609999999996</v>
      </c>
      <c r="E186" s="88">
        <v>4208.6548600000006</v>
      </c>
      <c r="F186" s="88">
        <v>788.14313000000004</v>
      </c>
      <c r="G186" s="88">
        <v>1815.2313899999999</v>
      </c>
      <c r="H186" s="88">
        <v>1174.7053100000001</v>
      </c>
      <c r="I186" s="88">
        <v>1139.4578999999999</v>
      </c>
      <c r="J186" s="88">
        <v>1442.1380200000001</v>
      </c>
      <c r="K186" s="88">
        <v>5.2873999999999999</v>
      </c>
      <c r="L186" s="88">
        <v>3558.1807899999999</v>
      </c>
    </row>
    <row r="187" spans="1:12" x14ac:dyDescent="0.25">
      <c r="A187" s="83" t="s">
        <v>249</v>
      </c>
      <c r="B187" s="194"/>
      <c r="C187" s="89">
        <v>146.04427999999999</v>
      </c>
      <c r="D187" s="89">
        <v>32.832650000000001</v>
      </c>
      <c r="E187" s="89">
        <v>3174.54385</v>
      </c>
      <c r="F187" s="89">
        <v>26.54279</v>
      </c>
      <c r="G187" s="89">
        <v>0</v>
      </c>
      <c r="H187" s="89">
        <v>4.7329999999999997</v>
      </c>
      <c r="I187" s="89">
        <v>145.39370000000002</v>
      </c>
      <c r="J187" s="89">
        <v>1044.77332</v>
      </c>
      <c r="K187" s="89">
        <v>49.735599999999998</v>
      </c>
      <c r="L187" s="89">
        <v>13685.83698</v>
      </c>
    </row>
    <row r="188" spans="1:12" ht="13.5" thickBot="1" x14ac:dyDescent="0.3">
      <c r="A188" s="85" t="s">
        <v>250</v>
      </c>
      <c r="B188" s="195"/>
      <c r="C188" s="86">
        <v>1181.2234299999998</v>
      </c>
      <c r="D188" s="86">
        <v>376.03344999999996</v>
      </c>
      <c r="E188" s="86">
        <v>1034.1110100000005</v>
      </c>
      <c r="F188" s="86">
        <v>761.60034000000007</v>
      </c>
      <c r="G188" s="86">
        <v>1815.2313899999999</v>
      </c>
      <c r="H188" s="86">
        <v>1169.9723100000001</v>
      </c>
      <c r="I188" s="86">
        <v>994.0641999999998</v>
      </c>
      <c r="J188" s="86">
        <v>397.36470000000008</v>
      </c>
      <c r="K188" s="86">
        <v>-44.4482</v>
      </c>
      <c r="L188" s="86">
        <v>-10127.65619</v>
      </c>
    </row>
    <row r="189" spans="1:12" x14ac:dyDescent="0.25">
      <c r="A189" s="73" t="s">
        <v>247</v>
      </c>
      <c r="B189" s="187" t="s">
        <v>15</v>
      </c>
      <c r="C189" s="74">
        <v>3494.6441</v>
      </c>
      <c r="D189" s="74">
        <v>5947.8481600000005</v>
      </c>
      <c r="E189" s="74">
        <v>5638.7847999999994</v>
      </c>
      <c r="F189" s="74">
        <v>1822.3438600000002</v>
      </c>
      <c r="G189" s="74">
        <v>5174.0070599999999</v>
      </c>
      <c r="H189" s="74">
        <v>3810.80557</v>
      </c>
      <c r="I189" s="74">
        <v>2662.6136000000001</v>
      </c>
      <c r="J189" s="74">
        <v>1792.87211</v>
      </c>
      <c r="K189" s="74">
        <v>38.674550000000004</v>
      </c>
      <c r="L189" s="74">
        <v>3128.9583700000003</v>
      </c>
    </row>
    <row r="190" spans="1:12" x14ac:dyDescent="0.25">
      <c r="A190" s="76" t="s">
        <v>249</v>
      </c>
      <c r="B190" s="188"/>
      <c r="C190" s="77">
        <v>649.21232999999995</v>
      </c>
      <c r="D190" s="77">
        <v>4242.9660700000004</v>
      </c>
      <c r="E190" s="77">
        <v>877.68651</v>
      </c>
      <c r="F190" s="77">
        <v>761.69342000000006</v>
      </c>
      <c r="G190" s="77">
        <v>155.77275</v>
      </c>
      <c r="H190" s="77">
        <v>70.951399999999992</v>
      </c>
      <c r="I190" s="77">
        <v>571.39935000000003</v>
      </c>
      <c r="J190" s="77">
        <v>1679.3235</v>
      </c>
      <c r="K190" s="77">
        <v>86.736999999999995</v>
      </c>
      <c r="L190" s="77">
        <v>27982.223040000001</v>
      </c>
    </row>
    <row r="191" spans="1:12" ht="13.5" thickBot="1" x14ac:dyDescent="0.3">
      <c r="A191" s="78" t="s">
        <v>250</v>
      </c>
      <c r="B191" s="189"/>
      <c r="C191" s="79">
        <v>2845.4317700000001</v>
      </c>
      <c r="D191" s="79">
        <v>1704.8820900000001</v>
      </c>
      <c r="E191" s="79">
        <v>4761.0982899999999</v>
      </c>
      <c r="F191" s="79">
        <v>1060.6504400000001</v>
      </c>
      <c r="G191" s="79">
        <v>5018.2343099999998</v>
      </c>
      <c r="H191" s="79">
        <v>3739.8541700000001</v>
      </c>
      <c r="I191" s="79">
        <v>2091.21425</v>
      </c>
      <c r="J191" s="79">
        <v>113.54861000000005</v>
      </c>
      <c r="K191" s="79">
        <v>-48.062449999999991</v>
      </c>
      <c r="L191" s="79">
        <v>-24853.26467</v>
      </c>
    </row>
    <row r="192" spans="1:12" x14ac:dyDescent="0.25">
      <c r="A192" s="81" t="s">
        <v>247</v>
      </c>
      <c r="B192" s="193" t="s">
        <v>296</v>
      </c>
      <c r="C192" s="88">
        <v>1127.58178</v>
      </c>
      <c r="D192" s="88">
        <v>781.27499999999998</v>
      </c>
      <c r="E192" s="88">
        <v>1695.2845300000001</v>
      </c>
      <c r="F192" s="88">
        <v>792.62116000000003</v>
      </c>
      <c r="G192" s="88">
        <v>1395.3653700000002</v>
      </c>
      <c r="H192" s="88">
        <v>870.01161999999999</v>
      </c>
      <c r="I192" s="88">
        <v>889.80296999999996</v>
      </c>
      <c r="J192" s="88">
        <v>1381.6565000000001</v>
      </c>
      <c r="K192" s="88">
        <v>31.625990000000002</v>
      </c>
      <c r="L192" s="88">
        <v>1017.59408</v>
      </c>
    </row>
    <row r="193" spans="1:12" x14ac:dyDescent="0.25">
      <c r="A193" s="83" t="s">
        <v>249</v>
      </c>
      <c r="B193" s="194"/>
      <c r="C193" s="89">
        <v>370.14681000000002</v>
      </c>
      <c r="D193" s="89">
        <v>199.19125</v>
      </c>
      <c r="E193" s="89">
        <v>597.08856000000003</v>
      </c>
      <c r="F193" s="89">
        <v>340.31195000000002</v>
      </c>
      <c r="G193" s="89">
        <v>2.0448</v>
      </c>
      <c r="H193" s="89">
        <v>3.4710000000000001</v>
      </c>
      <c r="I193" s="89">
        <v>634.74471999999992</v>
      </c>
      <c r="J193" s="89">
        <v>1368.6395199999999</v>
      </c>
      <c r="K193" s="89">
        <v>130.70836</v>
      </c>
      <c r="L193" s="89">
        <v>6442.0815599999996</v>
      </c>
    </row>
    <row r="194" spans="1:12" ht="13.5" thickBot="1" x14ac:dyDescent="0.3">
      <c r="A194" s="85" t="s">
        <v>250</v>
      </c>
      <c r="B194" s="195"/>
      <c r="C194" s="86">
        <v>757.43497000000002</v>
      </c>
      <c r="D194" s="86">
        <v>582.08375000000001</v>
      </c>
      <c r="E194" s="86">
        <v>1098.1959700000002</v>
      </c>
      <c r="F194" s="86">
        <v>452.30921000000001</v>
      </c>
      <c r="G194" s="86">
        <v>1393.3205700000003</v>
      </c>
      <c r="H194" s="86">
        <v>866.54061999999999</v>
      </c>
      <c r="I194" s="86">
        <v>255.05825000000004</v>
      </c>
      <c r="J194" s="86">
        <v>13.016980000000103</v>
      </c>
      <c r="K194" s="86">
        <v>-99.082369999999997</v>
      </c>
      <c r="L194" s="86">
        <v>-5424.4874799999998</v>
      </c>
    </row>
    <row r="195" spans="1:12" x14ac:dyDescent="0.25">
      <c r="A195" s="73" t="s">
        <v>247</v>
      </c>
      <c r="B195" s="187" t="s">
        <v>16</v>
      </c>
      <c r="C195" s="74">
        <v>9718.8444899999995</v>
      </c>
      <c r="D195" s="74">
        <v>11238.41965</v>
      </c>
      <c r="E195" s="74">
        <v>11723.829099999999</v>
      </c>
      <c r="F195" s="74">
        <v>8113.4912699999995</v>
      </c>
      <c r="G195" s="74">
        <v>12488.559929999999</v>
      </c>
      <c r="H195" s="74">
        <v>12017.60044</v>
      </c>
      <c r="I195" s="74">
        <v>8873.3601400000007</v>
      </c>
      <c r="J195" s="74">
        <v>7670.8415400000004</v>
      </c>
      <c r="K195" s="74">
        <v>339.47122999999999</v>
      </c>
      <c r="L195" s="74">
        <v>15651.146470000002</v>
      </c>
    </row>
    <row r="196" spans="1:12" x14ac:dyDescent="0.25">
      <c r="A196" s="76" t="s">
        <v>249</v>
      </c>
      <c r="B196" s="188"/>
      <c r="C196" s="77">
        <v>3578.8261000000002</v>
      </c>
      <c r="D196" s="77">
        <v>4630.3973800000003</v>
      </c>
      <c r="E196" s="77">
        <v>1891.6321599999999</v>
      </c>
      <c r="F196" s="77">
        <v>2000.9141399999999</v>
      </c>
      <c r="G196" s="77">
        <v>120.60975000000001</v>
      </c>
      <c r="H196" s="77">
        <v>2682.6181900000001</v>
      </c>
      <c r="I196" s="77">
        <v>2675.7632999999996</v>
      </c>
      <c r="J196" s="77">
        <v>6208.2528300000004</v>
      </c>
      <c r="K196" s="77">
        <v>539.89909999999998</v>
      </c>
      <c r="L196" s="77">
        <v>78320.400670000003</v>
      </c>
    </row>
    <row r="197" spans="1:12" ht="13.5" thickBot="1" x14ac:dyDescent="0.3">
      <c r="A197" s="78" t="s">
        <v>250</v>
      </c>
      <c r="B197" s="189"/>
      <c r="C197" s="79">
        <v>6140.0183899999993</v>
      </c>
      <c r="D197" s="79">
        <v>6608.0222699999995</v>
      </c>
      <c r="E197" s="79">
        <v>9832.1969399999998</v>
      </c>
      <c r="F197" s="79">
        <v>6112.5771299999997</v>
      </c>
      <c r="G197" s="79">
        <v>12367.95018</v>
      </c>
      <c r="H197" s="79">
        <v>9334.9822500000009</v>
      </c>
      <c r="I197" s="79">
        <v>6197.5968400000011</v>
      </c>
      <c r="J197" s="79">
        <v>1462.58871</v>
      </c>
      <c r="K197" s="79">
        <v>-200.42786999999998</v>
      </c>
      <c r="L197" s="79">
        <v>-62669.254200000003</v>
      </c>
    </row>
    <row r="198" spans="1:12" x14ac:dyDescent="0.25">
      <c r="A198" s="81" t="s">
        <v>247</v>
      </c>
      <c r="B198" s="193" t="s">
        <v>297</v>
      </c>
      <c r="C198" s="88">
        <v>355.32846999999998</v>
      </c>
      <c r="D198" s="88">
        <v>92.325620000000001</v>
      </c>
      <c r="E198" s="88">
        <v>62.281999999999996</v>
      </c>
      <c r="F198" s="88">
        <v>5.0250000000000004</v>
      </c>
      <c r="G198" s="88">
        <v>117.22735</v>
      </c>
      <c r="H198" s="88">
        <v>79.369860000000003</v>
      </c>
      <c r="I198" s="88">
        <v>389.13051000000002</v>
      </c>
      <c r="J198" s="88">
        <v>485.96684999999997</v>
      </c>
      <c r="K198" s="88">
        <v>15.44205</v>
      </c>
      <c r="L198" s="88">
        <v>205.51636999999999</v>
      </c>
    </row>
    <row r="199" spans="1:12" x14ac:dyDescent="0.25">
      <c r="A199" s="83" t="s">
        <v>249</v>
      </c>
      <c r="B199" s="194"/>
      <c r="C199" s="89">
        <v>30.380700000000001</v>
      </c>
      <c r="D199" s="89">
        <v>12.2761</v>
      </c>
      <c r="E199" s="89">
        <v>24.146999999999998</v>
      </c>
      <c r="F199" s="89">
        <v>0</v>
      </c>
      <c r="G199" s="89">
        <v>0</v>
      </c>
      <c r="H199" s="89">
        <v>0.88</v>
      </c>
      <c r="I199" s="89">
        <v>158.6336</v>
      </c>
      <c r="J199" s="89">
        <v>419.45453999999995</v>
      </c>
      <c r="K199" s="89">
        <v>37.951999999999998</v>
      </c>
      <c r="L199" s="89">
        <v>957.04028000000005</v>
      </c>
    </row>
    <row r="200" spans="1:12" ht="13.5" thickBot="1" x14ac:dyDescent="0.3">
      <c r="A200" s="85" t="s">
        <v>250</v>
      </c>
      <c r="B200" s="195"/>
      <c r="C200" s="86">
        <v>324.94776999999999</v>
      </c>
      <c r="D200" s="86">
        <v>80.049520000000001</v>
      </c>
      <c r="E200" s="86">
        <v>38.134999999999998</v>
      </c>
      <c r="F200" s="86">
        <v>5.0250000000000004</v>
      </c>
      <c r="G200" s="86">
        <v>117.22735</v>
      </c>
      <c r="H200" s="86">
        <v>78.489860000000007</v>
      </c>
      <c r="I200" s="86">
        <v>230.49691000000001</v>
      </c>
      <c r="J200" s="86">
        <v>66.512310000000014</v>
      </c>
      <c r="K200" s="86">
        <v>-22.509949999999996</v>
      </c>
      <c r="L200" s="86">
        <v>-751.52391000000011</v>
      </c>
    </row>
    <row r="201" spans="1:12" x14ac:dyDescent="0.25">
      <c r="A201" s="87" t="s">
        <v>247</v>
      </c>
      <c r="B201" s="188" t="s">
        <v>298</v>
      </c>
      <c r="C201" s="91">
        <v>1115.7572600000001</v>
      </c>
      <c r="D201" s="91">
        <v>353.94390999999996</v>
      </c>
      <c r="E201" s="91">
        <v>1439.61878</v>
      </c>
      <c r="F201" s="91">
        <v>182.49235000000002</v>
      </c>
      <c r="G201" s="91">
        <v>1182.4892299999999</v>
      </c>
      <c r="H201" s="91">
        <v>856.58656999999994</v>
      </c>
      <c r="I201" s="91">
        <v>784.15727000000004</v>
      </c>
      <c r="J201" s="91">
        <v>1334.6864800000001</v>
      </c>
      <c r="K201" s="91">
        <v>45.952599999999997</v>
      </c>
      <c r="L201" s="91">
        <v>2292.2338199999999</v>
      </c>
    </row>
    <row r="202" spans="1:12" x14ac:dyDescent="0.25">
      <c r="A202" s="76" t="s">
        <v>249</v>
      </c>
      <c r="B202" s="188"/>
      <c r="C202" s="77">
        <v>282.02620000000002</v>
      </c>
      <c r="D202" s="77">
        <v>43.429349999999999</v>
      </c>
      <c r="E202" s="77">
        <v>229.2029</v>
      </c>
      <c r="F202" s="77">
        <v>1.2</v>
      </c>
      <c r="G202" s="77">
        <v>0</v>
      </c>
      <c r="H202" s="77">
        <v>2.9079999999999999</v>
      </c>
      <c r="I202" s="77">
        <v>170.62414999999999</v>
      </c>
      <c r="J202" s="77">
        <v>1059.3647900000001</v>
      </c>
      <c r="K202" s="77">
        <v>125.58199999999999</v>
      </c>
      <c r="L202" s="77">
        <v>7683.6585500000001</v>
      </c>
    </row>
    <row r="203" spans="1:12" ht="13.5" thickBot="1" x14ac:dyDescent="0.3">
      <c r="A203" s="92" t="s">
        <v>250</v>
      </c>
      <c r="B203" s="188"/>
      <c r="C203" s="79">
        <v>833.73106000000007</v>
      </c>
      <c r="D203" s="79">
        <v>310.51455999999996</v>
      </c>
      <c r="E203" s="79">
        <v>1210.41588</v>
      </c>
      <c r="F203" s="79">
        <v>181.29235000000003</v>
      </c>
      <c r="G203" s="79">
        <v>1182.4892299999999</v>
      </c>
      <c r="H203" s="79">
        <v>853.67856999999992</v>
      </c>
      <c r="I203" s="79">
        <v>613.53312000000005</v>
      </c>
      <c r="J203" s="79">
        <v>275.32168999999999</v>
      </c>
      <c r="K203" s="79">
        <v>-79.629400000000004</v>
      </c>
      <c r="L203" s="79">
        <v>-5391.4247300000006</v>
      </c>
    </row>
    <row r="204" spans="1:12" x14ac:dyDescent="0.25">
      <c r="A204" s="81" t="s">
        <v>247</v>
      </c>
      <c r="B204" s="193" t="s">
        <v>299</v>
      </c>
      <c r="C204" s="88">
        <v>264.63249000000002</v>
      </c>
      <c r="D204" s="88">
        <v>78.915509999999998</v>
      </c>
      <c r="E204" s="88">
        <v>264.67296999999996</v>
      </c>
      <c r="F204" s="88">
        <v>23.598749999999999</v>
      </c>
      <c r="G204" s="88">
        <v>197.17604</v>
      </c>
      <c r="H204" s="88">
        <v>131.13082</v>
      </c>
      <c r="I204" s="88">
        <v>124.91139</v>
      </c>
      <c r="J204" s="88">
        <v>279.44014000000004</v>
      </c>
      <c r="K204" s="88">
        <v>9.72959</v>
      </c>
      <c r="L204" s="88">
        <v>136.98163</v>
      </c>
    </row>
    <row r="205" spans="1:12" x14ac:dyDescent="0.25">
      <c r="A205" s="83" t="s">
        <v>249</v>
      </c>
      <c r="B205" s="194"/>
      <c r="C205" s="89">
        <v>30.550999999999998</v>
      </c>
      <c r="D205" s="89">
        <v>30.303999999999998</v>
      </c>
      <c r="E205" s="89">
        <v>62.22475</v>
      </c>
      <c r="F205" s="89">
        <v>0</v>
      </c>
      <c r="G205" s="89">
        <v>0</v>
      </c>
      <c r="H205" s="89">
        <v>0.9224</v>
      </c>
      <c r="I205" s="89">
        <v>16.22954</v>
      </c>
      <c r="J205" s="89">
        <v>218.68199999999999</v>
      </c>
      <c r="K205" s="89">
        <v>32.615020000000001</v>
      </c>
      <c r="L205" s="89">
        <v>1188.2546599999998</v>
      </c>
    </row>
    <row r="206" spans="1:12" ht="13.5" thickBot="1" x14ac:dyDescent="0.3">
      <c r="A206" s="85" t="s">
        <v>250</v>
      </c>
      <c r="B206" s="195"/>
      <c r="C206" s="86">
        <v>234.08149000000003</v>
      </c>
      <c r="D206" s="86">
        <v>48.611509999999996</v>
      </c>
      <c r="E206" s="86">
        <v>202.44821999999996</v>
      </c>
      <c r="F206" s="86">
        <v>23.598749999999999</v>
      </c>
      <c r="G206" s="86">
        <v>197.17604</v>
      </c>
      <c r="H206" s="86">
        <v>130.20841999999999</v>
      </c>
      <c r="I206" s="86">
        <v>108.68185</v>
      </c>
      <c r="J206" s="86">
        <v>60.758140000000054</v>
      </c>
      <c r="K206" s="86">
        <v>-22.885429999999999</v>
      </c>
      <c r="L206" s="86">
        <v>-1051.2730299999998</v>
      </c>
    </row>
    <row r="207" spans="1:12" x14ac:dyDescent="0.25">
      <c r="A207" s="73" t="s">
        <v>247</v>
      </c>
      <c r="B207" s="187" t="s">
        <v>17</v>
      </c>
      <c r="C207" s="74">
        <v>3967.19533</v>
      </c>
      <c r="D207" s="74">
        <v>3838.6281899999999</v>
      </c>
      <c r="E207" s="74">
        <v>4996.9026199999998</v>
      </c>
      <c r="F207" s="74">
        <v>1652.04404</v>
      </c>
      <c r="G207" s="74">
        <v>12524.172140000001</v>
      </c>
      <c r="H207" s="74">
        <v>3588.3571499999998</v>
      </c>
      <c r="I207" s="74">
        <v>3918.1734100000003</v>
      </c>
      <c r="J207" s="74">
        <v>2407.6127900000001</v>
      </c>
      <c r="K207" s="74">
        <v>146.59800000000001</v>
      </c>
      <c r="L207" s="74">
        <v>2534.1517400000002</v>
      </c>
    </row>
    <row r="208" spans="1:12" x14ac:dyDescent="0.25">
      <c r="A208" s="76" t="s">
        <v>249</v>
      </c>
      <c r="B208" s="188"/>
      <c r="C208" s="77">
        <v>595.63608999999997</v>
      </c>
      <c r="D208" s="77">
        <v>2034.7741000000001</v>
      </c>
      <c r="E208" s="77">
        <v>1020.1325000000001</v>
      </c>
      <c r="F208" s="77">
        <v>38.175660000000001</v>
      </c>
      <c r="G208" s="77">
        <v>7405.4989999999998</v>
      </c>
      <c r="H208" s="77">
        <v>73.100200000000001</v>
      </c>
      <c r="I208" s="77">
        <v>1085.4218999999998</v>
      </c>
      <c r="J208" s="77">
        <v>1982.2624599999999</v>
      </c>
      <c r="K208" s="77">
        <v>176.44047</v>
      </c>
      <c r="L208" s="77">
        <v>24739.95249</v>
      </c>
    </row>
    <row r="209" spans="1:12" ht="13.5" thickBot="1" x14ac:dyDescent="0.3">
      <c r="A209" s="78" t="s">
        <v>250</v>
      </c>
      <c r="B209" s="189"/>
      <c r="C209" s="79">
        <v>3371.55924</v>
      </c>
      <c r="D209" s="79">
        <v>1803.8540899999998</v>
      </c>
      <c r="E209" s="79">
        <v>3976.7701199999997</v>
      </c>
      <c r="F209" s="79">
        <v>1613.8683799999999</v>
      </c>
      <c r="G209" s="79">
        <v>5118.6731400000008</v>
      </c>
      <c r="H209" s="79">
        <v>3515.25695</v>
      </c>
      <c r="I209" s="79">
        <v>2832.7515100000005</v>
      </c>
      <c r="J209" s="79">
        <v>425.35033000000021</v>
      </c>
      <c r="K209" s="79">
        <v>-29.842469999999992</v>
      </c>
      <c r="L209" s="79">
        <v>-22205.800749999999</v>
      </c>
    </row>
    <row r="210" spans="1:12" x14ac:dyDescent="0.25">
      <c r="A210" s="81" t="s">
        <v>247</v>
      </c>
      <c r="B210" s="193" t="s">
        <v>300</v>
      </c>
      <c r="C210" s="88">
        <v>2755.9149500000003</v>
      </c>
      <c r="D210" s="88">
        <v>1069.9963899999998</v>
      </c>
      <c r="E210" s="88">
        <v>4192.4350299999996</v>
      </c>
      <c r="F210" s="88">
        <v>480.58120000000002</v>
      </c>
      <c r="G210" s="88">
        <v>2609.8828800000001</v>
      </c>
      <c r="H210" s="88">
        <v>1679.1733000000002</v>
      </c>
      <c r="I210" s="88">
        <v>1925.04116</v>
      </c>
      <c r="J210" s="88">
        <v>3024.3245099999999</v>
      </c>
      <c r="K210" s="88">
        <v>28.502299999999998</v>
      </c>
      <c r="L210" s="88">
        <v>1926.03351</v>
      </c>
    </row>
    <row r="211" spans="1:12" x14ac:dyDescent="0.25">
      <c r="A211" s="83" t="s">
        <v>249</v>
      </c>
      <c r="B211" s="194"/>
      <c r="C211" s="89">
        <v>407.99064000000004</v>
      </c>
      <c r="D211" s="89">
        <v>133.7902</v>
      </c>
      <c r="E211" s="89">
        <v>909.79835000000003</v>
      </c>
      <c r="F211" s="89">
        <v>30.1661</v>
      </c>
      <c r="G211" s="89">
        <v>0</v>
      </c>
      <c r="H211" s="89">
        <v>17.191200000000002</v>
      </c>
      <c r="I211" s="89">
        <v>277.32390000000004</v>
      </c>
      <c r="J211" s="89">
        <v>2621.3415199999999</v>
      </c>
      <c r="K211" s="89">
        <v>305.72116</v>
      </c>
      <c r="L211" s="89">
        <v>15191.89141</v>
      </c>
    </row>
    <row r="212" spans="1:12" ht="13.5" thickBot="1" x14ac:dyDescent="0.3">
      <c r="A212" s="85" t="s">
        <v>250</v>
      </c>
      <c r="B212" s="195"/>
      <c r="C212" s="86">
        <v>2347.9243100000003</v>
      </c>
      <c r="D212" s="86">
        <v>936.20618999999976</v>
      </c>
      <c r="E212" s="86">
        <v>3282.6366799999996</v>
      </c>
      <c r="F212" s="86">
        <v>450.41510000000005</v>
      </c>
      <c r="G212" s="86">
        <v>2609.8828800000001</v>
      </c>
      <c r="H212" s="86">
        <v>1661.9821000000002</v>
      </c>
      <c r="I212" s="86">
        <v>1647.7172599999999</v>
      </c>
      <c r="J212" s="86">
        <v>402.98298999999997</v>
      </c>
      <c r="K212" s="86">
        <v>-277.21886000000001</v>
      </c>
      <c r="L212" s="86">
        <v>-13265.857900000001</v>
      </c>
    </row>
    <row r="213" spans="1:12" x14ac:dyDescent="0.25">
      <c r="A213" s="73" t="s">
        <v>247</v>
      </c>
      <c r="B213" s="187" t="s">
        <v>18</v>
      </c>
      <c r="C213" s="74">
        <v>3173.2005099999997</v>
      </c>
      <c r="D213" s="74">
        <v>1169.3111699999999</v>
      </c>
      <c r="E213" s="74">
        <v>3901.5673199999997</v>
      </c>
      <c r="F213" s="74">
        <v>916.86304000000007</v>
      </c>
      <c r="G213" s="74">
        <v>2879.8709199999998</v>
      </c>
      <c r="H213" s="74">
        <v>2158.8377300000002</v>
      </c>
      <c r="I213" s="74">
        <v>1554.6187</v>
      </c>
      <c r="J213" s="74">
        <v>1552.28721</v>
      </c>
      <c r="K213" s="74">
        <v>20.908849999999997</v>
      </c>
      <c r="L213" s="74">
        <v>1437.6538700000001</v>
      </c>
    </row>
    <row r="214" spans="1:12" x14ac:dyDescent="0.25">
      <c r="A214" s="76" t="s">
        <v>249</v>
      </c>
      <c r="B214" s="188"/>
      <c r="C214" s="77">
        <v>1456.64465</v>
      </c>
      <c r="D214" s="77">
        <v>157.67124999999999</v>
      </c>
      <c r="E214" s="77">
        <v>1072.1621299999999</v>
      </c>
      <c r="F214" s="77">
        <v>92.184619999999995</v>
      </c>
      <c r="G214" s="77">
        <v>5.5460000000000003</v>
      </c>
      <c r="H214" s="77">
        <v>16.622799999999998</v>
      </c>
      <c r="I214" s="77">
        <v>197.59960000000001</v>
      </c>
      <c r="J214" s="77">
        <v>1376.8998000000001</v>
      </c>
      <c r="K214" s="77">
        <v>104.45108</v>
      </c>
      <c r="L214" s="77">
        <v>15655.423989999999</v>
      </c>
    </row>
    <row r="215" spans="1:12" ht="13.5" thickBot="1" x14ac:dyDescent="0.3">
      <c r="A215" s="78" t="s">
        <v>250</v>
      </c>
      <c r="B215" s="189"/>
      <c r="C215" s="79">
        <v>1716.5558599999997</v>
      </c>
      <c r="D215" s="79">
        <v>1011.63992</v>
      </c>
      <c r="E215" s="79">
        <v>2829.4051899999995</v>
      </c>
      <c r="F215" s="79">
        <v>824.67842000000007</v>
      </c>
      <c r="G215" s="79">
        <v>2874.32492</v>
      </c>
      <c r="H215" s="79">
        <v>2142.2149300000001</v>
      </c>
      <c r="I215" s="79">
        <v>1357.0191</v>
      </c>
      <c r="J215" s="79">
        <v>175.38740999999982</v>
      </c>
      <c r="K215" s="79">
        <v>-83.542230000000004</v>
      </c>
      <c r="L215" s="79">
        <v>-14217.770119999999</v>
      </c>
    </row>
    <row r="216" spans="1:12" x14ac:dyDescent="0.25">
      <c r="A216" s="81" t="s">
        <v>247</v>
      </c>
      <c r="B216" s="193" t="s">
        <v>301</v>
      </c>
      <c r="C216" s="88">
        <v>1560.43406</v>
      </c>
      <c r="D216" s="88">
        <v>367.08870000000002</v>
      </c>
      <c r="E216" s="88">
        <v>776.73081000000002</v>
      </c>
      <c r="F216" s="88">
        <v>408.81948</v>
      </c>
      <c r="G216" s="88">
        <v>1105.6373999999998</v>
      </c>
      <c r="H216" s="88">
        <v>756.30191000000002</v>
      </c>
      <c r="I216" s="88">
        <v>1751.30152</v>
      </c>
      <c r="J216" s="88">
        <v>1326.1077</v>
      </c>
      <c r="K216" s="88">
        <v>225.60160000000002</v>
      </c>
      <c r="L216" s="88">
        <v>1864.4598999999998</v>
      </c>
    </row>
    <row r="217" spans="1:12" x14ac:dyDescent="0.25">
      <c r="A217" s="83" t="s">
        <v>249</v>
      </c>
      <c r="B217" s="194"/>
      <c r="C217" s="89">
        <v>219.39135999999999</v>
      </c>
      <c r="D217" s="89">
        <v>61.537300000000002</v>
      </c>
      <c r="E217" s="89">
        <v>369.38506999999998</v>
      </c>
      <c r="F217" s="89">
        <v>40.305050000000001</v>
      </c>
      <c r="G217" s="89">
        <v>0</v>
      </c>
      <c r="H217" s="89">
        <v>26.261980000000001</v>
      </c>
      <c r="I217" s="89">
        <v>908.43148999999994</v>
      </c>
      <c r="J217" s="89">
        <v>1070.2494199999999</v>
      </c>
      <c r="K217" s="89">
        <v>2.93</v>
      </c>
      <c r="L217" s="89">
        <v>9159.3797500000001</v>
      </c>
    </row>
    <row r="218" spans="1:12" ht="13.5" thickBot="1" x14ac:dyDescent="0.3">
      <c r="A218" s="85" t="s">
        <v>250</v>
      </c>
      <c r="B218" s="195"/>
      <c r="C218" s="86">
        <v>1341.0427</v>
      </c>
      <c r="D218" s="86">
        <v>305.5514</v>
      </c>
      <c r="E218" s="86">
        <v>407.34574000000003</v>
      </c>
      <c r="F218" s="86">
        <v>368.51443</v>
      </c>
      <c r="G218" s="86">
        <v>1105.6373999999998</v>
      </c>
      <c r="H218" s="86">
        <v>730.03993000000003</v>
      </c>
      <c r="I218" s="86">
        <v>842.87003000000004</v>
      </c>
      <c r="J218" s="86">
        <v>255.85828000000015</v>
      </c>
      <c r="K218" s="86">
        <v>222.67160000000001</v>
      </c>
      <c r="L218" s="86">
        <v>-7294.9198500000002</v>
      </c>
    </row>
    <row r="219" spans="1:12" x14ac:dyDescent="0.25">
      <c r="A219" s="73" t="s">
        <v>247</v>
      </c>
      <c r="B219" s="187" t="s">
        <v>19</v>
      </c>
      <c r="C219" s="74">
        <v>1601.9845</v>
      </c>
      <c r="D219" s="74">
        <v>1665.0134599999999</v>
      </c>
      <c r="E219" s="74">
        <v>1652.74504</v>
      </c>
      <c r="F219" s="74">
        <v>916.05457999999999</v>
      </c>
      <c r="G219" s="74">
        <v>1967.90867</v>
      </c>
      <c r="H219" s="74">
        <v>1498.5361799999998</v>
      </c>
      <c r="I219" s="74">
        <v>1498.66338</v>
      </c>
      <c r="J219" s="74">
        <v>1049.23119</v>
      </c>
      <c r="K219" s="74">
        <v>111.41005</v>
      </c>
      <c r="L219" s="74">
        <v>1757.44209</v>
      </c>
    </row>
    <row r="220" spans="1:12" x14ac:dyDescent="0.25">
      <c r="A220" s="76" t="s">
        <v>249</v>
      </c>
      <c r="B220" s="188"/>
      <c r="C220" s="77">
        <v>123.9842</v>
      </c>
      <c r="D220" s="77">
        <v>451.52454999999998</v>
      </c>
      <c r="E220" s="77">
        <v>491.58634999999998</v>
      </c>
      <c r="F220" s="77">
        <v>115.80410000000001</v>
      </c>
      <c r="G220" s="77">
        <v>0</v>
      </c>
      <c r="H220" s="77">
        <v>8.6780000000000008</v>
      </c>
      <c r="I220" s="77">
        <v>760.99355000000003</v>
      </c>
      <c r="J220" s="77">
        <v>1042.0521999999999</v>
      </c>
      <c r="K220" s="77">
        <v>0</v>
      </c>
      <c r="L220" s="77">
        <v>11496.339099999999</v>
      </c>
    </row>
    <row r="221" spans="1:12" ht="13.5" thickBot="1" x14ac:dyDescent="0.3">
      <c r="A221" s="78" t="s">
        <v>250</v>
      </c>
      <c r="B221" s="189"/>
      <c r="C221" s="79">
        <v>1478.0002999999999</v>
      </c>
      <c r="D221" s="79">
        <v>1213.48891</v>
      </c>
      <c r="E221" s="79">
        <v>1161.15869</v>
      </c>
      <c r="F221" s="79">
        <v>800.25047999999992</v>
      </c>
      <c r="G221" s="79">
        <v>1967.90867</v>
      </c>
      <c r="H221" s="79">
        <v>1489.8581799999997</v>
      </c>
      <c r="I221" s="79">
        <v>737.66982999999993</v>
      </c>
      <c r="J221" s="79">
        <v>7.1789900000001126</v>
      </c>
      <c r="K221" s="79">
        <v>111.41005</v>
      </c>
      <c r="L221" s="79">
        <v>-9738.8970099999988</v>
      </c>
    </row>
    <row r="222" spans="1:12" x14ac:dyDescent="0.25">
      <c r="A222" s="81" t="s">
        <v>247</v>
      </c>
      <c r="B222" s="193" t="s">
        <v>302</v>
      </c>
      <c r="C222" s="88">
        <v>867.28769</v>
      </c>
      <c r="D222" s="88">
        <v>194.98099999999999</v>
      </c>
      <c r="E222" s="88">
        <v>780.57303999999999</v>
      </c>
      <c r="F222" s="88">
        <v>76.683800000000005</v>
      </c>
      <c r="G222" s="88">
        <v>562.79656999999997</v>
      </c>
      <c r="H222" s="88">
        <v>508.11346000000003</v>
      </c>
      <c r="I222" s="88">
        <v>596.78715</v>
      </c>
      <c r="J222" s="88">
        <v>782.63073999999995</v>
      </c>
      <c r="K222" s="88">
        <v>34.087949999999999</v>
      </c>
      <c r="L222" s="88">
        <v>993.04981000000009</v>
      </c>
    </row>
    <row r="223" spans="1:12" x14ac:dyDescent="0.25">
      <c r="A223" s="83" t="s">
        <v>249</v>
      </c>
      <c r="B223" s="194"/>
      <c r="C223" s="89">
        <v>159.82187999999999</v>
      </c>
      <c r="D223" s="89">
        <v>54.8979</v>
      </c>
      <c r="E223" s="89">
        <v>101.49291000000001</v>
      </c>
      <c r="F223" s="89">
        <v>11.2605</v>
      </c>
      <c r="G223" s="89">
        <v>0</v>
      </c>
      <c r="H223" s="89">
        <v>1.8260000000000001</v>
      </c>
      <c r="I223" s="89">
        <v>110.80128999999999</v>
      </c>
      <c r="J223" s="89">
        <v>717.91525000000001</v>
      </c>
      <c r="K223" s="89">
        <v>26.992999999999999</v>
      </c>
      <c r="L223" s="89">
        <v>4279.0229400000007</v>
      </c>
    </row>
    <row r="224" spans="1:12" ht="13.5" thickBot="1" x14ac:dyDescent="0.3">
      <c r="A224" s="85" t="s">
        <v>250</v>
      </c>
      <c r="B224" s="195"/>
      <c r="C224" s="86">
        <v>707.46581000000003</v>
      </c>
      <c r="D224" s="86">
        <v>140.0831</v>
      </c>
      <c r="E224" s="86">
        <v>679.08012999999994</v>
      </c>
      <c r="F224" s="86">
        <v>65.423300000000012</v>
      </c>
      <c r="G224" s="86">
        <v>562.79656999999997</v>
      </c>
      <c r="H224" s="86">
        <v>506.28746000000001</v>
      </c>
      <c r="I224" s="86">
        <v>485.98586</v>
      </c>
      <c r="J224" s="86">
        <v>64.715489999999932</v>
      </c>
      <c r="K224" s="86">
        <v>7.0949500000000008</v>
      </c>
      <c r="L224" s="86">
        <v>-3285.9731300000008</v>
      </c>
    </row>
    <row r="225" spans="1:12" x14ac:dyDescent="0.25">
      <c r="A225" s="73" t="s">
        <v>247</v>
      </c>
      <c r="B225" s="187" t="s">
        <v>303</v>
      </c>
      <c r="C225" s="74">
        <v>358.21553999999998</v>
      </c>
      <c r="D225" s="74">
        <v>49.037370000000003</v>
      </c>
      <c r="E225" s="74">
        <v>191.96289000000002</v>
      </c>
      <c r="F225" s="74">
        <v>32.295679999999997</v>
      </c>
      <c r="G225" s="74">
        <v>189.89339999999999</v>
      </c>
      <c r="H225" s="74">
        <v>133.71826999999999</v>
      </c>
      <c r="I225" s="74">
        <v>158.39857999999998</v>
      </c>
      <c r="J225" s="74">
        <v>253.52755999999999</v>
      </c>
      <c r="K225" s="74">
        <v>7.09117</v>
      </c>
      <c r="L225" s="74">
        <v>195.44916000000001</v>
      </c>
    </row>
    <row r="226" spans="1:12" x14ac:dyDescent="0.25">
      <c r="A226" s="76" t="s">
        <v>249</v>
      </c>
      <c r="B226" s="188"/>
      <c r="C226" s="77">
        <v>15.3255</v>
      </c>
      <c r="D226" s="77">
        <v>4.3056999999999999</v>
      </c>
      <c r="E226" s="77">
        <v>6.3170000000000002</v>
      </c>
      <c r="F226" s="77">
        <v>0</v>
      </c>
      <c r="G226" s="77">
        <v>0</v>
      </c>
      <c r="H226" s="77">
        <v>0.94259999999999999</v>
      </c>
      <c r="I226" s="77">
        <v>5.9618000000000002</v>
      </c>
      <c r="J226" s="77">
        <v>217.17392999999998</v>
      </c>
      <c r="K226" s="77">
        <v>0.28000000000000003</v>
      </c>
      <c r="L226" s="77">
        <v>1294.0370600000001</v>
      </c>
    </row>
    <row r="227" spans="1:12" ht="13.5" thickBot="1" x14ac:dyDescent="0.3">
      <c r="A227" s="78" t="s">
        <v>250</v>
      </c>
      <c r="B227" s="189"/>
      <c r="C227" s="79">
        <v>342.89004</v>
      </c>
      <c r="D227" s="79">
        <v>44.731670000000001</v>
      </c>
      <c r="E227" s="79">
        <v>185.64589000000001</v>
      </c>
      <c r="F227" s="79">
        <v>32.295679999999997</v>
      </c>
      <c r="G227" s="79">
        <v>189.89339999999999</v>
      </c>
      <c r="H227" s="79">
        <v>132.77566999999999</v>
      </c>
      <c r="I227" s="79">
        <v>152.43677999999997</v>
      </c>
      <c r="J227" s="79">
        <v>36.35363000000001</v>
      </c>
      <c r="K227" s="79">
        <v>6.8111699999999997</v>
      </c>
      <c r="L227" s="79">
        <v>-1098.5879</v>
      </c>
    </row>
    <row r="228" spans="1:12" x14ac:dyDescent="0.25">
      <c r="A228" s="81" t="s">
        <v>247</v>
      </c>
      <c r="B228" s="193" t="s">
        <v>304</v>
      </c>
      <c r="C228" s="88">
        <v>388.90559000000002</v>
      </c>
      <c r="D228" s="88">
        <v>218.72998000000001</v>
      </c>
      <c r="E228" s="88">
        <v>2090.5030999999999</v>
      </c>
      <c r="F228" s="88">
        <v>57.333629999999999</v>
      </c>
      <c r="G228" s="88">
        <v>428.43185999999997</v>
      </c>
      <c r="H228" s="88">
        <v>270.8494</v>
      </c>
      <c r="I228" s="88">
        <v>454.40328000000005</v>
      </c>
      <c r="J228" s="88">
        <v>682.60835999999995</v>
      </c>
      <c r="K228" s="88">
        <v>17.802799999999998</v>
      </c>
      <c r="L228" s="88">
        <v>347.83694000000003</v>
      </c>
    </row>
    <row r="229" spans="1:12" x14ac:dyDescent="0.25">
      <c r="A229" s="83" t="s">
        <v>249</v>
      </c>
      <c r="B229" s="194"/>
      <c r="C229" s="89">
        <v>55.68665</v>
      </c>
      <c r="D229" s="89">
        <v>24.4102</v>
      </c>
      <c r="E229" s="89">
        <v>1569.5090700000001</v>
      </c>
      <c r="F229" s="89">
        <v>1.25</v>
      </c>
      <c r="G229" s="89">
        <v>0</v>
      </c>
      <c r="H229" s="89">
        <v>18.372</v>
      </c>
      <c r="I229" s="89">
        <v>65.141530000000003</v>
      </c>
      <c r="J229" s="89">
        <v>643.53935999999999</v>
      </c>
      <c r="K229" s="89">
        <v>39.24</v>
      </c>
      <c r="L229" s="89">
        <v>2568.8495899999998</v>
      </c>
    </row>
    <row r="230" spans="1:12" ht="13.5" thickBot="1" x14ac:dyDescent="0.3">
      <c r="A230" s="85" t="s">
        <v>250</v>
      </c>
      <c r="B230" s="195"/>
      <c r="C230" s="86">
        <v>333.21894000000003</v>
      </c>
      <c r="D230" s="86">
        <v>194.31978000000001</v>
      </c>
      <c r="E230" s="86">
        <v>520.99402999999984</v>
      </c>
      <c r="F230" s="86">
        <v>56.083629999999999</v>
      </c>
      <c r="G230" s="86">
        <v>428.43185999999997</v>
      </c>
      <c r="H230" s="86">
        <v>252.47739999999999</v>
      </c>
      <c r="I230" s="86">
        <v>389.26175000000006</v>
      </c>
      <c r="J230" s="86">
        <v>39.06899999999996</v>
      </c>
      <c r="K230" s="86">
        <v>-21.437200000000004</v>
      </c>
      <c r="L230" s="86">
        <v>-2221.0126499999997</v>
      </c>
    </row>
    <row r="231" spans="1:12" x14ac:dyDescent="0.25">
      <c r="A231" s="87" t="s">
        <v>247</v>
      </c>
      <c r="B231" s="188" t="s">
        <v>20</v>
      </c>
      <c r="C231" s="91">
        <v>1326.7163700000001</v>
      </c>
      <c r="D231" s="91">
        <v>910.26430000000005</v>
      </c>
      <c r="E231" s="91">
        <v>2038.03062</v>
      </c>
      <c r="F231" s="91">
        <v>428.80496999999997</v>
      </c>
      <c r="G231" s="91">
        <v>2037.30306</v>
      </c>
      <c r="H231" s="91">
        <v>1520.2587800000001</v>
      </c>
      <c r="I231" s="91">
        <v>972.47140000000002</v>
      </c>
      <c r="J231" s="91">
        <v>1062.88957</v>
      </c>
      <c r="K231" s="91">
        <v>36.759900000000002</v>
      </c>
      <c r="L231" s="91">
        <v>1501.28646</v>
      </c>
    </row>
    <row r="232" spans="1:12" x14ac:dyDescent="0.25">
      <c r="A232" s="76" t="s">
        <v>249</v>
      </c>
      <c r="B232" s="188"/>
      <c r="C232" s="77">
        <v>336.05965000000003</v>
      </c>
      <c r="D232" s="77">
        <v>103.30119999999999</v>
      </c>
      <c r="E232" s="77">
        <v>203.81899999999999</v>
      </c>
      <c r="F232" s="77">
        <v>35.742100000000001</v>
      </c>
      <c r="G232" s="77">
        <v>1.26345</v>
      </c>
      <c r="H232" s="77">
        <v>6.8473999999999995</v>
      </c>
      <c r="I232" s="77">
        <v>264.2131</v>
      </c>
      <c r="J232" s="77">
        <v>781.61076000000003</v>
      </c>
      <c r="K232" s="77">
        <v>87.533960000000008</v>
      </c>
      <c r="L232" s="77">
        <v>10871.66682</v>
      </c>
    </row>
    <row r="233" spans="1:12" ht="13.5" thickBot="1" x14ac:dyDescent="0.3">
      <c r="A233" s="92" t="s">
        <v>250</v>
      </c>
      <c r="B233" s="188"/>
      <c r="C233" s="79">
        <v>990.65672000000006</v>
      </c>
      <c r="D233" s="79">
        <v>806.96310000000005</v>
      </c>
      <c r="E233" s="79">
        <v>1834.21162</v>
      </c>
      <c r="F233" s="79">
        <v>393.06286999999998</v>
      </c>
      <c r="G233" s="79">
        <v>2036.03961</v>
      </c>
      <c r="H233" s="79">
        <v>1513.41138</v>
      </c>
      <c r="I233" s="79">
        <v>708.25829999999996</v>
      </c>
      <c r="J233" s="79">
        <v>281.27881000000002</v>
      </c>
      <c r="K233" s="79">
        <v>-50.774060000000006</v>
      </c>
      <c r="L233" s="79">
        <v>-9370.380360000001</v>
      </c>
    </row>
    <row r="234" spans="1:12" x14ac:dyDescent="0.25">
      <c r="A234" s="81" t="s">
        <v>247</v>
      </c>
      <c r="B234" s="193" t="s">
        <v>305</v>
      </c>
      <c r="C234" s="88">
        <v>781.99081000000001</v>
      </c>
      <c r="D234" s="88">
        <v>203.37902</v>
      </c>
      <c r="E234" s="88">
        <v>362.43761999999998</v>
      </c>
      <c r="F234" s="88">
        <v>122.0359</v>
      </c>
      <c r="G234" s="88">
        <v>558.75479000000007</v>
      </c>
      <c r="H234" s="88">
        <v>295.03371000000004</v>
      </c>
      <c r="I234" s="88">
        <v>1278.1916200000001</v>
      </c>
      <c r="J234" s="88">
        <v>821.75814000000003</v>
      </c>
      <c r="K234" s="88">
        <v>150.83445</v>
      </c>
      <c r="L234" s="88">
        <v>333.10057</v>
      </c>
    </row>
    <row r="235" spans="1:12" x14ac:dyDescent="0.25">
      <c r="A235" s="83" t="s">
        <v>249</v>
      </c>
      <c r="B235" s="194"/>
      <c r="C235" s="89">
        <v>227.37164999999999</v>
      </c>
      <c r="D235" s="89">
        <v>16.150010000000002</v>
      </c>
      <c r="E235" s="89">
        <v>60.45</v>
      </c>
      <c r="F235" s="89">
        <v>18.547999999999998</v>
      </c>
      <c r="G235" s="89">
        <v>4.601</v>
      </c>
      <c r="H235" s="89">
        <v>13.006500000000001</v>
      </c>
      <c r="I235" s="89">
        <v>639.33183999999994</v>
      </c>
      <c r="J235" s="89">
        <v>948.62608999999998</v>
      </c>
      <c r="K235" s="89">
        <v>45.3</v>
      </c>
      <c r="L235" s="89">
        <v>3349.8578600000001</v>
      </c>
    </row>
    <row r="236" spans="1:12" ht="13.5" thickBot="1" x14ac:dyDescent="0.3">
      <c r="A236" s="85" t="s">
        <v>250</v>
      </c>
      <c r="B236" s="195"/>
      <c r="C236" s="86">
        <v>554.61915999999997</v>
      </c>
      <c r="D236" s="86">
        <v>187.22900999999999</v>
      </c>
      <c r="E236" s="86">
        <v>301.98761999999999</v>
      </c>
      <c r="F236" s="86">
        <v>103.4879</v>
      </c>
      <c r="G236" s="86">
        <v>554.15379000000007</v>
      </c>
      <c r="H236" s="86">
        <v>282.02721000000003</v>
      </c>
      <c r="I236" s="86">
        <v>638.85978000000011</v>
      </c>
      <c r="J236" s="86">
        <v>-126.86794999999995</v>
      </c>
      <c r="K236" s="86">
        <v>105.53445000000001</v>
      </c>
      <c r="L236" s="86">
        <v>-3016.75729</v>
      </c>
    </row>
    <row r="237" spans="1:12" x14ac:dyDescent="0.25">
      <c r="A237" s="73" t="s">
        <v>247</v>
      </c>
      <c r="B237" s="187" t="s">
        <v>30</v>
      </c>
      <c r="C237" s="74">
        <v>681.81838000000005</v>
      </c>
      <c r="D237" s="74">
        <v>460.60659999999996</v>
      </c>
      <c r="E237" s="74">
        <v>1286.2089699999999</v>
      </c>
      <c r="F237" s="74">
        <v>140.94273000000001</v>
      </c>
      <c r="G237" s="74">
        <v>909.18459999999993</v>
      </c>
      <c r="H237" s="74">
        <v>675.03210000000001</v>
      </c>
      <c r="I237" s="74">
        <v>837.07782999999995</v>
      </c>
      <c r="J237" s="74">
        <v>692.97063000000003</v>
      </c>
      <c r="K237" s="74">
        <v>20.372199999999999</v>
      </c>
      <c r="L237" s="74">
        <v>571.4460600000001</v>
      </c>
    </row>
    <row r="238" spans="1:12" x14ac:dyDescent="0.25">
      <c r="A238" s="76" t="s">
        <v>249</v>
      </c>
      <c r="B238" s="188"/>
      <c r="C238" s="77">
        <v>30.735900000000001</v>
      </c>
      <c r="D238" s="77">
        <v>63.293819999999997</v>
      </c>
      <c r="E238" s="77">
        <v>147.3929</v>
      </c>
      <c r="F238" s="77">
        <v>11.18</v>
      </c>
      <c r="G238" s="77">
        <v>0</v>
      </c>
      <c r="H238" s="77">
        <v>3.2900999999999998</v>
      </c>
      <c r="I238" s="77">
        <v>222.74386999999999</v>
      </c>
      <c r="J238" s="77">
        <v>635.88882999999998</v>
      </c>
      <c r="K238" s="77">
        <v>52.228999999999999</v>
      </c>
      <c r="L238" s="77">
        <v>5167.6230999999998</v>
      </c>
    </row>
    <row r="239" spans="1:12" ht="13.5" thickBot="1" x14ac:dyDescent="0.3">
      <c r="A239" s="78" t="s">
        <v>250</v>
      </c>
      <c r="B239" s="189"/>
      <c r="C239" s="79">
        <v>651.08248000000003</v>
      </c>
      <c r="D239" s="79">
        <v>397.31277999999998</v>
      </c>
      <c r="E239" s="79">
        <v>1138.8160699999999</v>
      </c>
      <c r="F239" s="79">
        <v>129.76273</v>
      </c>
      <c r="G239" s="79">
        <v>909.18459999999993</v>
      </c>
      <c r="H239" s="79">
        <v>671.74199999999996</v>
      </c>
      <c r="I239" s="79">
        <v>614.33395999999993</v>
      </c>
      <c r="J239" s="79">
        <v>57.081800000000044</v>
      </c>
      <c r="K239" s="79">
        <v>-31.8568</v>
      </c>
      <c r="L239" s="79">
        <v>-4596.1770399999996</v>
      </c>
    </row>
    <row r="240" spans="1:12" x14ac:dyDescent="0.25">
      <c r="A240" s="81" t="s">
        <v>247</v>
      </c>
      <c r="B240" s="193" t="s">
        <v>306</v>
      </c>
      <c r="C240" s="88">
        <v>704.43263000000002</v>
      </c>
      <c r="D240" s="88">
        <v>381.15449000000001</v>
      </c>
      <c r="E240" s="88">
        <v>303.59429999999998</v>
      </c>
      <c r="F240" s="88">
        <v>289.91434000000004</v>
      </c>
      <c r="G240" s="88">
        <v>577.78781000000004</v>
      </c>
      <c r="H240" s="88">
        <v>455.21350000000001</v>
      </c>
      <c r="I240" s="88">
        <v>777.49232999999992</v>
      </c>
      <c r="J240" s="88">
        <v>1129.3942099999999</v>
      </c>
      <c r="K240" s="88">
        <v>87.269000000000005</v>
      </c>
      <c r="L240" s="88">
        <v>897.46377000000007</v>
      </c>
    </row>
    <row r="241" spans="1:12" x14ac:dyDescent="0.25">
      <c r="A241" s="83" t="s">
        <v>249</v>
      </c>
      <c r="B241" s="194"/>
      <c r="C241" s="89">
        <v>252.42142999999999</v>
      </c>
      <c r="D241" s="89">
        <v>38.451099999999997</v>
      </c>
      <c r="E241" s="89">
        <v>111.99169999999999</v>
      </c>
      <c r="F241" s="89">
        <v>0</v>
      </c>
      <c r="G241" s="89">
        <v>0.15619999999999998</v>
      </c>
      <c r="H241" s="89">
        <v>37.479599999999998</v>
      </c>
      <c r="I241" s="89">
        <v>287.47122999999999</v>
      </c>
      <c r="J241" s="89">
        <v>1084.0277100000001</v>
      </c>
      <c r="K241" s="89">
        <v>33.57</v>
      </c>
      <c r="L241" s="89">
        <v>3932.9043300000003</v>
      </c>
    </row>
    <row r="242" spans="1:12" ht="13.5" thickBot="1" x14ac:dyDescent="0.3">
      <c r="A242" s="85" t="s">
        <v>250</v>
      </c>
      <c r="B242" s="195"/>
      <c r="C242" s="86">
        <v>452.01120000000003</v>
      </c>
      <c r="D242" s="86">
        <v>342.70339000000001</v>
      </c>
      <c r="E242" s="86">
        <v>191.6026</v>
      </c>
      <c r="F242" s="86">
        <v>289.91434000000004</v>
      </c>
      <c r="G242" s="86">
        <v>577.63161000000002</v>
      </c>
      <c r="H242" s="86">
        <v>417.73390000000001</v>
      </c>
      <c r="I242" s="86">
        <v>490.02109999999993</v>
      </c>
      <c r="J242" s="86">
        <v>45.36649999999986</v>
      </c>
      <c r="K242" s="86">
        <v>53.699000000000005</v>
      </c>
      <c r="L242" s="86">
        <v>-3035.44056</v>
      </c>
    </row>
    <row r="243" spans="1:12" x14ac:dyDescent="0.25">
      <c r="A243" s="73" t="s">
        <v>247</v>
      </c>
      <c r="B243" s="187" t="s">
        <v>307</v>
      </c>
      <c r="C243" s="74">
        <v>3266.0345400000001</v>
      </c>
      <c r="D243" s="74">
        <v>5411.2592100000002</v>
      </c>
      <c r="E243" s="74">
        <v>3865.5831499999999</v>
      </c>
      <c r="F243" s="74">
        <v>991.38026000000002</v>
      </c>
      <c r="G243" s="74">
        <v>8427.634</v>
      </c>
      <c r="H243" s="74">
        <v>5274.4691700000003</v>
      </c>
      <c r="I243" s="74">
        <v>4687.2500099999997</v>
      </c>
      <c r="J243" s="74">
        <v>3245.2243800000001</v>
      </c>
      <c r="K243" s="74">
        <v>163.67189999999999</v>
      </c>
      <c r="L243" s="74">
        <v>12414.24533</v>
      </c>
    </row>
    <row r="244" spans="1:12" x14ac:dyDescent="0.25">
      <c r="A244" s="76" t="s">
        <v>249</v>
      </c>
      <c r="B244" s="188"/>
      <c r="C244" s="77">
        <v>562.69482999999991</v>
      </c>
      <c r="D244" s="77">
        <v>3012.2099900000003</v>
      </c>
      <c r="E244" s="77">
        <v>456.75170000000003</v>
      </c>
      <c r="F244" s="77">
        <v>125.55558000000001</v>
      </c>
      <c r="G244" s="77">
        <v>803.11437000000001</v>
      </c>
      <c r="H244" s="77">
        <v>41.781699999999994</v>
      </c>
      <c r="I244" s="77">
        <v>1146.7173</v>
      </c>
      <c r="J244" s="77">
        <v>3112.54889</v>
      </c>
      <c r="K244" s="77">
        <v>56.643000000000001</v>
      </c>
      <c r="L244" s="77">
        <v>43032.882090000006</v>
      </c>
    </row>
    <row r="245" spans="1:12" ht="13.5" thickBot="1" x14ac:dyDescent="0.3">
      <c r="A245" s="78" t="s">
        <v>250</v>
      </c>
      <c r="B245" s="189"/>
      <c r="C245" s="79">
        <v>2703.3397100000002</v>
      </c>
      <c r="D245" s="79">
        <v>2399.0492199999999</v>
      </c>
      <c r="E245" s="79">
        <v>3408.8314499999997</v>
      </c>
      <c r="F245" s="79">
        <v>865.82468000000006</v>
      </c>
      <c r="G245" s="79">
        <v>7624.5196299999998</v>
      </c>
      <c r="H245" s="79">
        <v>5232.6874700000008</v>
      </c>
      <c r="I245" s="79">
        <v>3540.5327099999995</v>
      </c>
      <c r="J245" s="79">
        <v>132.67549000000008</v>
      </c>
      <c r="K245" s="79">
        <v>107.02889999999999</v>
      </c>
      <c r="L245" s="79">
        <v>-30618.636760000009</v>
      </c>
    </row>
    <row r="246" spans="1:12" x14ac:dyDescent="0.25">
      <c r="A246" s="81" t="s">
        <v>247</v>
      </c>
      <c r="B246" s="193" t="s">
        <v>308</v>
      </c>
      <c r="C246" s="88">
        <v>389.27161000000001</v>
      </c>
      <c r="D246" s="88">
        <v>88.577240000000003</v>
      </c>
      <c r="E246" s="88">
        <v>369.90388999999999</v>
      </c>
      <c r="F246" s="88">
        <v>55.028349999999996</v>
      </c>
      <c r="G246" s="88">
        <v>81.244330000000005</v>
      </c>
      <c r="H246" s="88">
        <v>81.037419999999997</v>
      </c>
      <c r="I246" s="88">
        <v>338.90166999999997</v>
      </c>
      <c r="J246" s="88">
        <v>437.37432000000001</v>
      </c>
      <c r="K246" s="88">
        <v>9.4881000000000011</v>
      </c>
      <c r="L246" s="88">
        <v>230.32943</v>
      </c>
    </row>
    <row r="247" spans="1:12" x14ac:dyDescent="0.25">
      <c r="A247" s="83" t="s">
        <v>249</v>
      </c>
      <c r="B247" s="194"/>
      <c r="C247" s="89">
        <v>41.415010000000002</v>
      </c>
      <c r="D247" s="89">
        <v>4.9042700000000004</v>
      </c>
      <c r="E247" s="89">
        <v>142.7124</v>
      </c>
      <c r="F247" s="89">
        <v>3.41</v>
      </c>
      <c r="G247" s="89">
        <v>0</v>
      </c>
      <c r="H247" s="89">
        <v>0.91791999999999996</v>
      </c>
      <c r="I247" s="89">
        <v>150.09370000000001</v>
      </c>
      <c r="J247" s="89">
        <v>324.29300000000001</v>
      </c>
      <c r="K247" s="89">
        <v>222.66945000000001</v>
      </c>
      <c r="L247" s="89">
        <v>1139.6897300000001</v>
      </c>
    </row>
    <row r="248" spans="1:12" ht="13.5" thickBot="1" x14ac:dyDescent="0.3">
      <c r="A248" s="85" t="s">
        <v>250</v>
      </c>
      <c r="B248" s="195"/>
      <c r="C248" s="86">
        <v>347.85660000000001</v>
      </c>
      <c r="D248" s="86">
        <v>83.672970000000007</v>
      </c>
      <c r="E248" s="86">
        <v>227.19148999999999</v>
      </c>
      <c r="F248" s="86">
        <v>51.618349999999992</v>
      </c>
      <c r="G248" s="86">
        <v>81.244330000000005</v>
      </c>
      <c r="H248" s="86">
        <v>80.119500000000002</v>
      </c>
      <c r="I248" s="86">
        <v>188.80796999999995</v>
      </c>
      <c r="J248" s="86">
        <v>113.08132000000001</v>
      </c>
      <c r="K248" s="86">
        <v>-213.18135000000001</v>
      </c>
      <c r="L248" s="86">
        <v>-909.36030000000005</v>
      </c>
    </row>
    <row r="249" spans="1:12" x14ac:dyDescent="0.25">
      <c r="A249" s="73" t="s">
        <v>247</v>
      </c>
      <c r="B249" s="187" t="s">
        <v>309</v>
      </c>
      <c r="C249" s="74">
        <v>485.83231999999998</v>
      </c>
      <c r="D249" s="74">
        <v>227.04355999999999</v>
      </c>
      <c r="E249" s="74">
        <v>631.05339000000004</v>
      </c>
      <c r="F249" s="74">
        <v>74.311449999999994</v>
      </c>
      <c r="G249" s="74">
        <v>273.84690000000001</v>
      </c>
      <c r="H249" s="74">
        <v>244.96701999999999</v>
      </c>
      <c r="I249" s="74">
        <v>583.53996999999993</v>
      </c>
      <c r="J249" s="74">
        <v>462.77368999999999</v>
      </c>
      <c r="K249" s="74">
        <v>10.55935</v>
      </c>
      <c r="L249" s="74">
        <v>205.26609999999999</v>
      </c>
    </row>
    <row r="250" spans="1:12" x14ac:dyDescent="0.25">
      <c r="A250" s="76" t="s">
        <v>249</v>
      </c>
      <c r="B250" s="188"/>
      <c r="C250" s="77">
        <v>14.091950000000001</v>
      </c>
      <c r="D250" s="77">
        <v>9.4771999999999998</v>
      </c>
      <c r="E250" s="77">
        <v>206.982</v>
      </c>
      <c r="F250" s="77">
        <v>0.4</v>
      </c>
      <c r="G250" s="77">
        <v>0.06</v>
      </c>
      <c r="H250" s="77">
        <v>4.8822000000000001</v>
      </c>
      <c r="I250" s="77">
        <v>191.33795000000001</v>
      </c>
      <c r="J250" s="77">
        <v>364.73568999999998</v>
      </c>
      <c r="K250" s="77">
        <v>51.103999999999999</v>
      </c>
      <c r="L250" s="77">
        <v>2325.1913</v>
      </c>
    </row>
    <row r="251" spans="1:12" ht="13.5" thickBot="1" x14ac:dyDescent="0.3">
      <c r="A251" s="78" t="s">
        <v>250</v>
      </c>
      <c r="B251" s="189"/>
      <c r="C251" s="79">
        <v>471.74036999999998</v>
      </c>
      <c r="D251" s="79">
        <v>217.56635999999997</v>
      </c>
      <c r="E251" s="79">
        <v>424.07139000000006</v>
      </c>
      <c r="F251" s="79">
        <v>73.911449999999988</v>
      </c>
      <c r="G251" s="79">
        <v>273.7869</v>
      </c>
      <c r="H251" s="79">
        <v>240.08481999999998</v>
      </c>
      <c r="I251" s="79">
        <v>392.20201999999995</v>
      </c>
      <c r="J251" s="79">
        <v>98.038000000000011</v>
      </c>
      <c r="K251" s="79">
        <v>-40.544649999999997</v>
      </c>
      <c r="L251" s="79">
        <v>-2119.9252000000001</v>
      </c>
    </row>
    <row r="252" spans="1:12" x14ac:dyDescent="0.25">
      <c r="A252" s="81" t="s">
        <v>247</v>
      </c>
      <c r="B252" s="193" t="s">
        <v>310</v>
      </c>
      <c r="C252" s="88">
        <v>818.34206999999992</v>
      </c>
      <c r="D252" s="88">
        <v>597.1979399999999</v>
      </c>
      <c r="E252" s="88">
        <v>2742.0052000000001</v>
      </c>
      <c r="F252" s="88">
        <v>173.10881000000001</v>
      </c>
      <c r="G252" s="88">
        <v>1125.0108899999998</v>
      </c>
      <c r="H252" s="88">
        <v>733.64101000000005</v>
      </c>
      <c r="I252" s="88">
        <v>849.36815999999999</v>
      </c>
      <c r="J252" s="88">
        <v>1028.04557</v>
      </c>
      <c r="K252" s="88">
        <v>12.1983</v>
      </c>
      <c r="L252" s="88">
        <v>878.25890000000004</v>
      </c>
    </row>
    <row r="253" spans="1:12" x14ac:dyDescent="0.25">
      <c r="A253" s="83" t="s">
        <v>249</v>
      </c>
      <c r="B253" s="194"/>
      <c r="C253" s="89">
        <v>178.90361999999999</v>
      </c>
      <c r="D253" s="89">
        <v>101.5913</v>
      </c>
      <c r="E253" s="89">
        <v>1396.8251699999998</v>
      </c>
      <c r="F253" s="89">
        <v>15.355</v>
      </c>
      <c r="G253" s="89">
        <v>0</v>
      </c>
      <c r="H253" s="89">
        <v>3.9556</v>
      </c>
      <c r="I253" s="89">
        <v>217.23714000000001</v>
      </c>
      <c r="J253" s="89">
        <v>989.69051000000002</v>
      </c>
      <c r="K253" s="89">
        <v>60.929000000000002</v>
      </c>
      <c r="L253" s="89">
        <v>6101.3200999999999</v>
      </c>
    </row>
    <row r="254" spans="1:12" ht="13.5" thickBot="1" x14ac:dyDescent="0.3">
      <c r="A254" s="85" t="s">
        <v>250</v>
      </c>
      <c r="B254" s="195"/>
      <c r="C254" s="86">
        <v>639.43844999999988</v>
      </c>
      <c r="D254" s="86">
        <v>495.60663999999991</v>
      </c>
      <c r="E254" s="86">
        <v>1345.1800300000002</v>
      </c>
      <c r="F254" s="86">
        <v>157.75381000000002</v>
      </c>
      <c r="G254" s="86">
        <v>1125.0108899999998</v>
      </c>
      <c r="H254" s="86">
        <v>729.68541000000005</v>
      </c>
      <c r="I254" s="86">
        <v>632.13102000000003</v>
      </c>
      <c r="J254" s="86">
        <v>38.35505999999998</v>
      </c>
      <c r="K254" s="86">
        <v>-48.730699999999999</v>
      </c>
      <c r="L254" s="86">
        <v>-5223.0612000000001</v>
      </c>
    </row>
    <row r="255" spans="1:12" x14ac:dyDescent="0.25">
      <c r="A255" s="73" t="s">
        <v>247</v>
      </c>
      <c r="B255" s="187" t="s">
        <v>311</v>
      </c>
      <c r="C255" s="74">
        <v>1028.0039999999999</v>
      </c>
      <c r="D255" s="74">
        <v>541.09024999999997</v>
      </c>
      <c r="E255" s="74">
        <v>1361.1076</v>
      </c>
      <c r="F255" s="74">
        <v>173.9264</v>
      </c>
      <c r="G255" s="74">
        <v>1936.40173</v>
      </c>
      <c r="H255" s="74">
        <v>1440.22702</v>
      </c>
      <c r="I255" s="74">
        <v>839.57715000000007</v>
      </c>
      <c r="J255" s="74">
        <v>1241.38292</v>
      </c>
      <c r="K255" s="74">
        <v>51.139849999999996</v>
      </c>
      <c r="L255" s="74">
        <v>2631.7677400000002</v>
      </c>
    </row>
    <row r="256" spans="1:12" x14ac:dyDescent="0.25">
      <c r="A256" s="76" t="s">
        <v>249</v>
      </c>
      <c r="B256" s="188"/>
      <c r="C256" s="77">
        <v>113.53</v>
      </c>
      <c r="D256" s="77">
        <v>48.051749999999998</v>
      </c>
      <c r="E256" s="77">
        <v>147.01900000000001</v>
      </c>
      <c r="F256" s="77">
        <v>0.56499999999999995</v>
      </c>
      <c r="G256" s="77">
        <v>0</v>
      </c>
      <c r="H256" s="77">
        <v>3.4354</v>
      </c>
      <c r="I256" s="77">
        <v>53.783499999999997</v>
      </c>
      <c r="J256" s="77">
        <v>1093.8023000000001</v>
      </c>
      <c r="K256" s="77">
        <v>56.862000000000002</v>
      </c>
      <c r="L256" s="77">
        <v>9817.2968000000001</v>
      </c>
    </row>
    <row r="257" spans="1:12" ht="13.5" thickBot="1" x14ac:dyDescent="0.3">
      <c r="A257" s="78" t="s">
        <v>250</v>
      </c>
      <c r="B257" s="189"/>
      <c r="C257" s="79">
        <v>914.47399999999993</v>
      </c>
      <c r="D257" s="79">
        <v>493.0385</v>
      </c>
      <c r="E257" s="79">
        <v>1214.0886</v>
      </c>
      <c r="F257" s="79">
        <v>173.3614</v>
      </c>
      <c r="G257" s="79">
        <v>1936.40173</v>
      </c>
      <c r="H257" s="79">
        <v>1436.79162</v>
      </c>
      <c r="I257" s="79">
        <v>785.79365000000007</v>
      </c>
      <c r="J257" s="79">
        <v>147.58061999999995</v>
      </c>
      <c r="K257" s="79">
        <v>-5.7221500000000063</v>
      </c>
      <c r="L257" s="79">
        <v>-7185.5290599999998</v>
      </c>
    </row>
    <row r="258" spans="1:12" x14ac:dyDescent="0.25">
      <c r="A258" s="81" t="s">
        <v>247</v>
      </c>
      <c r="B258" s="193" t="s">
        <v>312</v>
      </c>
      <c r="C258" s="88">
        <v>220.85069000000001</v>
      </c>
      <c r="D258" s="88">
        <v>117.46498</v>
      </c>
      <c r="E258" s="88">
        <v>485.23541999999998</v>
      </c>
      <c r="F258" s="88">
        <v>69.236310000000003</v>
      </c>
      <c r="G258" s="88">
        <v>240.81304</v>
      </c>
      <c r="H258" s="88">
        <v>151.75809000000001</v>
      </c>
      <c r="I258" s="88">
        <v>292.23665</v>
      </c>
      <c r="J258" s="88">
        <v>361.60199999999998</v>
      </c>
      <c r="K258" s="88">
        <v>43.344099999999997</v>
      </c>
      <c r="L258" s="88">
        <v>482.28260999999998</v>
      </c>
    </row>
    <row r="259" spans="1:12" x14ac:dyDescent="0.25">
      <c r="A259" s="83" t="s">
        <v>249</v>
      </c>
      <c r="B259" s="194"/>
      <c r="C259" s="89">
        <v>31.417200000000001</v>
      </c>
      <c r="D259" s="89">
        <v>10.520850000000001</v>
      </c>
      <c r="E259" s="89">
        <v>166.97829999999999</v>
      </c>
      <c r="F259" s="89">
        <v>7.5</v>
      </c>
      <c r="G259" s="89">
        <v>0</v>
      </c>
      <c r="H259" s="89">
        <v>1.0438000000000001</v>
      </c>
      <c r="I259" s="89">
        <v>49.591749999999998</v>
      </c>
      <c r="J259" s="89">
        <v>261.66410000000002</v>
      </c>
      <c r="K259" s="89">
        <v>79.582979999999992</v>
      </c>
      <c r="L259" s="89">
        <v>1705.82799</v>
      </c>
    </row>
    <row r="260" spans="1:12" ht="13.5" thickBot="1" x14ac:dyDescent="0.3">
      <c r="A260" s="85" t="s">
        <v>250</v>
      </c>
      <c r="B260" s="195"/>
      <c r="C260" s="86">
        <v>189.43349000000001</v>
      </c>
      <c r="D260" s="86">
        <v>106.94413</v>
      </c>
      <c r="E260" s="86">
        <v>318.25711999999999</v>
      </c>
      <c r="F260" s="86">
        <v>61.736310000000003</v>
      </c>
      <c r="G260" s="86">
        <v>240.81304</v>
      </c>
      <c r="H260" s="86">
        <v>150.71429000000001</v>
      </c>
      <c r="I260" s="86">
        <v>242.64490000000001</v>
      </c>
      <c r="J260" s="86">
        <v>99.937899999999956</v>
      </c>
      <c r="K260" s="86">
        <v>-36.238879999999995</v>
      </c>
      <c r="L260" s="86">
        <v>-1223.54538</v>
      </c>
    </row>
    <row r="261" spans="1:12" x14ac:dyDescent="0.25">
      <c r="A261" s="73" t="s">
        <v>247</v>
      </c>
      <c r="B261" s="187" t="s">
        <v>313</v>
      </c>
      <c r="C261" s="74">
        <v>922.702</v>
      </c>
      <c r="D261" s="74">
        <v>419.9871</v>
      </c>
      <c r="E261" s="74">
        <v>1153.9026000000001</v>
      </c>
      <c r="F261" s="74">
        <v>82.364840000000001</v>
      </c>
      <c r="G261" s="74">
        <v>912.51787999999999</v>
      </c>
      <c r="H261" s="74">
        <v>599.2355</v>
      </c>
      <c r="I261" s="74">
        <v>537.65572999999995</v>
      </c>
      <c r="J261" s="74">
        <v>1113.62573</v>
      </c>
      <c r="K261" s="74">
        <v>26.877400000000002</v>
      </c>
      <c r="L261" s="74">
        <v>995.29515000000004</v>
      </c>
    </row>
    <row r="262" spans="1:12" x14ac:dyDescent="0.25">
      <c r="A262" s="76" t="s">
        <v>249</v>
      </c>
      <c r="B262" s="188"/>
      <c r="C262" s="77">
        <v>224.25183999999999</v>
      </c>
      <c r="D262" s="77">
        <v>70.546700000000001</v>
      </c>
      <c r="E262" s="77">
        <v>232.8449</v>
      </c>
      <c r="F262" s="77">
        <v>0.89445000000000008</v>
      </c>
      <c r="G262" s="77">
        <v>0</v>
      </c>
      <c r="H262" s="77">
        <v>4.101</v>
      </c>
      <c r="I262" s="77">
        <v>137.14035000000001</v>
      </c>
      <c r="J262" s="77">
        <v>1092.02881</v>
      </c>
      <c r="K262" s="77">
        <v>0</v>
      </c>
      <c r="L262" s="77">
        <v>4744.7429499999998</v>
      </c>
    </row>
    <row r="263" spans="1:12" ht="13.5" thickBot="1" x14ac:dyDescent="0.3">
      <c r="A263" s="78" t="s">
        <v>250</v>
      </c>
      <c r="B263" s="189"/>
      <c r="C263" s="79">
        <v>698.45015999999998</v>
      </c>
      <c r="D263" s="79">
        <v>349.44040000000001</v>
      </c>
      <c r="E263" s="79">
        <v>921.05770000000007</v>
      </c>
      <c r="F263" s="79">
        <v>81.470389999999995</v>
      </c>
      <c r="G263" s="79">
        <v>912.51787999999999</v>
      </c>
      <c r="H263" s="79">
        <v>595.1345</v>
      </c>
      <c r="I263" s="79">
        <v>400.51537999999994</v>
      </c>
      <c r="J263" s="79">
        <v>21.596919999999955</v>
      </c>
      <c r="K263" s="79">
        <v>26.877400000000002</v>
      </c>
      <c r="L263" s="79">
        <v>-3749.4477999999999</v>
      </c>
    </row>
    <row r="264" spans="1:12" x14ac:dyDescent="0.25">
      <c r="A264" s="81" t="s">
        <v>247</v>
      </c>
      <c r="B264" s="193" t="s">
        <v>314</v>
      </c>
      <c r="C264" s="88">
        <v>1090.0820200000001</v>
      </c>
      <c r="D264" s="88">
        <v>237.73537999999999</v>
      </c>
      <c r="E264" s="88">
        <v>1457.91193</v>
      </c>
      <c r="F264" s="88">
        <v>301.40757000000002</v>
      </c>
      <c r="G264" s="88">
        <v>452.88128</v>
      </c>
      <c r="H264" s="88">
        <v>302.37099999999998</v>
      </c>
      <c r="I264" s="88">
        <v>1160.2369199999998</v>
      </c>
      <c r="J264" s="88">
        <v>1011.59118</v>
      </c>
      <c r="K264" s="88">
        <v>341.48672999999997</v>
      </c>
      <c r="L264" s="88">
        <v>1035.1126899999999</v>
      </c>
    </row>
    <row r="265" spans="1:12" x14ac:dyDescent="0.25">
      <c r="A265" s="83" t="s">
        <v>249</v>
      </c>
      <c r="B265" s="194"/>
      <c r="C265" s="89">
        <v>274.45396</v>
      </c>
      <c r="D265" s="89">
        <v>289.01034999999996</v>
      </c>
      <c r="E265" s="89">
        <v>694.90178000000003</v>
      </c>
      <c r="F265" s="89">
        <v>53.060300000000005</v>
      </c>
      <c r="G265" s="89">
        <v>0</v>
      </c>
      <c r="H265" s="89">
        <v>51.506749999999997</v>
      </c>
      <c r="I265" s="89">
        <v>649.80502000000001</v>
      </c>
      <c r="J265" s="89">
        <v>990.91926999999998</v>
      </c>
      <c r="K265" s="89">
        <v>36.956000000000003</v>
      </c>
      <c r="L265" s="89">
        <v>4625.86913</v>
      </c>
    </row>
    <row r="266" spans="1:12" ht="13.5" thickBot="1" x14ac:dyDescent="0.3">
      <c r="A266" s="85" t="s">
        <v>250</v>
      </c>
      <c r="B266" s="195"/>
      <c r="C266" s="86">
        <v>815.62806</v>
      </c>
      <c r="D266" s="86">
        <v>-51.274969999999968</v>
      </c>
      <c r="E266" s="86">
        <v>763.01014999999995</v>
      </c>
      <c r="F266" s="86">
        <v>248.34727000000001</v>
      </c>
      <c r="G266" s="86">
        <v>452.88128</v>
      </c>
      <c r="H266" s="86">
        <v>250.86424999999997</v>
      </c>
      <c r="I266" s="86">
        <v>510.43189999999981</v>
      </c>
      <c r="J266" s="86">
        <v>20.671910000000025</v>
      </c>
      <c r="K266" s="86">
        <v>304.53072999999995</v>
      </c>
      <c r="L266" s="86">
        <v>-3590.7564400000001</v>
      </c>
    </row>
    <row r="267" spans="1:12" x14ac:dyDescent="0.25">
      <c r="A267" s="73" t="s">
        <v>247</v>
      </c>
      <c r="B267" s="187" t="s">
        <v>315</v>
      </c>
      <c r="C267" s="74">
        <v>1486.9995100000001</v>
      </c>
      <c r="D267" s="74">
        <v>771.35811000000001</v>
      </c>
      <c r="E267" s="74">
        <v>2314.1930600000001</v>
      </c>
      <c r="F267" s="74">
        <v>428.02404999999999</v>
      </c>
      <c r="G267" s="74">
        <v>1473.6171000000002</v>
      </c>
      <c r="H267" s="74">
        <v>1097.08681</v>
      </c>
      <c r="I267" s="74">
        <v>975.06884000000002</v>
      </c>
      <c r="J267" s="74">
        <v>1473.2695200000001</v>
      </c>
      <c r="K267" s="74">
        <v>22.0015</v>
      </c>
      <c r="L267" s="74">
        <v>1491.86322</v>
      </c>
    </row>
    <row r="268" spans="1:12" x14ac:dyDescent="0.25">
      <c r="A268" s="76" t="s">
        <v>249</v>
      </c>
      <c r="B268" s="188"/>
      <c r="C268" s="77">
        <v>161.19091</v>
      </c>
      <c r="D268" s="77">
        <v>138.73776999999998</v>
      </c>
      <c r="E268" s="77">
        <v>711.07637999999997</v>
      </c>
      <c r="F268" s="77">
        <v>120.61002000000001</v>
      </c>
      <c r="G268" s="77">
        <v>0</v>
      </c>
      <c r="H268" s="77">
        <v>22.169</v>
      </c>
      <c r="I268" s="77">
        <v>346.3159</v>
      </c>
      <c r="J268" s="77">
        <v>1403.2007100000001</v>
      </c>
      <c r="K268" s="77">
        <v>60.681179999999998</v>
      </c>
      <c r="L268" s="77">
        <v>8507.761199999999</v>
      </c>
    </row>
    <row r="269" spans="1:12" ht="13.5" thickBot="1" x14ac:dyDescent="0.3">
      <c r="A269" s="78" t="s">
        <v>250</v>
      </c>
      <c r="B269" s="189"/>
      <c r="C269" s="79">
        <v>1325.8086000000001</v>
      </c>
      <c r="D269" s="79">
        <v>632.62034000000006</v>
      </c>
      <c r="E269" s="79">
        <v>1603.1166800000001</v>
      </c>
      <c r="F269" s="79">
        <v>307.41402999999997</v>
      </c>
      <c r="G269" s="79">
        <v>1473.6171000000002</v>
      </c>
      <c r="H269" s="79">
        <v>1074.9178099999999</v>
      </c>
      <c r="I269" s="79">
        <v>628.75294000000008</v>
      </c>
      <c r="J269" s="79">
        <v>70.068809999999985</v>
      </c>
      <c r="K269" s="79">
        <v>-38.679679999999998</v>
      </c>
      <c r="L269" s="79">
        <v>-7015.8979799999988</v>
      </c>
    </row>
    <row r="270" spans="1:12" x14ac:dyDescent="0.25">
      <c r="A270" s="81" t="s">
        <v>247</v>
      </c>
      <c r="B270" s="193" t="s">
        <v>316</v>
      </c>
      <c r="C270" s="88">
        <v>2320.2027400000002</v>
      </c>
      <c r="D270" s="88">
        <v>1382.6598999999999</v>
      </c>
      <c r="E270" s="88">
        <v>4714.8800700000002</v>
      </c>
      <c r="F270" s="88">
        <v>408.15798999999998</v>
      </c>
      <c r="G270" s="88">
        <v>2660.0197000000003</v>
      </c>
      <c r="H270" s="88">
        <v>1743.4193300000002</v>
      </c>
      <c r="I270" s="88">
        <v>1825.6550099999999</v>
      </c>
      <c r="J270" s="88">
        <v>2131.84944</v>
      </c>
      <c r="K270" s="88">
        <v>38.0045</v>
      </c>
      <c r="L270" s="88">
        <v>2049.87889</v>
      </c>
    </row>
    <row r="271" spans="1:12" x14ac:dyDescent="0.25">
      <c r="A271" s="83" t="s">
        <v>249</v>
      </c>
      <c r="B271" s="194"/>
      <c r="C271" s="89">
        <v>227.94313</v>
      </c>
      <c r="D271" s="89">
        <v>309.19200000000001</v>
      </c>
      <c r="E271" s="89">
        <v>1461.65905</v>
      </c>
      <c r="F271" s="89">
        <v>28.162599999999998</v>
      </c>
      <c r="G271" s="89">
        <v>0</v>
      </c>
      <c r="H271" s="89">
        <v>43.056950000000001</v>
      </c>
      <c r="I271" s="89">
        <v>538.55279000000007</v>
      </c>
      <c r="J271" s="89">
        <v>1844.55702</v>
      </c>
      <c r="K271" s="89">
        <v>270.01303999999999</v>
      </c>
      <c r="L271" s="89">
        <v>14049.63738</v>
      </c>
    </row>
    <row r="272" spans="1:12" ht="13.5" thickBot="1" x14ac:dyDescent="0.3">
      <c r="A272" s="85" t="s">
        <v>250</v>
      </c>
      <c r="B272" s="195"/>
      <c r="C272" s="86">
        <v>2092.2596100000001</v>
      </c>
      <c r="D272" s="86">
        <v>1073.4678999999999</v>
      </c>
      <c r="E272" s="86">
        <v>3253.22102</v>
      </c>
      <c r="F272" s="86">
        <v>379.99538999999999</v>
      </c>
      <c r="G272" s="86">
        <v>2660.0197000000003</v>
      </c>
      <c r="H272" s="86">
        <v>1700.3623800000003</v>
      </c>
      <c r="I272" s="86">
        <v>1287.1022199999998</v>
      </c>
      <c r="J272" s="86">
        <v>287.29241999999999</v>
      </c>
      <c r="K272" s="86">
        <v>-232.00853999999998</v>
      </c>
      <c r="L272" s="86">
        <v>-11999.75849</v>
      </c>
    </row>
    <row r="273" spans="1:12" x14ac:dyDescent="0.25">
      <c r="A273" s="76" t="s">
        <v>247</v>
      </c>
      <c r="B273" s="187" t="s">
        <v>99</v>
      </c>
      <c r="C273" s="74">
        <v>1209.1252299999999</v>
      </c>
      <c r="D273" s="74">
        <v>381.67117999999999</v>
      </c>
      <c r="E273" s="74">
        <v>128.58969999999999</v>
      </c>
      <c r="F273" s="74">
        <v>98.738389999999995</v>
      </c>
      <c r="G273" s="74">
        <v>774.26519999999994</v>
      </c>
      <c r="H273" s="74">
        <v>510.72086999999999</v>
      </c>
      <c r="I273" s="74">
        <v>1958.5768</v>
      </c>
      <c r="J273" s="74">
        <v>623.96172999999999</v>
      </c>
      <c r="K273" s="74">
        <v>135.9367</v>
      </c>
      <c r="L273" s="74">
        <v>1072.9037700000001</v>
      </c>
    </row>
    <row r="274" spans="1:12" x14ac:dyDescent="0.25">
      <c r="A274" s="76" t="s">
        <v>249</v>
      </c>
      <c r="B274" s="188"/>
      <c r="C274" s="77">
        <v>247.18039999999999</v>
      </c>
      <c r="D274" s="77">
        <v>58.821750000000002</v>
      </c>
      <c r="E274" s="77">
        <v>0</v>
      </c>
      <c r="F274" s="77">
        <v>0</v>
      </c>
      <c r="G274" s="77">
        <v>0</v>
      </c>
      <c r="H274" s="77">
        <v>4.9358000000000004</v>
      </c>
      <c r="I274" s="77">
        <v>868.01308999999992</v>
      </c>
      <c r="J274" s="77">
        <v>668.66516000000001</v>
      </c>
      <c r="K274" s="77">
        <v>141.792</v>
      </c>
      <c r="L274" s="77">
        <v>4842.2834400000002</v>
      </c>
    </row>
    <row r="275" spans="1:12" ht="13.5" thickBot="1" x14ac:dyDescent="0.3">
      <c r="A275" s="78" t="s">
        <v>250</v>
      </c>
      <c r="B275" s="189"/>
      <c r="C275" s="79">
        <v>961.94482999999991</v>
      </c>
      <c r="D275" s="79">
        <v>322.84942999999998</v>
      </c>
      <c r="E275" s="79">
        <v>128.58969999999999</v>
      </c>
      <c r="F275" s="79">
        <v>98.738389999999995</v>
      </c>
      <c r="G275" s="79">
        <v>774.26519999999994</v>
      </c>
      <c r="H275" s="79">
        <v>505.78507000000002</v>
      </c>
      <c r="I275" s="79">
        <v>1090.5637100000001</v>
      </c>
      <c r="J275" s="79">
        <v>-44.703430000000026</v>
      </c>
      <c r="K275" s="79">
        <v>-5.8552999999999997</v>
      </c>
      <c r="L275" s="79">
        <v>-3769.3796700000003</v>
      </c>
    </row>
    <row r="276" spans="1:12" x14ac:dyDescent="0.25">
      <c r="A276" s="83" t="s">
        <v>247</v>
      </c>
      <c r="B276" s="193" t="s">
        <v>21</v>
      </c>
      <c r="C276" s="88">
        <v>1182.8700100000001</v>
      </c>
      <c r="D276" s="88">
        <v>779.07911999999999</v>
      </c>
      <c r="E276" s="88">
        <v>2713.5285099999996</v>
      </c>
      <c r="F276" s="88">
        <v>222.24113</v>
      </c>
      <c r="G276" s="88">
        <v>2006.67445</v>
      </c>
      <c r="H276" s="88">
        <v>1365.6291000000001</v>
      </c>
      <c r="I276" s="88">
        <v>1340.4515800000001</v>
      </c>
      <c r="J276" s="88">
        <v>2125.5078900000003</v>
      </c>
      <c r="K276" s="88">
        <v>54.92595</v>
      </c>
      <c r="L276" s="88">
        <v>760.46938</v>
      </c>
    </row>
    <row r="277" spans="1:12" x14ac:dyDescent="0.25">
      <c r="A277" s="83" t="s">
        <v>249</v>
      </c>
      <c r="B277" s="194"/>
      <c r="C277" s="89">
        <v>254.5343</v>
      </c>
      <c r="D277" s="89">
        <v>62.911149999999999</v>
      </c>
      <c r="E277" s="89">
        <v>651.30759</v>
      </c>
      <c r="F277" s="89">
        <v>13.625</v>
      </c>
      <c r="G277" s="89">
        <v>2.6478999999999999</v>
      </c>
      <c r="H277" s="89">
        <v>8.0510000000000002</v>
      </c>
      <c r="I277" s="89">
        <v>107.82232</v>
      </c>
      <c r="J277" s="89">
        <v>1888.2101</v>
      </c>
      <c r="K277" s="89">
        <v>136.34100000000001</v>
      </c>
      <c r="L277" s="89">
        <v>8736.1473399999995</v>
      </c>
    </row>
    <row r="278" spans="1:12" ht="13.5" thickBot="1" x14ac:dyDescent="0.3">
      <c r="A278" s="80" t="s">
        <v>250</v>
      </c>
      <c r="B278" s="195"/>
      <c r="C278" s="86">
        <v>928.33571000000006</v>
      </c>
      <c r="D278" s="86">
        <v>716.16796999999997</v>
      </c>
      <c r="E278" s="86">
        <v>2062.2209199999998</v>
      </c>
      <c r="F278" s="86">
        <v>208.61613</v>
      </c>
      <c r="G278" s="86">
        <v>2004.02655</v>
      </c>
      <c r="H278" s="86">
        <v>1357.5781000000002</v>
      </c>
      <c r="I278" s="86">
        <v>1232.6292600000002</v>
      </c>
      <c r="J278" s="86">
        <v>237.2977900000003</v>
      </c>
      <c r="K278" s="86">
        <v>-81.415050000000008</v>
      </c>
      <c r="L278" s="86">
        <v>-7975.6779599999991</v>
      </c>
    </row>
    <row r="279" spans="1:12" x14ac:dyDescent="0.25">
      <c r="A279" s="73" t="s">
        <v>247</v>
      </c>
      <c r="B279" s="187" t="s">
        <v>22</v>
      </c>
      <c r="C279" s="74">
        <v>1271.1995900000002</v>
      </c>
      <c r="D279" s="74">
        <v>805.42666000000008</v>
      </c>
      <c r="E279" s="74">
        <v>1895.1345100000001</v>
      </c>
      <c r="F279" s="74">
        <v>431.39238</v>
      </c>
      <c r="G279" s="74">
        <v>1826.42248</v>
      </c>
      <c r="H279" s="74">
        <v>1259.12797</v>
      </c>
      <c r="I279" s="74">
        <v>1376.7497499999999</v>
      </c>
      <c r="J279" s="74">
        <v>813.07031999999992</v>
      </c>
      <c r="K279" s="74">
        <v>11.4094</v>
      </c>
      <c r="L279" s="74">
        <v>1435.3614399999999</v>
      </c>
    </row>
    <row r="280" spans="1:12" x14ac:dyDescent="0.25">
      <c r="A280" s="76" t="s">
        <v>249</v>
      </c>
      <c r="B280" s="188"/>
      <c r="C280" s="77">
        <v>198.03554</v>
      </c>
      <c r="D280" s="77">
        <v>77.952300000000008</v>
      </c>
      <c r="E280" s="77">
        <v>242.86635000000001</v>
      </c>
      <c r="F280" s="77">
        <v>18.489999999999998</v>
      </c>
      <c r="G280" s="77">
        <v>0</v>
      </c>
      <c r="H280" s="77">
        <v>35.902149999999999</v>
      </c>
      <c r="I280" s="77">
        <v>275.42840000000001</v>
      </c>
      <c r="J280" s="77">
        <v>708.29770999999994</v>
      </c>
      <c r="K280" s="77">
        <v>47.765689999999999</v>
      </c>
      <c r="L280" s="77">
        <v>10696.780199999999</v>
      </c>
    </row>
    <row r="281" spans="1:12" ht="13.5" thickBot="1" x14ac:dyDescent="0.3">
      <c r="A281" s="78" t="s">
        <v>250</v>
      </c>
      <c r="B281" s="189"/>
      <c r="C281" s="79">
        <v>1073.1640500000001</v>
      </c>
      <c r="D281" s="79">
        <v>727.47436000000005</v>
      </c>
      <c r="E281" s="79">
        <v>1652.2681600000001</v>
      </c>
      <c r="F281" s="79">
        <v>412.90237999999999</v>
      </c>
      <c r="G281" s="79">
        <v>1826.42248</v>
      </c>
      <c r="H281" s="79">
        <v>1223.2258200000001</v>
      </c>
      <c r="I281" s="79">
        <v>1101.3213499999999</v>
      </c>
      <c r="J281" s="79">
        <v>104.77260999999999</v>
      </c>
      <c r="K281" s="79">
        <v>-36.356290000000001</v>
      </c>
      <c r="L281" s="79">
        <v>-9261.4187599999987</v>
      </c>
    </row>
    <row r="282" spans="1:12" x14ac:dyDescent="0.25">
      <c r="A282" s="81" t="s">
        <v>247</v>
      </c>
      <c r="B282" s="193" t="s">
        <v>317</v>
      </c>
      <c r="C282" s="88">
        <v>1261.4575500000001</v>
      </c>
      <c r="D282" s="88">
        <v>524.65072999999995</v>
      </c>
      <c r="E282" s="88">
        <v>1779.5375900000001</v>
      </c>
      <c r="F282" s="88">
        <v>196.90164000000001</v>
      </c>
      <c r="G282" s="88">
        <v>1161.6051599999998</v>
      </c>
      <c r="H282" s="88">
        <v>754.27329000000009</v>
      </c>
      <c r="I282" s="88">
        <v>1304.13049</v>
      </c>
      <c r="J282" s="88">
        <v>1386.5526599999998</v>
      </c>
      <c r="K282" s="88">
        <v>94.27255000000001</v>
      </c>
      <c r="L282" s="88">
        <v>1372.67554</v>
      </c>
    </row>
    <row r="283" spans="1:12" x14ac:dyDescent="0.25">
      <c r="A283" s="83" t="s">
        <v>249</v>
      </c>
      <c r="B283" s="194"/>
      <c r="C283" s="89">
        <v>186.37995000000001</v>
      </c>
      <c r="D283" s="89">
        <v>58.779440000000001</v>
      </c>
      <c r="E283" s="89">
        <v>466.76330000000002</v>
      </c>
      <c r="F283" s="89">
        <v>1.5149999999999999</v>
      </c>
      <c r="G283" s="89">
        <v>0</v>
      </c>
      <c r="H283" s="89">
        <v>5.9151999999999996</v>
      </c>
      <c r="I283" s="89">
        <v>93.403999999999996</v>
      </c>
      <c r="J283" s="89">
        <v>1098.49748</v>
      </c>
      <c r="K283" s="89">
        <v>249.28200000000001</v>
      </c>
      <c r="L283" s="89">
        <v>7876.64264</v>
      </c>
    </row>
    <row r="284" spans="1:12" ht="13.5" thickBot="1" x14ac:dyDescent="0.3">
      <c r="A284" s="85" t="s">
        <v>250</v>
      </c>
      <c r="B284" s="195"/>
      <c r="C284" s="86">
        <v>1075.0776000000001</v>
      </c>
      <c r="D284" s="86">
        <v>465.87128999999993</v>
      </c>
      <c r="E284" s="86">
        <v>1312.7742900000001</v>
      </c>
      <c r="F284" s="86">
        <v>195.38664000000003</v>
      </c>
      <c r="G284" s="86">
        <v>1161.6051599999998</v>
      </c>
      <c r="H284" s="86">
        <v>748.35809000000006</v>
      </c>
      <c r="I284" s="86">
        <v>1210.72649</v>
      </c>
      <c r="J284" s="86">
        <v>288.05517999999984</v>
      </c>
      <c r="K284" s="86">
        <v>-155.00945000000002</v>
      </c>
      <c r="L284" s="86">
        <v>-6503.9670999999998</v>
      </c>
    </row>
    <row r="285" spans="1:12" x14ac:dyDescent="0.25">
      <c r="A285" s="73" t="s">
        <v>247</v>
      </c>
      <c r="B285" s="187" t="s">
        <v>318</v>
      </c>
      <c r="C285" s="74">
        <v>1253.2351299999998</v>
      </c>
      <c r="D285" s="74">
        <v>589.24666000000002</v>
      </c>
      <c r="E285" s="74">
        <v>2059.6800800000001</v>
      </c>
      <c r="F285" s="74">
        <v>282.19389000000001</v>
      </c>
      <c r="G285" s="74">
        <v>1479.3960300000001</v>
      </c>
      <c r="H285" s="74">
        <v>1158.93822</v>
      </c>
      <c r="I285" s="74">
        <v>1188.41291</v>
      </c>
      <c r="J285" s="74">
        <v>1390.78215</v>
      </c>
      <c r="K285" s="74">
        <v>29.47045</v>
      </c>
      <c r="L285" s="74">
        <v>1968.1144999999999</v>
      </c>
    </row>
    <row r="286" spans="1:12" x14ac:dyDescent="0.25">
      <c r="A286" s="76" t="s">
        <v>249</v>
      </c>
      <c r="B286" s="188"/>
      <c r="C286" s="77">
        <v>87.07835</v>
      </c>
      <c r="D286" s="77">
        <v>100.02385000000001</v>
      </c>
      <c r="E286" s="77">
        <v>376.18795</v>
      </c>
      <c r="F286" s="77">
        <v>42.709199999999996</v>
      </c>
      <c r="G286" s="77">
        <v>0</v>
      </c>
      <c r="H286" s="77">
        <v>86.739000000000004</v>
      </c>
      <c r="I286" s="77">
        <v>113.88431</v>
      </c>
      <c r="J286" s="77">
        <v>1192.77649</v>
      </c>
      <c r="K286" s="77">
        <v>52.765000000000001</v>
      </c>
      <c r="L286" s="77">
        <v>10401.362050000002</v>
      </c>
    </row>
    <row r="287" spans="1:12" ht="13.5" thickBot="1" x14ac:dyDescent="0.3">
      <c r="A287" s="78" t="s">
        <v>250</v>
      </c>
      <c r="B287" s="189"/>
      <c r="C287" s="79">
        <v>1166.1567799999998</v>
      </c>
      <c r="D287" s="79">
        <v>489.22280999999998</v>
      </c>
      <c r="E287" s="79">
        <v>1683.4921300000001</v>
      </c>
      <c r="F287" s="79">
        <v>239.48469</v>
      </c>
      <c r="G287" s="79">
        <v>1479.3960300000001</v>
      </c>
      <c r="H287" s="79">
        <v>1072.19922</v>
      </c>
      <c r="I287" s="79">
        <v>1074.5286000000001</v>
      </c>
      <c r="J287" s="79">
        <v>198.00566000000003</v>
      </c>
      <c r="K287" s="79">
        <v>-23.294550000000001</v>
      </c>
      <c r="L287" s="79">
        <v>-8433.2475500000019</v>
      </c>
    </row>
    <row r="288" spans="1:12" x14ac:dyDescent="0.25">
      <c r="A288" s="81" t="s">
        <v>247</v>
      </c>
      <c r="B288" s="193" t="s">
        <v>23</v>
      </c>
      <c r="C288" s="88">
        <v>2239.98342</v>
      </c>
      <c r="D288" s="88">
        <v>1514.6532199999999</v>
      </c>
      <c r="E288" s="88">
        <v>4478.9261100000003</v>
      </c>
      <c r="F288" s="88">
        <v>1347.38786</v>
      </c>
      <c r="G288" s="88">
        <v>4982.9904100000003</v>
      </c>
      <c r="H288" s="88">
        <v>3907.0362799999998</v>
      </c>
      <c r="I288" s="88">
        <v>1727.9970600000001</v>
      </c>
      <c r="J288" s="88">
        <v>2750.2206800000004</v>
      </c>
      <c r="K288" s="88">
        <v>102.93267</v>
      </c>
      <c r="L288" s="88">
        <v>6208.2950199999996</v>
      </c>
    </row>
    <row r="289" spans="1:12" x14ac:dyDescent="0.25">
      <c r="A289" s="83" t="s">
        <v>249</v>
      </c>
      <c r="B289" s="194"/>
      <c r="C289" s="89">
        <v>533.98533999999995</v>
      </c>
      <c r="D289" s="89">
        <v>259.36104</v>
      </c>
      <c r="E289" s="89">
        <v>610.98030000000006</v>
      </c>
      <c r="F289" s="89">
        <v>208.81974</v>
      </c>
      <c r="G289" s="89">
        <v>12.32625</v>
      </c>
      <c r="H289" s="89">
        <v>56.395849999999996</v>
      </c>
      <c r="I289" s="89">
        <v>157.14305999999999</v>
      </c>
      <c r="J289" s="89">
        <v>2629.91239</v>
      </c>
      <c r="K289" s="89">
        <v>167.21445</v>
      </c>
      <c r="L289" s="89">
        <v>28185.8871</v>
      </c>
    </row>
    <row r="290" spans="1:12" ht="13.5" thickBot="1" x14ac:dyDescent="0.3">
      <c r="A290" s="85" t="s">
        <v>250</v>
      </c>
      <c r="B290" s="195"/>
      <c r="C290" s="86">
        <v>1705.9980800000001</v>
      </c>
      <c r="D290" s="86">
        <v>1255.2921799999999</v>
      </c>
      <c r="E290" s="86">
        <v>3867.9458100000002</v>
      </c>
      <c r="F290" s="86">
        <v>1138.5681200000001</v>
      </c>
      <c r="G290" s="86">
        <v>4970.6641600000003</v>
      </c>
      <c r="H290" s="86">
        <v>3850.6404299999999</v>
      </c>
      <c r="I290" s="86">
        <v>1570.8540000000003</v>
      </c>
      <c r="J290" s="86">
        <v>120.3082900000004</v>
      </c>
      <c r="K290" s="86">
        <v>-64.281779999999998</v>
      </c>
      <c r="L290" s="86">
        <v>-21977.592080000002</v>
      </c>
    </row>
    <row r="291" spans="1:12" x14ac:dyDescent="0.25">
      <c r="A291" s="73" t="s">
        <v>247</v>
      </c>
      <c r="B291" s="187" t="s">
        <v>319</v>
      </c>
      <c r="C291" s="74">
        <v>1382.9054199999998</v>
      </c>
      <c r="D291" s="74">
        <v>1071.57881</v>
      </c>
      <c r="E291" s="74">
        <v>3107.4654</v>
      </c>
      <c r="F291" s="74">
        <v>422.75227000000001</v>
      </c>
      <c r="G291" s="74">
        <v>2010.3393000000001</v>
      </c>
      <c r="H291" s="74">
        <v>1357.2155400000001</v>
      </c>
      <c r="I291" s="74">
        <v>1435.8624499999999</v>
      </c>
      <c r="J291" s="74">
        <v>2596.4669100000001</v>
      </c>
      <c r="K291" s="74">
        <v>110.3695</v>
      </c>
      <c r="L291" s="74">
        <v>1743.97038</v>
      </c>
    </row>
    <row r="292" spans="1:12" x14ac:dyDescent="0.25">
      <c r="A292" s="76" t="s">
        <v>249</v>
      </c>
      <c r="B292" s="188"/>
      <c r="C292" s="77">
        <v>207.11632</v>
      </c>
      <c r="D292" s="77">
        <v>228.99845000000002</v>
      </c>
      <c r="E292" s="77">
        <v>701.10715000000005</v>
      </c>
      <c r="F292" s="77">
        <v>91.376460000000009</v>
      </c>
      <c r="G292" s="77">
        <v>8.5075000000000003</v>
      </c>
      <c r="H292" s="77">
        <v>17.587</v>
      </c>
      <c r="I292" s="77">
        <v>166.85813000000002</v>
      </c>
      <c r="J292" s="77">
        <v>2485.9777999999997</v>
      </c>
      <c r="K292" s="77">
        <v>84.644410000000008</v>
      </c>
      <c r="L292" s="77">
        <v>11456.963400000001</v>
      </c>
    </row>
    <row r="293" spans="1:12" ht="13.5" thickBot="1" x14ac:dyDescent="0.3">
      <c r="A293" s="78" t="s">
        <v>250</v>
      </c>
      <c r="B293" s="189"/>
      <c r="C293" s="79">
        <v>1175.7890999999997</v>
      </c>
      <c r="D293" s="79">
        <v>842.58035999999993</v>
      </c>
      <c r="E293" s="79">
        <v>2406.3582500000002</v>
      </c>
      <c r="F293" s="79">
        <v>331.37581</v>
      </c>
      <c r="G293" s="79">
        <v>2001.8318000000002</v>
      </c>
      <c r="H293" s="79">
        <v>1339.6285400000002</v>
      </c>
      <c r="I293" s="79">
        <v>1269.0043199999998</v>
      </c>
      <c r="J293" s="79">
        <v>110.48911000000044</v>
      </c>
      <c r="K293" s="79">
        <v>25.725089999999994</v>
      </c>
      <c r="L293" s="79">
        <v>-9712.9930199999999</v>
      </c>
    </row>
    <row r="294" spans="1:12" x14ac:dyDescent="0.25">
      <c r="A294" s="81" t="s">
        <v>247</v>
      </c>
      <c r="B294" s="193" t="s">
        <v>24</v>
      </c>
      <c r="C294" s="88">
        <v>1718.6023300000002</v>
      </c>
      <c r="D294" s="88">
        <v>533.92515000000003</v>
      </c>
      <c r="E294" s="88">
        <v>2279.5678399999997</v>
      </c>
      <c r="F294" s="88">
        <v>270.37195000000003</v>
      </c>
      <c r="G294" s="88">
        <v>1715.2546200000002</v>
      </c>
      <c r="H294" s="88">
        <v>1086.96253</v>
      </c>
      <c r="I294" s="88">
        <v>1059.59968</v>
      </c>
      <c r="J294" s="88">
        <v>931.09006000000011</v>
      </c>
      <c r="K294" s="88">
        <v>172.89265</v>
      </c>
      <c r="L294" s="88">
        <v>711.68396999999993</v>
      </c>
    </row>
    <row r="295" spans="1:12" x14ac:dyDescent="0.25">
      <c r="A295" s="83" t="s">
        <v>249</v>
      </c>
      <c r="B295" s="194"/>
      <c r="C295" s="89">
        <v>103.32027000000001</v>
      </c>
      <c r="D295" s="89">
        <v>50.621199999999995</v>
      </c>
      <c r="E295" s="89">
        <v>668.82719999999995</v>
      </c>
      <c r="F295" s="89">
        <v>2.4300999999999999</v>
      </c>
      <c r="G295" s="89">
        <v>20.223749999999999</v>
      </c>
      <c r="H295" s="89">
        <v>7.1943999999999999</v>
      </c>
      <c r="I295" s="89">
        <v>284.77953000000002</v>
      </c>
      <c r="J295" s="89">
        <v>919.22861</v>
      </c>
      <c r="K295" s="89">
        <v>190.06735</v>
      </c>
      <c r="L295" s="89">
        <v>7994.9158399999997</v>
      </c>
    </row>
    <row r="296" spans="1:12" ht="13.5" thickBot="1" x14ac:dyDescent="0.3">
      <c r="A296" s="85" t="s">
        <v>250</v>
      </c>
      <c r="B296" s="195"/>
      <c r="C296" s="86">
        <v>1615.2820600000002</v>
      </c>
      <c r="D296" s="86">
        <v>483.30395000000004</v>
      </c>
      <c r="E296" s="86">
        <v>1610.7406399999998</v>
      </c>
      <c r="F296" s="86">
        <v>267.94185000000004</v>
      </c>
      <c r="G296" s="86">
        <v>1695.03087</v>
      </c>
      <c r="H296" s="86">
        <v>1079.7681299999999</v>
      </c>
      <c r="I296" s="86">
        <v>774.82015000000001</v>
      </c>
      <c r="J296" s="86">
        <v>11.861450000000104</v>
      </c>
      <c r="K296" s="86">
        <v>-17.174700000000001</v>
      </c>
      <c r="L296" s="86">
        <v>-7283.2318699999996</v>
      </c>
    </row>
    <row r="297" spans="1:12" x14ac:dyDescent="0.25">
      <c r="A297" s="73" t="s">
        <v>247</v>
      </c>
      <c r="B297" s="187" t="s">
        <v>320</v>
      </c>
      <c r="C297" s="74">
        <v>1601.2353500000002</v>
      </c>
      <c r="D297" s="74">
        <v>841.60755000000006</v>
      </c>
      <c r="E297" s="74">
        <v>2819.22858</v>
      </c>
      <c r="F297" s="74">
        <v>315.33757000000003</v>
      </c>
      <c r="G297" s="74">
        <v>1740.9326999999998</v>
      </c>
      <c r="H297" s="74">
        <v>1641.0756100000001</v>
      </c>
      <c r="I297" s="74">
        <v>938.51419999999996</v>
      </c>
      <c r="J297" s="74">
        <v>1714.31315</v>
      </c>
      <c r="K297" s="74">
        <v>64.043599999999998</v>
      </c>
      <c r="L297" s="74">
        <v>1046.7596100000001</v>
      </c>
    </row>
    <row r="298" spans="1:12" x14ac:dyDescent="0.25">
      <c r="A298" s="76" t="s">
        <v>249</v>
      </c>
      <c r="B298" s="188"/>
      <c r="C298" s="77">
        <v>177.64725000000001</v>
      </c>
      <c r="D298" s="77">
        <v>286.47995000000003</v>
      </c>
      <c r="E298" s="77">
        <v>793.6671</v>
      </c>
      <c r="F298" s="77">
        <v>2.9758</v>
      </c>
      <c r="G298" s="77">
        <v>0</v>
      </c>
      <c r="H298" s="77">
        <v>324.97505000000001</v>
      </c>
      <c r="I298" s="77">
        <v>132.37095000000002</v>
      </c>
      <c r="J298" s="77">
        <v>1633.1327699999999</v>
      </c>
      <c r="K298" s="77">
        <v>146.768</v>
      </c>
      <c r="L298" s="77">
        <v>9307.7259600000016</v>
      </c>
    </row>
    <row r="299" spans="1:12" ht="13.5" thickBot="1" x14ac:dyDescent="0.3">
      <c r="A299" s="78" t="s">
        <v>250</v>
      </c>
      <c r="B299" s="189"/>
      <c r="C299" s="79">
        <v>1423.5881000000002</v>
      </c>
      <c r="D299" s="79">
        <v>555.12760000000003</v>
      </c>
      <c r="E299" s="79">
        <v>2025.5614799999998</v>
      </c>
      <c r="F299" s="79">
        <v>312.36177000000004</v>
      </c>
      <c r="G299" s="79">
        <v>1740.9326999999998</v>
      </c>
      <c r="H299" s="79">
        <v>1316.1005600000001</v>
      </c>
      <c r="I299" s="79">
        <v>806.14324999999997</v>
      </c>
      <c r="J299" s="79">
        <v>81.180380000000014</v>
      </c>
      <c r="K299" s="79">
        <v>-82.724400000000003</v>
      </c>
      <c r="L299" s="79">
        <v>-8260.9663500000024</v>
      </c>
    </row>
    <row r="300" spans="1:12" x14ac:dyDescent="0.25">
      <c r="A300" s="81" t="s">
        <v>247</v>
      </c>
      <c r="B300" s="193" t="s">
        <v>321</v>
      </c>
      <c r="C300" s="88">
        <v>2247.0357300000001</v>
      </c>
      <c r="D300" s="88">
        <v>833.22516000000007</v>
      </c>
      <c r="E300" s="88">
        <v>2408.1477599999998</v>
      </c>
      <c r="F300" s="88">
        <v>329.66212999999999</v>
      </c>
      <c r="G300" s="88">
        <v>1911.1084799999999</v>
      </c>
      <c r="H300" s="88">
        <v>1485.13977</v>
      </c>
      <c r="I300" s="88">
        <v>1798.0440900000001</v>
      </c>
      <c r="J300" s="88">
        <v>2982.87113</v>
      </c>
      <c r="K300" s="88">
        <v>75.190919999999991</v>
      </c>
      <c r="L300" s="88">
        <v>1460.55304</v>
      </c>
    </row>
    <row r="301" spans="1:12" x14ac:dyDescent="0.25">
      <c r="A301" s="83" t="s">
        <v>249</v>
      </c>
      <c r="B301" s="194"/>
      <c r="C301" s="89">
        <v>571.83236999999997</v>
      </c>
      <c r="D301" s="89">
        <v>181.44635</v>
      </c>
      <c r="E301" s="89">
        <v>457.81875000000002</v>
      </c>
      <c r="F301" s="89">
        <v>6.7237999999999998</v>
      </c>
      <c r="G301" s="89">
        <v>0</v>
      </c>
      <c r="H301" s="89">
        <v>11.691600000000001</v>
      </c>
      <c r="I301" s="89">
        <v>610.31434000000002</v>
      </c>
      <c r="J301" s="89">
        <v>2529.5726500000001</v>
      </c>
      <c r="K301" s="89">
        <v>193.25774999999999</v>
      </c>
      <c r="L301" s="89">
        <v>10542.49113</v>
      </c>
    </row>
    <row r="302" spans="1:12" ht="13.5" thickBot="1" x14ac:dyDescent="0.3">
      <c r="A302" s="85" t="s">
        <v>250</v>
      </c>
      <c r="B302" s="195"/>
      <c r="C302" s="86">
        <v>1675.20336</v>
      </c>
      <c r="D302" s="86">
        <v>651.77881000000002</v>
      </c>
      <c r="E302" s="86">
        <v>1950.3290099999999</v>
      </c>
      <c r="F302" s="86">
        <v>322.93833000000001</v>
      </c>
      <c r="G302" s="86">
        <v>1911.1084799999999</v>
      </c>
      <c r="H302" s="86">
        <v>1473.4481699999999</v>
      </c>
      <c r="I302" s="86">
        <v>1187.72975</v>
      </c>
      <c r="J302" s="86">
        <v>453.29847999999993</v>
      </c>
      <c r="K302" s="86">
        <v>-118.06683</v>
      </c>
      <c r="L302" s="86">
        <v>-9081.9380899999996</v>
      </c>
    </row>
    <row r="303" spans="1:12" x14ac:dyDescent="0.25">
      <c r="A303" s="73" t="s">
        <v>247</v>
      </c>
      <c r="B303" s="187" t="s">
        <v>25</v>
      </c>
      <c r="C303" s="74">
        <v>1599.94208</v>
      </c>
      <c r="D303" s="74">
        <v>960.29694999999992</v>
      </c>
      <c r="E303" s="74">
        <v>2494.2401099999997</v>
      </c>
      <c r="F303" s="74">
        <v>436.10149000000001</v>
      </c>
      <c r="G303" s="74">
        <v>2578.1816699999999</v>
      </c>
      <c r="H303" s="74">
        <v>3211.2623900000003</v>
      </c>
      <c r="I303" s="74">
        <v>1270.79934</v>
      </c>
      <c r="J303" s="74">
        <v>1091.3466899999999</v>
      </c>
      <c r="K303" s="74">
        <v>39.83905</v>
      </c>
      <c r="L303" s="74">
        <v>951.60572999999999</v>
      </c>
    </row>
    <row r="304" spans="1:12" x14ac:dyDescent="0.25">
      <c r="A304" s="76" t="s">
        <v>249</v>
      </c>
      <c r="B304" s="188"/>
      <c r="C304" s="77">
        <v>140.33841000000001</v>
      </c>
      <c r="D304" s="77">
        <v>146.54150000000001</v>
      </c>
      <c r="E304" s="77">
        <v>431.97699999999998</v>
      </c>
      <c r="F304" s="77">
        <v>130.82803999999999</v>
      </c>
      <c r="G304" s="77">
        <v>2.1440000000000001</v>
      </c>
      <c r="H304" s="77">
        <v>1020.41265</v>
      </c>
      <c r="I304" s="77">
        <v>139.15725</v>
      </c>
      <c r="J304" s="77">
        <v>889.97004000000004</v>
      </c>
      <c r="K304" s="77">
        <v>86.343630000000005</v>
      </c>
      <c r="L304" s="77">
        <v>16253.85491</v>
      </c>
    </row>
    <row r="305" spans="1:12" ht="13.5" thickBot="1" x14ac:dyDescent="0.3">
      <c r="A305" s="78" t="s">
        <v>250</v>
      </c>
      <c r="B305" s="189"/>
      <c r="C305" s="79">
        <v>1459.60367</v>
      </c>
      <c r="D305" s="79">
        <v>813.75544999999988</v>
      </c>
      <c r="E305" s="79">
        <v>2062.2631099999999</v>
      </c>
      <c r="F305" s="79">
        <v>305.27345000000003</v>
      </c>
      <c r="G305" s="79">
        <v>2576.0376700000002</v>
      </c>
      <c r="H305" s="79">
        <v>2190.8497400000006</v>
      </c>
      <c r="I305" s="79">
        <v>1131.6420900000001</v>
      </c>
      <c r="J305" s="79">
        <v>201.37664999999981</v>
      </c>
      <c r="K305" s="79">
        <v>-46.504580000000004</v>
      </c>
      <c r="L305" s="79">
        <v>-15302.249180000001</v>
      </c>
    </row>
    <row r="306" spans="1:12" x14ac:dyDescent="0.25">
      <c r="A306" s="81" t="s">
        <v>247</v>
      </c>
      <c r="B306" s="193" t="s">
        <v>322</v>
      </c>
      <c r="C306" s="88">
        <v>2063.20055</v>
      </c>
      <c r="D306" s="88">
        <v>897.82153000000005</v>
      </c>
      <c r="E306" s="88">
        <v>2575.2048500000001</v>
      </c>
      <c r="F306" s="88">
        <v>387.99400000000003</v>
      </c>
      <c r="G306" s="88">
        <v>2655.4187499999998</v>
      </c>
      <c r="H306" s="88">
        <v>1645.5864299999998</v>
      </c>
      <c r="I306" s="88">
        <v>1470.2329499999998</v>
      </c>
      <c r="J306" s="88">
        <v>1933.2932499999999</v>
      </c>
      <c r="K306" s="88">
        <v>107.43647999999999</v>
      </c>
      <c r="L306" s="88">
        <v>2772.4094100000002</v>
      </c>
    </row>
    <row r="307" spans="1:12" x14ac:dyDescent="0.25">
      <c r="A307" s="83" t="s">
        <v>249</v>
      </c>
      <c r="B307" s="194"/>
      <c r="C307" s="89">
        <v>165.36797000000001</v>
      </c>
      <c r="D307" s="89">
        <v>162.65649999999999</v>
      </c>
      <c r="E307" s="89">
        <v>671.69060000000002</v>
      </c>
      <c r="F307" s="89">
        <v>74.865449999999996</v>
      </c>
      <c r="G307" s="89">
        <v>0</v>
      </c>
      <c r="H307" s="89">
        <v>11.195200000000002</v>
      </c>
      <c r="I307" s="89">
        <v>615.61851999999999</v>
      </c>
      <c r="J307" s="89">
        <v>1614.2391</v>
      </c>
      <c r="K307" s="89">
        <v>117.8233</v>
      </c>
      <c r="L307" s="89">
        <v>18658.946789999998</v>
      </c>
    </row>
    <row r="308" spans="1:12" ht="13.5" thickBot="1" x14ac:dyDescent="0.3">
      <c r="A308" s="85" t="s">
        <v>250</v>
      </c>
      <c r="B308" s="195"/>
      <c r="C308" s="86">
        <v>1897.83258</v>
      </c>
      <c r="D308" s="86">
        <v>735.16503000000012</v>
      </c>
      <c r="E308" s="86">
        <v>1903.5142500000002</v>
      </c>
      <c r="F308" s="86">
        <v>313.12855000000002</v>
      </c>
      <c r="G308" s="86">
        <v>2655.4187499999998</v>
      </c>
      <c r="H308" s="86">
        <v>1634.3912299999997</v>
      </c>
      <c r="I308" s="86">
        <v>854.61442999999986</v>
      </c>
      <c r="J308" s="86">
        <v>319.05414999999994</v>
      </c>
      <c r="K308" s="86">
        <v>-10.386820000000014</v>
      </c>
      <c r="L308" s="86">
        <v>-15886.537379999998</v>
      </c>
    </row>
    <row r="309" spans="1:12" x14ac:dyDescent="0.25">
      <c r="A309" s="73" t="s">
        <v>247</v>
      </c>
      <c r="B309" s="187" t="s">
        <v>323</v>
      </c>
      <c r="C309" s="74">
        <v>421.60226</v>
      </c>
      <c r="D309" s="74">
        <v>178.84608</v>
      </c>
      <c r="E309" s="74">
        <v>773.50149999999996</v>
      </c>
      <c r="F309" s="74">
        <v>61.880739999999996</v>
      </c>
      <c r="G309" s="74">
        <v>446.29764</v>
      </c>
      <c r="H309" s="74">
        <v>335.33681999999999</v>
      </c>
      <c r="I309" s="74">
        <v>217.53100000000001</v>
      </c>
      <c r="J309" s="74">
        <v>525.38342</v>
      </c>
      <c r="K309" s="74">
        <v>11.060499999999999</v>
      </c>
      <c r="L309" s="74">
        <v>434.61639000000002</v>
      </c>
    </row>
    <row r="310" spans="1:12" x14ac:dyDescent="0.25">
      <c r="A310" s="76" t="s">
        <v>249</v>
      </c>
      <c r="B310" s="188"/>
      <c r="C310" s="77">
        <v>45.115250000000003</v>
      </c>
      <c r="D310" s="77">
        <v>22.151199999999999</v>
      </c>
      <c r="E310" s="77">
        <v>348.30399</v>
      </c>
      <c r="F310" s="77">
        <v>0.13</v>
      </c>
      <c r="G310" s="77">
        <v>0</v>
      </c>
      <c r="H310" s="77">
        <v>1.925</v>
      </c>
      <c r="I310" s="77">
        <v>9.7469999999999999</v>
      </c>
      <c r="J310" s="77">
        <v>493.95026000000001</v>
      </c>
      <c r="K310" s="77">
        <v>20.268000000000001</v>
      </c>
      <c r="L310" s="77">
        <v>2474.3699300000003</v>
      </c>
    </row>
    <row r="311" spans="1:12" ht="13.5" thickBot="1" x14ac:dyDescent="0.3">
      <c r="A311" s="78" t="s">
        <v>250</v>
      </c>
      <c r="B311" s="189"/>
      <c r="C311" s="79">
        <v>376.48701</v>
      </c>
      <c r="D311" s="79">
        <v>156.69488000000001</v>
      </c>
      <c r="E311" s="79">
        <v>425.19750999999997</v>
      </c>
      <c r="F311" s="79">
        <v>61.750739999999993</v>
      </c>
      <c r="G311" s="79">
        <v>446.29764</v>
      </c>
      <c r="H311" s="79">
        <v>333.41181999999998</v>
      </c>
      <c r="I311" s="79">
        <v>207.78399999999999</v>
      </c>
      <c r="J311" s="79">
        <v>31.433159999999987</v>
      </c>
      <c r="K311" s="79">
        <v>-9.2075000000000014</v>
      </c>
      <c r="L311" s="79">
        <v>-2039.7535400000002</v>
      </c>
    </row>
    <row r="312" spans="1:12" x14ac:dyDescent="0.25">
      <c r="A312" s="81" t="s">
        <v>247</v>
      </c>
      <c r="B312" s="193" t="s">
        <v>324</v>
      </c>
      <c r="C312" s="88">
        <v>982.54975999999999</v>
      </c>
      <c r="D312" s="88">
        <v>255.42607999999998</v>
      </c>
      <c r="E312" s="88">
        <v>833.9393</v>
      </c>
      <c r="F312" s="88">
        <v>267.73505</v>
      </c>
      <c r="G312" s="88">
        <v>434.40378999999996</v>
      </c>
      <c r="H312" s="88">
        <v>300.92952000000002</v>
      </c>
      <c r="I312" s="88">
        <v>1596.98008</v>
      </c>
      <c r="J312" s="88">
        <v>1176.8409899999999</v>
      </c>
      <c r="K312" s="88">
        <v>83.771000000000001</v>
      </c>
      <c r="L312" s="88">
        <v>350.88560999999999</v>
      </c>
    </row>
    <row r="313" spans="1:12" x14ac:dyDescent="0.25">
      <c r="A313" s="83" t="s">
        <v>249</v>
      </c>
      <c r="B313" s="194"/>
      <c r="C313" s="89">
        <v>205.49572000000001</v>
      </c>
      <c r="D313" s="89">
        <v>20.311349999999997</v>
      </c>
      <c r="E313" s="89">
        <v>238.9905</v>
      </c>
      <c r="F313" s="89">
        <v>68.912350000000004</v>
      </c>
      <c r="G313" s="89">
        <v>0</v>
      </c>
      <c r="H313" s="89">
        <v>5.4446000000000003</v>
      </c>
      <c r="I313" s="89">
        <v>549.31781000000001</v>
      </c>
      <c r="J313" s="89">
        <v>1003.26171</v>
      </c>
      <c r="K313" s="89">
        <v>150.72967</v>
      </c>
      <c r="L313" s="89">
        <v>3711.7052599999997</v>
      </c>
    </row>
    <row r="314" spans="1:12" ht="13.5" thickBot="1" x14ac:dyDescent="0.3">
      <c r="A314" s="85" t="s">
        <v>250</v>
      </c>
      <c r="B314" s="195"/>
      <c r="C314" s="86">
        <v>777.05403999999999</v>
      </c>
      <c r="D314" s="86">
        <v>235.11472999999998</v>
      </c>
      <c r="E314" s="86">
        <v>594.94880000000001</v>
      </c>
      <c r="F314" s="86">
        <v>198.8227</v>
      </c>
      <c r="G314" s="86">
        <v>434.40378999999996</v>
      </c>
      <c r="H314" s="86">
        <v>295.48492000000005</v>
      </c>
      <c r="I314" s="86">
        <v>1047.66227</v>
      </c>
      <c r="J314" s="86">
        <v>173.57927999999993</v>
      </c>
      <c r="K314" s="86">
        <v>-66.958669999999998</v>
      </c>
      <c r="L314" s="86">
        <v>-3360.8196499999999</v>
      </c>
    </row>
    <row r="315" spans="1:12" x14ac:dyDescent="0.25">
      <c r="A315" s="73" t="s">
        <v>247</v>
      </c>
      <c r="B315" s="187" t="s">
        <v>325</v>
      </c>
      <c r="C315" s="74">
        <v>984.16489000000001</v>
      </c>
      <c r="D315" s="74">
        <v>588.00384999999994</v>
      </c>
      <c r="E315" s="74">
        <v>1599.1004800000001</v>
      </c>
      <c r="F315" s="74">
        <v>102.37934</v>
      </c>
      <c r="G315" s="74">
        <v>1433.35392</v>
      </c>
      <c r="H315" s="74">
        <v>1139.5158000000001</v>
      </c>
      <c r="I315" s="74">
        <v>981.09537999999998</v>
      </c>
      <c r="J315" s="74">
        <v>1046.18597</v>
      </c>
      <c r="K315" s="74">
        <v>7.4206499999999993</v>
      </c>
      <c r="L315" s="74">
        <v>737.15748999999994</v>
      </c>
    </row>
    <row r="316" spans="1:12" x14ac:dyDescent="0.25">
      <c r="A316" s="76" t="s">
        <v>249</v>
      </c>
      <c r="B316" s="188"/>
      <c r="C316" s="77">
        <v>56.104050000000001</v>
      </c>
      <c r="D316" s="77">
        <v>44.813300000000005</v>
      </c>
      <c r="E316" s="77">
        <v>384.67920000000004</v>
      </c>
      <c r="F316" s="77">
        <v>8.4689999999999994</v>
      </c>
      <c r="G316" s="77">
        <v>0.53154999999999997</v>
      </c>
      <c r="H316" s="77">
        <v>4.1033999999999997</v>
      </c>
      <c r="I316" s="77">
        <v>157.42425</v>
      </c>
      <c r="J316" s="77">
        <v>957.14094999999998</v>
      </c>
      <c r="K316" s="77">
        <v>56.215110000000003</v>
      </c>
      <c r="L316" s="77">
        <v>6432.9145799999997</v>
      </c>
    </row>
    <row r="317" spans="1:12" ht="13.5" thickBot="1" x14ac:dyDescent="0.3">
      <c r="A317" s="78" t="s">
        <v>250</v>
      </c>
      <c r="B317" s="189"/>
      <c r="C317" s="79">
        <v>928.06083999999998</v>
      </c>
      <c r="D317" s="79">
        <v>543.19054999999992</v>
      </c>
      <c r="E317" s="79">
        <v>1214.42128</v>
      </c>
      <c r="F317" s="79">
        <v>93.910340000000005</v>
      </c>
      <c r="G317" s="79">
        <v>1432.8223700000001</v>
      </c>
      <c r="H317" s="79">
        <v>1135.4124000000002</v>
      </c>
      <c r="I317" s="79">
        <v>823.67112999999995</v>
      </c>
      <c r="J317" s="79">
        <v>89.045020000000022</v>
      </c>
      <c r="K317" s="79">
        <v>-48.794460000000001</v>
      </c>
      <c r="L317" s="79">
        <v>-5695.7570900000001</v>
      </c>
    </row>
    <row r="318" spans="1:12" x14ac:dyDescent="0.25">
      <c r="A318" s="81" t="s">
        <v>247</v>
      </c>
      <c r="B318" s="193" t="s">
        <v>326</v>
      </c>
      <c r="C318" s="88">
        <v>649.42928000000006</v>
      </c>
      <c r="D318" s="88">
        <v>147.86185</v>
      </c>
      <c r="E318" s="88">
        <v>373.88479999999998</v>
      </c>
      <c r="F318" s="88">
        <v>74.104860000000002</v>
      </c>
      <c r="G318" s="88">
        <v>693.2486899999999</v>
      </c>
      <c r="H318" s="88">
        <v>371.65787</v>
      </c>
      <c r="I318" s="88">
        <v>379.69900999999999</v>
      </c>
      <c r="J318" s="88">
        <v>791.53230000000008</v>
      </c>
      <c r="K318" s="88">
        <v>27.058299999999999</v>
      </c>
      <c r="L318" s="88">
        <v>1237.6854499999999</v>
      </c>
    </row>
    <row r="319" spans="1:12" x14ac:dyDescent="0.25">
      <c r="A319" s="83" t="s">
        <v>249</v>
      </c>
      <c r="B319" s="194"/>
      <c r="C319" s="89">
        <v>39.379829999999998</v>
      </c>
      <c r="D319" s="89">
        <v>7.4441000000000006</v>
      </c>
      <c r="E319" s="89">
        <v>45.6</v>
      </c>
      <c r="F319" s="89">
        <v>0</v>
      </c>
      <c r="G319" s="89">
        <v>0</v>
      </c>
      <c r="H319" s="89">
        <v>1.5529999999999999</v>
      </c>
      <c r="I319" s="89">
        <v>193.01107999999999</v>
      </c>
      <c r="J319" s="89">
        <v>762.95308</v>
      </c>
      <c r="K319" s="89">
        <v>2.13</v>
      </c>
      <c r="L319" s="89">
        <v>4105.9423699999998</v>
      </c>
    </row>
    <row r="320" spans="1:12" ht="13.5" thickBot="1" x14ac:dyDescent="0.3">
      <c r="A320" s="85" t="s">
        <v>250</v>
      </c>
      <c r="B320" s="195"/>
      <c r="C320" s="86">
        <v>610.04945000000009</v>
      </c>
      <c r="D320" s="86">
        <v>140.41775000000001</v>
      </c>
      <c r="E320" s="86">
        <v>328.28479999999996</v>
      </c>
      <c r="F320" s="86">
        <v>74.104860000000002</v>
      </c>
      <c r="G320" s="86">
        <v>693.2486899999999</v>
      </c>
      <c r="H320" s="86">
        <v>370.10487000000001</v>
      </c>
      <c r="I320" s="86">
        <v>186.68792999999999</v>
      </c>
      <c r="J320" s="86">
        <v>28.579220000000078</v>
      </c>
      <c r="K320" s="86">
        <v>24.9283</v>
      </c>
      <c r="L320" s="86">
        <v>-2868.2569199999998</v>
      </c>
    </row>
    <row r="321" spans="1:12" s="80" customFormat="1" ht="18.75" customHeight="1" thickBot="1" x14ac:dyDescent="0.3">
      <c r="A321" s="96" t="s">
        <v>247</v>
      </c>
      <c r="B321" s="96" t="s">
        <v>224</v>
      </c>
      <c r="C321" s="97">
        <v>228008.21202999997</v>
      </c>
      <c r="D321" s="97">
        <v>187016.60840999987</v>
      </c>
      <c r="E321" s="97">
        <v>312547.74929000018</v>
      </c>
      <c r="F321" s="97">
        <v>133224.32173999993</v>
      </c>
      <c r="G321" s="97">
        <v>331089.67163</v>
      </c>
      <c r="H321" s="97">
        <v>211274.48950000003</v>
      </c>
      <c r="I321" s="97">
        <v>222961.70069000003</v>
      </c>
      <c r="J321" s="97">
        <v>205907.57297999994</v>
      </c>
      <c r="K321" s="97">
        <v>15980.320260000002</v>
      </c>
      <c r="L321" s="97">
        <v>298513.48470000015</v>
      </c>
    </row>
    <row r="322" spans="1:12" s="80" customFormat="1" ht="18.75" customHeight="1" x14ac:dyDescent="0.25">
      <c r="A322" s="98" t="s">
        <v>249</v>
      </c>
      <c r="B322" s="98" t="s">
        <v>224</v>
      </c>
      <c r="C322" s="97">
        <v>46288.672159999995</v>
      </c>
      <c r="D322" s="97">
        <v>77303.369869999995</v>
      </c>
      <c r="E322" s="97">
        <v>72464.325670000006</v>
      </c>
      <c r="F322" s="97">
        <v>22456.579730000005</v>
      </c>
      <c r="G322" s="97">
        <v>63959.523020000001</v>
      </c>
      <c r="H322" s="97">
        <v>14454.245259999996</v>
      </c>
      <c r="I322" s="97">
        <v>79584.982030000028</v>
      </c>
      <c r="J322" s="97">
        <v>179662.12169000003</v>
      </c>
      <c r="K322" s="97">
        <v>19634.002419999997</v>
      </c>
      <c r="L322" s="97">
        <v>1604068.7588500001</v>
      </c>
    </row>
    <row r="323" spans="1:12" s="80" customFormat="1" ht="18.75" customHeight="1" thickBot="1" x14ac:dyDescent="0.3">
      <c r="A323" s="94" t="s">
        <v>250</v>
      </c>
      <c r="B323" s="94" t="s">
        <v>224</v>
      </c>
      <c r="C323" s="95">
        <v>181719.53986999998</v>
      </c>
      <c r="D323" s="95">
        <v>109713.23853999987</v>
      </c>
      <c r="E323" s="95">
        <v>240083.42362000019</v>
      </c>
      <c r="F323" s="95">
        <v>110767.74200999993</v>
      </c>
      <c r="G323" s="95">
        <v>267130.14860999997</v>
      </c>
      <c r="H323" s="95">
        <v>196820.24424000003</v>
      </c>
      <c r="I323" s="95">
        <v>143376.71866000001</v>
      </c>
      <c r="J323" s="95">
        <v>26245.45128999991</v>
      </c>
      <c r="K323" s="95">
        <v>-3653.6821599999948</v>
      </c>
      <c r="L323" s="95">
        <v>-1305555.27415</v>
      </c>
    </row>
    <row r="324" spans="1:12" ht="17.25" customHeight="1" x14ac:dyDescent="0.25">
      <c r="A324" s="75" t="s">
        <v>591</v>
      </c>
    </row>
    <row r="325" spans="1:12" ht="10.5" customHeight="1" x14ac:dyDescent="0.25">
      <c r="A325" s="132" t="s">
        <v>526</v>
      </c>
    </row>
  </sheetData>
  <mergeCells count="106">
    <mergeCell ref="B309:B311"/>
    <mergeCell ref="B312:B314"/>
    <mergeCell ref="B315:B317"/>
    <mergeCell ref="B318:B320"/>
    <mergeCell ref="B291:B293"/>
    <mergeCell ref="B294:B296"/>
    <mergeCell ref="B297:B299"/>
    <mergeCell ref="B300:B302"/>
    <mergeCell ref="B303:B305"/>
    <mergeCell ref="B306:B308"/>
    <mergeCell ref="B273:B275"/>
    <mergeCell ref="B276:B278"/>
    <mergeCell ref="B279:B281"/>
    <mergeCell ref="B282:B284"/>
    <mergeCell ref="B285:B287"/>
    <mergeCell ref="B288:B290"/>
    <mergeCell ref="B255:B257"/>
    <mergeCell ref="B258:B260"/>
    <mergeCell ref="B261:B263"/>
    <mergeCell ref="B264:B266"/>
    <mergeCell ref="B267:B269"/>
    <mergeCell ref="B270:B272"/>
    <mergeCell ref="B237:B239"/>
    <mergeCell ref="B240:B242"/>
    <mergeCell ref="B243:B245"/>
    <mergeCell ref="B246:B248"/>
    <mergeCell ref="B249:B251"/>
    <mergeCell ref="B252:B254"/>
    <mergeCell ref="B219:B221"/>
    <mergeCell ref="B222:B224"/>
    <mergeCell ref="B225:B227"/>
    <mergeCell ref="B228:B230"/>
    <mergeCell ref="B231:B233"/>
    <mergeCell ref="B234:B236"/>
    <mergeCell ref="B201:B203"/>
    <mergeCell ref="B204:B206"/>
    <mergeCell ref="B207:B209"/>
    <mergeCell ref="B210:B212"/>
    <mergeCell ref="B213:B215"/>
    <mergeCell ref="B216:B218"/>
    <mergeCell ref="B183:B185"/>
    <mergeCell ref="B186:B188"/>
    <mergeCell ref="B189:B191"/>
    <mergeCell ref="B192:B194"/>
    <mergeCell ref="B195:B197"/>
    <mergeCell ref="B198:B200"/>
    <mergeCell ref="B165:B167"/>
    <mergeCell ref="B168:B170"/>
    <mergeCell ref="B171:B173"/>
    <mergeCell ref="B174:B176"/>
    <mergeCell ref="B177:B179"/>
    <mergeCell ref="B180:B182"/>
    <mergeCell ref="B147:B149"/>
    <mergeCell ref="B150:B152"/>
    <mergeCell ref="B153:B155"/>
    <mergeCell ref="B156:B158"/>
    <mergeCell ref="B159:B161"/>
    <mergeCell ref="B162:B164"/>
    <mergeCell ref="B129:B131"/>
    <mergeCell ref="B132:B134"/>
    <mergeCell ref="B135:B137"/>
    <mergeCell ref="B138:B140"/>
    <mergeCell ref="B141:B143"/>
    <mergeCell ref="B144:B146"/>
    <mergeCell ref="B111:B113"/>
    <mergeCell ref="B114:B116"/>
    <mergeCell ref="B117:B119"/>
    <mergeCell ref="B120:B122"/>
    <mergeCell ref="B123:B125"/>
    <mergeCell ref="B126:B128"/>
    <mergeCell ref="B93:B95"/>
    <mergeCell ref="B96:B98"/>
    <mergeCell ref="B99:B101"/>
    <mergeCell ref="B102:B104"/>
    <mergeCell ref="B105:B107"/>
    <mergeCell ref="B108:B110"/>
    <mergeCell ref="B75:B77"/>
    <mergeCell ref="B78:B80"/>
    <mergeCell ref="B81:B83"/>
    <mergeCell ref="B84:B86"/>
    <mergeCell ref="B87:B89"/>
    <mergeCell ref="B90:B92"/>
    <mergeCell ref="B57:B59"/>
    <mergeCell ref="B60:B62"/>
    <mergeCell ref="B63:B65"/>
    <mergeCell ref="B66:B68"/>
    <mergeCell ref="B69:B71"/>
    <mergeCell ref="B72:B74"/>
    <mergeCell ref="B39:B41"/>
    <mergeCell ref="B42:B44"/>
    <mergeCell ref="B45:B47"/>
    <mergeCell ref="B48:B50"/>
    <mergeCell ref="B51:B53"/>
    <mergeCell ref="B54:B56"/>
    <mergeCell ref="B21:B23"/>
    <mergeCell ref="B24:B26"/>
    <mergeCell ref="B27:B29"/>
    <mergeCell ref="B30:B32"/>
    <mergeCell ref="B33:B35"/>
    <mergeCell ref="B36:B38"/>
    <mergeCell ref="B3:B5"/>
    <mergeCell ref="B6:B8"/>
    <mergeCell ref="B9:B11"/>
    <mergeCell ref="B12:B14"/>
    <mergeCell ref="B15:B17"/>
    <mergeCell ref="B18:B20"/>
  </mergeCells>
  <hyperlinks>
    <hyperlink ref="A325" r:id="rId1" xr:uid="{00000000-0004-0000-0700-000000000000}"/>
  </hyperlinks>
  <printOptions horizontalCentered="1"/>
  <pageMargins left="0.51181102362204722" right="0.51181102362204722" top="0.47244094488188981" bottom="0.35433070866141736" header="0.31496062992125984" footer="0"/>
  <pageSetup paperSize="9" firstPageNumber="39" orientation="portrait" useFirstPageNumber="1" horizontalDpi="1200" verticalDpi="1200" r:id="rId2"/>
  <headerFooter>
    <oddFooter>&amp;C&amp;"Arial Narrow,Corsivo"&amp;7- pagina &amp;P -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11"/>
  <sheetViews>
    <sheetView zoomScale="150" zoomScaleNormal="150" workbookViewId="0">
      <pane ySplit="3" topLeftCell="A94" activePane="bottomLeft" state="frozenSplit"/>
      <selection pane="bottomLeft" activeCell="A110" sqref="A110"/>
    </sheetView>
  </sheetViews>
  <sheetFormatPr defaultColWidth="8.42578125" defaultRowHeight="13.5" x14ac:dyDescent="0.25"/>
  <cols>
    <col min="1" max="1" width="12.7109375" style="16" customWidth="1"/>
    <col min="2" max="2" width="2.5703125" style="16" customWidth="1"/>
    <col min="3" max="4" width="11.28515625" style="16" customWidth="1"/>
    <col min="5" max="5" width="12.42578125" style="46" customWidth="1"/>
    <col min="6" max="6" width="2.5703125" style="16" customWidth="1"/>
    <col min="7" max="8" width="11.140625" style="16" customWidth="1"/>
    <col min="9" max="9" width="12.42578125" style="46" customWidth="1"/>
    <col min="10" max="253" width="8" style="51" customWidth="1"/>
    <col min="254" max="254" width="17.5703125" style="51" customWidth="1"/>
    <col min="255" max="256" width="8.42578125" style="51"/>
    <col min="257" max="257" width="15.7109375" style="51" customWidth="1"/>
    <col min="258" max="258" width="2.85546875" style="51" customWidth="1"/>
    <col min="259" max="261" width="12.7109375" style="51" customWidth="1"/>
    <col min="262" max="262" width="2.85546875" style="51" customWidth="1"/>
    <col min="263" max="265" width="12.7109375" style="51" customWidth="1"/>
    <col min="266" max="509" width="8" style="51" customWidth="1"/>
    <col min="510" max="510" width="17.5703125" style="51" customWidth="1"/>
    <col min="511" max="512" width="8.42578125" style="51"/>
    <col min="513" max="513" width="15.7109375" style="51" customWidth="1"/>
    <col min="514" max="514" width="2.85546875" style="51" customWidth="1"/>
    <col min="515" max="517" width="12.7109375" style="51" customWidth="1"/>
    <col min="518" max="518" width="2.85546875" style="51" customWidth="1"/>
    <col min="519" max="521" width="12.7109375" style="51" customWidth="1"/>
    <col min="522" max="765" width="8" style="51" customWidth="1"/>
    <col min="766" max="766" width="17.5703125" style="51" customWidth="1"/>
    <col min="767" max="768" width="8.42578125" style="51"/>
    <col min="769" max="769" width="15.7109375" style="51" customWidth="1"/>
    <col min="770" max="770" width="2.85546875" style="51" customWidth="1"/>
    <col min="771" max="773" width="12.7109375" style="51" customWidth="1"/>
    <col min="774" max="774" width="2.85546875" style="51" customWidth="1"/>
    <col min="775" max="777" width="12.7109375" style="51" customWidth="1"/>
    <col min="778" max="1021" width="8" style="51" customWidth="1"/>
    <col min="1022" max="1022" width="17.5703125" style="51" customWidth="1"/>
    <col min="1023" max="1024" width="8.42578125" style="51"/>
    <col min="1025" max="1025" width="15.7109375" style="51" customWidth="1"/>
    <col min="1026" max="1026" width="2.85546875" style="51" customWidth="1"/>
    <col min="1027" max="1029" width="12.7109375" style="51" customWidth="1"/>
    <col min="1030" max="1030" width="2.85546875" style="51" customWidth="1"/>
    <col min="1031" max="1033" width="12.7109375" style="51" customWidth="1"/>
    <col min="1034" max="1277" width="8" style="51" customWidth="1"/>
    <col min="1278" max="1278" width="17.5703125" style="51" customWidth="1"/>
    <col min="1279" max="1280" width="8.42578125" style="51"/>
    <col min="1281" max="1281" width="15.7109375" style="51" customWidth="1"/>
    <col min="1282" max="1282" width="2.85546875" style="51" customWidth="1"/>
    <col min="1283" max="1285" width="12.7109375" style="51" customWidth="1"/>
    <col min="1286" max="1286" width="2.85546875" style="51" customWidth="1"/>
    <col min="1287" max="1289" width="12.7109375" style="51" customWidth="1"/>
    <col min="1290" max="1533" width="8" style="51" customWidth="1"/>
    <col min="1534" max="1534" width="17.5703125" style="51" customWidth="1"/>
    <col min="1535" max="1536" width="8.42578125" style="51"/>
    <col min="1537" max="1537" width="15.7109375" style="51" customWidth="1"/>
    <col min="1538" max="1538" width="2.85546875" style="51" customWidth="1"/>
    <col min="1539" max="1541" width="12.7109375" style="51" customWidth="1"/>
    <col min="1542" max="1542" width="2.85546875" style="51" customWidth="1"/>
    <col min="1543" max="1545" width="12.7109375" style="51" customWidth="1"/>
    <col min="1546" max="1789" width="8" style="51" customWidth="1"/>
    <col min="1790" max="1790" width="17.5703125" style="51" customWidth="1"/>
    <col min="1791" max="1792" width="8.42578125" style="51"/>
    <col min="1793" max="1793" width="15.7109375" style="51" customWidth="1"/>
    <col min="1794" max="1794" width="2.85546875" style="51" customWidth="1"/>
    <col min="1795" max="1797" width="12.7109375" style="51" customWidth="1"/>
    <col min="1798" max="1798" width="2.85546875" style="51" customWidth="1"/>
    <col min="1799" max="1801" width="12.7109375" style="51" customWidth="1"/>
    <col min="1802" max="2045" width="8" style="51" customWidth="1"/>
    <col min="2046" max="2046" width="17.5703125" style="51" customWidth="1"/>
    <col min="2047" max="2048" width="8.42578125" style="51"/>
    <col min="2049" max="2049" width="15.7109375" style="51" customWidth="1"/>
    <col min="2050" max="2050" width="2.85546875" style="51" customWidth="1"/>
    <col min="2051" max="2053" width="12.7109375" style="51" customWidth="1"/>
    <col min="2054" max="2054" width="2.85546875" style="51" customWidth="1"/>
    <col min="2055" max="2057" width="12.7109375" style="51" customWidth="1"/>
    <col min="2058" max="2301" width="8" style="51" customWidth="1"/>
    <col min="2302" max="2302" width="17.5703125" style="51" customWidth="1"/>
    <col min="2303" max="2304" width="8.42578125" style="51"/>
    <col min="2305" max="2305" width="15.7109375" style="51" customWidth="1"/>
    <col min="2306" max="2306" width="2.85546875" style="51" customWidth="1"/>
    <col min="2307" max="2309" width="12.7109375" style="51" customWidth="1"/>
    <col min="2310" max="2310" width="2.85546875" style="51" customWidth="1"/>
    <col min="2311" max="2313" width="12.7109375" style="51" customWidth="1"/>
    <col min="2314" max="2557" width="8" style="51" customWidth="1"/>
    <col min="2558" max="2558" width="17.5703125" style="51" customWidth="1"/>
    <col min="2559" max="2560" width="8.42578125" style="51"/>
    <col min="2561" max="2561" width="15.7109375" style="51" customWidth="1"/>
    <col min="2562" max="2562" width="2.85546875" style="51" customWidth="1"/>
    <col min="2563" max="2565" width="12.7109375" style="51" customWidth="1"/>
    <col min="2566" max="2566" width="2.85546875" style="51" customWidth="1"/>
    <col min="2567" max="2569" width="12.7109375" style="51" customWidth="1"/>
    <col min="2570" max="2813" width="8" style="51" customWidth="1"/>
    <col min="2814" max="2814" width="17.5703125" style="51" customWidth="1"/>
    <col min="2815" max="2816" width="8.42578125" style="51"/>
    <col min="2817" max="2817" width="15.7109375" style="51" customWidth="1"/>
    <col min="2818" max="2818" width="2.85546875" style="51" customWidth="1"/>
    <col min="2819" max="2821" width="12.7109375" style="51" customWidth="1"/>
    <col min="2822" max="2822" width="2.85546875" style="51" customWidth="1"/>
    <col min="2823" max="2825" width="12.7109375" style="51" customWidth="1"/>
    <col min="2826" max="3069" width="8" style="51" customWidth="1"/>
    <col min="3070" max="3070" width="17.5703125" style="51" customWidth="1"/>
    <col min="3071" max="3072" width="8.42578125" style="51"/>
    <col min="3073" max="3073" width="15.7109375" style="51" customWidth="1"/>
    <col min="3074" max="3074" width="2.85546875" style="51" customWidth="1"/>
    <col min="3075" max="3077" width="12.7109375" style="51" customWidth="1"/>
    <col min="3078" max="3078" width="2.85546875" style="51" customWidth="1"/>
    <col min="3079" max="3081" width="12.7109375" style="51" customWidth="1"/>
    <col min="3082" max="3325" width="8" style="51" customWidth="1"/>
    <col min="3326" max="3326" width="17.5703125" style="51" customWidth="1"/>
    <col min="3327" max="3328" width="8.42578125" style="51"/>
    <col min="3329" max="3329" width="15.7109375" style="51" customWidth="1"/>
    <col min="3330" max="3330" width="2.85546875" style="51" customWidth="1"/>
    <col min="3331" max="3333" width="12.7109375" style="51" customWidth="1"/>
    <col min="3334" max="3334" width="2.85546875" style="51" customWidth="1"/>
    <col min="3335" max="3337" width="12.7109375" style="51" customWidth="1"/>
    <col min="3338" max="3581" width="8" style="51" customWidth="1"/>
    <col min="3582" max="3582" width="17.5703125" style="51" customWidth="1"/>
    <col min="3583" max="3584" width="8.42578125" style="51"/>
    <col min="3585" max="3585" width="15.7109375" style="51" customWidth="1"/>
    <col min="3586" max="3586" width="2.85546875" style="51" customWidth="1"/>
    <col min="3587" max="3589" width="12.7109375" style="51" customWidth="1"/>
    <col min="3590" max="3590" width="2.85546875" style="51" customWidth="1"/>
    <col min="3591" max="3593" width="12.7109375" style="51" customWidth="1"/>
    <col min="3594" max="3837" width="8" style="51" customWidth="1"/>
    <col min="3838" max="3838" width="17.5703125" style="51" customWidth="1"/>
    <col min="3839" max="3840" width="8.42578125" style="51"/>
    <col min="3841" max="3841" width="15.7109375" style="51" customWidth="1"/>
    <col min="3842" max="3842" width="2.85546875" style="51" customWidth="1"/>
    <col min="3843" max="3845" width="12.7109375" style="51" customWidth="1"/>
    <col min="3846" max="3846" width="2.85546875" style="51" customWidth="1"/>
    <col min="3847" max="3849" width="12.7109375" style="51" customWidth="1"/>
    <col min="3850" max="4093" width="8" style="51" customWidth="1"/>
    <col min="4094" max="4094" width="17.5703125" style="51" customWidth="1"/>
    <col min="4095" max="4096" width="8.42578125" style="51"/>
    <col min="4097" max="4097" width="15.7109375" style="51" customWidth="1"/>
    <col min="4098" max="4098" width="2.85546875" style="51" customWidth="1"/>
    <col min="4099" max="4101" width="12.7109375" style="51" customWidth="1"/>
    <col min="4102" max="4102" width="2.85546875" style="51" customWidth="1"/>
    <col min="4103" max="4105" width="12.7109375" style="51" customWidth="1"/>
    <col min="4106" max="4349" width="8" style="51" customWidth="1"/>
    <col min="4350" max="4350" width="17.5703125" style="51" customWidth="1"/>
    <col min="4351" max="4352" width="8.42578125" style="51"/>
    <col min="4353" max="4353" width="15.7109375" style="51" customWidth="1"/>
    <col min="4354" max="4354" width="2.85546875" style="51" customWidth="1"/>
    <col min="4355" max="4357" width="12.7109375" style="51" customWidth="1"/>
    <col min="4358" max="4358" width="2.85546875" style="51" customWidth="1"/>
    <col min="4359" max="4361" width="12.7109375" style="51" customWidth="1"/>
    <col min="4362" max="4605" width="8" style="51" customWidth="1"/>
    <col min="4606" max="4606" width="17.5703125" style="51" customWidth="1"/>
    <col min="4607" max="4608" width="8.42578125" style="51"/>
    <col min="4609" max="4609" width="15.7109375" style="51" customWidth="1"/>
    <col min="4610" max="4610" width="2.85546875" style="51" customWidth="1"/>
    <col min="4611" max="4613" width="12.7109375" style="51" customWidth="1"/>
    <col min="4614" max="4614" width="2.85546875" style="51" customWidth="1"/>
    <col min="4615" max="4617" width="12.7109375" style="51" customWidth="1"/>
    <col min="4618" max="4861" width="8" style="51" customWidth="1"/>
    <col min="4862" max="4862" width="17.5703125" style="51" customWidth="1"/>
    <col min="4863" max="4864" width="8.42578125" style="51"/>
    <col min="4865" max="4865" width="15.7109375" style="51" customWidth="1"/>
    <col min="4866" max="4866" width="2.85546875" style="51" customWidth="1"/>
    <col min="4867" max="4869" width="12.7109375" style="51" customWidth="1"/>
    <col min="4870" max="4870" width="2.85546875" style="51" customWidth="1"/>
    <col min="4871" max="4873" width="12.7109375" style="51" customWidth="1"/>
    <col min="4874" max="5117" width="8" style="51" customWidth="1"/>
    <col min="5118" max="5118" width="17.5703125" style="51" customWidth="1"/>
    <col min="5119" max="5120" width="8.42578125" style="51"/>
    <col min="5121" max="5121" width="15.7109375" style="51" customWidth="1"/>
    <col min="5122" max="5122" width="2.85546875" style="51" customWidth="1"/>
    <col min="5123" max="5125" width="12.7109375" style="51" customWidth="1"/>
    <col min="5126" max="5126" width="2.85546875" style="51" customWidth="1"/>
    <col min="5127" max="5129" width="12.7109375" style="51" customWidth="1"/>
    <col min="5130" max="5373" width="8" style="51" customWidth="1"/>
    <col min="5374" max="5374" width="17.5703125" style="51" customWidth="1"/>
    <col min="5375" max="5376" width="8.42578125" style="51"/>
    <col min="5377" max="5377" width="15.7109375" style="51" customWidth="1"/>
    <col min="5378" max="5378" width="2.85546875" style="51" customWidth="1"/>
    <col min="5379" max="5381" width="12.7109375" style="51" customWidth="1"/>
    <col min="5382" max="5382" width="2.85546875" style="51" customWidth="1"/>
    <col min="5383" max="5385" width="12.7109375" style="51" customWidth="1"/>
    <col min="5386" max="5629" width="8" style="51" customWidth="1"/>
    <col min="5630" max="5630" width="17.5703125" style="51" customWidth="1"/>
    <col min="5631" max="5632" width="8.42578125" style="51"/>
    <col min="5633" max="5633" width="15.7109375" style="51" customWidth="1"/>
    <col min="5634" max="5634" width="2.85546875" style="51" customWidth="1"/>
    <col min="5635" max="5637" width="12.7109375" style="51" customWidth="1"/>
    <col min="5638" max="5638" width="2.85546875" style="51" customWidth="1"/>
    <col min="5639" max="5641" width="12.7109375" style="51" customWidth="1"/>
    <col min="5642" max="5885" width="8" style="51" customWidth="1"/>
    <col min="5886" max="5886" width="17.5703125" style="51" customWidth="1"/>
    <col min="5887" max="5888" width="8.42578125" style="51"/>
    <col min="5889" max="5889" width="15.7109375" style="51" customWidth="1"/>
    <col min="5890" max="5890" width="2.85546875" style="51" customWidth="1"/>
    <col min="5891" max="5893" width="12.7109375" style="51" customWidth="1"/>
    <col min="5894" max="5894" width="2.85546875" style="51" customWidth="1"/>
    <col min="5895" max="5897" width="12.7109375" style="51" customWidth="1"/>
    <col min="5898" max="6141" width="8" style="51" customWidth="1"/>
    <col min="6142" max="6142" width="17.5703125" style="51" customWidth="1"/>
    <col min="6143" max="6144" width="8.42578125" style="51"/>
    <col min="6145" max="6145" width="15.7109375" style="51" customWidth="1"/>
    <col min="6146" max="6146" width="2.85546875" style="51" customWidth="1"/>
    <col min="6147" max="6149" width="12.7109375" style="51" customWidth="1"/>
    <col min="6150" max="6150" width="2.85546875" style="51" customWidth="1"/>
    <col min="6151" max="6153" width="12.7109375" style="51" customWidth="1"/>
    <col min="6154" max="6397" width="8" style="51" customWidth="1"/>
    <col min="6398" max="6398" width="17.5703125" style="51" customWidth="1"/>
    <col min="6399" max="6400" width="8.42578125" style="51"/>
    <col min="6401" max="6401" width="15.7109375" style="51" customWidth="1"/>
    <col min="6402" max="6402" width="2.85546875" style="51" customWidth="1"/>
    <col min="6403" max="6405" width="12.7109375" style="51" customWidth="1"/>
    <col min="6406" max="6406" width="2.85546875" style="51" customWidth="1"/>
    <col min="6407" max="6409" width="12.7109375" style="51" customWidth="1"/>
    <col min="6410" max="6653" width="8" style="51" customWidth="1"/>
    <col min="6654" max="6654" width="17.5703125" style="51" customWidth="1"/>
    <col min="6655" max="6656" width="8.42578125" style="51"/>
    <col min="6657" max="6657" width="15.7109375" style="51" customWidth="1"/>
    <col min="6658" max="6658" width="2.85546875" style="51" customWidth="1"/>
    <col min="6659" max="6661" width="12.7109375" style="51" customWidth="1"/>
    <col min="6662" max="6662" width="2.85546875" style="51" customWidth="1"/>
    <col min="6663" max="6665" width="12.7109375" style="51" customWidth="1"/>
    <col min="6666" max="6909" width="8" style="51" customWidth="1"/>
    <col min="6910" max="6910" width="17.5703125" style="51" customWidth="1"/>
    <col min="6911" max="6912" width="8.42578125" style="51"/>
    <col min="6913" max="6913" width="15.7109375" style="51" customWidth="1"/>
    <col min="6914" max="6914" width="2.85546875" style="51" customWidth="1"/>
    <col min="6915" max="6917" width="12.7109375" style="51" customWidth="1"/>
    <col min="6918" max="6918" width="2.85546875" style="51" customWidth="1"/>
    <col min="6919" max="6921" width="12.7109375" style="51" customWidth="1"/>
    <col min="6922" max="7165" width="8" style="51" customWidth="1"/>
    <col min="7166" max="7166" width="17.5703125" style="51" customWidth="1"/>
    <col min="7167" max="7168" width="8.42578125" style="51"/>
    <col min="7169" max="7169" width="15.7109375" style="51" customWidth="1"/>
    <col min="7170" max="7170" width="2.85546875" style="51" customWidth="1"/>
    <col min="7171" max="7173" width="12.7109375" style="51" customWidth="1"/>
    <col min="7174" max="7174" width="2.85546875" style="51" customWidth="1"/>
    <col min="7175" max="7177" width="12.7109375" style="51" customWidth="1"/>
    <col min="7178" max="7421" width="8" style="51" customWidth="1"/>
    <col min="7422" max="7422" width="17.5703125" style="51" customWidth="1"/>
    <col min="7423" max="7424" width="8.42578125" style="51"/>
    <col min="7425" max="7425" width="15.7109375" style="51" customWidth="1"/>
    <col min="7426" max="7426" width="2.85546875" style="51" customWidth="1"/>
    <col min="7427" max="7429" width="12.7109375" style="51" customWidth="1"/>
    <col min="7430" max="7430" width="2.85546875" style="51" customWidth="1"/>
    <col min="7431" max="7433" width="12.7109375" style="51" customWidth="1"/>
    <col min="7434" max="7677" width="8" style="51" customWidth="1"/>
    <col min="7678" max="7678" width="17.5703125" style="51" customWidth="1"/>
    <col min="7679" max="7680" width="8.42578125" style="51"/>
    <col min="7681" max="7681" width="15.7109375" style="51" customWidth="1"/>
    <col min="7682" max="7682" width="2.85546875" style="51" customWidth="1"/>
    <col min="7683" max="7685" width="12.7109375" style="51" customWidth="1"/>
    <col min="7686" max="7686" width="2.85546875" style="51" customWidth="1"/>
    <col min="7687" max="7689" width="12.7109375" style="51" customWidth="1"/>
    <col min="7690" max="7933" width="8" style="51" customWidth="1"/>
    <col min="7934" max="7934" width="17.5703125" style="51" customWidth="1"/>
    <col min="7935" max="7936" width="8.42578125" style="51"/>
    <col min="7937" max="7937" width="15.7109375" style="51" customWidth="1"/>
    <col min="7938" max="7938" width="2.85546875" style="51" customWidth="1"/>
    <col min="7939" max="7941" width="12.7109375" style="51" customWidth="1"/>
    <col min="7942" max="7942" width="2.85546875" style="51" customWidth="1"/>
    <col min="7943" max="7945" width="12.7109375" style="51" customWidth="1"/>
    <col min="7946" max="8189" width="8" style="51" customWidth="1"/>
    <col min="8190" max="8190" width="17.5703125" style="51" customWidth="1"/>
    <col min="8191" max="8192" width="8.42578125" style="51"/>
    <col min="8193" max="8193" width="15.7109375" style="51" customWidth="1"/>
    <col min="8194" max="8194" width="2.85546875" style="51" customWidth="1"/>
    <col min="8195" max="8197" width="12.7109375" style="51" customWidth="1"/>
    <col min="8198" max="8198" width="2.85546875" style="51" customWidth="1"/>
    <col min="8199" max="8201" width="12.7109375" style="51" customWidth="1"/>
    <col min="8202" max="8445" width="8" style="51" customWidth="1"/>
    <col min="8446" max="8446" width="17.5703125" style="51" customWidth="1"/>
    <col min="8447" max="8448" width="8.42578125" style="51"/>
    <col min="8449" max="8449" width="15.7109375" style="51" customWidth="1"/>
    <col min="8450" max="8450" width="2.85546875" style="51" customWidth="1"/>
    <col min="8451" max="8453" width="12.7109375" style="51" customWidth="1"/>
    <col min="8454" max="8454" width="2.85546875" style="51" customWidth="1"/>
    <col min="8455" max="8457" width="12.7109375" style="51" customWidth="1"/>
    <col min="8458" max="8701" width="8" style="51" customWidth="1"/>
    <col min="8702" max="8702" width="17.5703125" style="51" customWidth="1"/>
    <col min="8703" max="8704" width="8.42578125" style="51"/>
    <col min="8705" max="8705" width="15.7109375" style="51" customWidth="1"/>
    <col min="8706" max="8706" width="2.85546875" style="51" customWidth="1"/>
    <col min="8707" max="8709" width="12.7109375" style="51" customWidth="1"/>
    <col min="8710" max="8710" width="2.85546875" style="51" customWidth="1"/>
    <col min="8711" max="8713" width="12.7109375" style="51" customWidth="1"/>
    <col min="8714" max="8957" width="8" style="51" customWidth="1"/>
    <col min="8958" max="8958" width="17.5703125" style="51" customWidth="1"/>
    <col min="8959" max="8960" width="8.42578125" style="51"/>
    <col min="8961" max="8961" width="15.7109375" style="51" customWidth="1"/>
    <col min="8962" max="8962" width="2.85546875" style="51" customWidth="1"/>
    <col min="8963" max="8965" width="12.7109375" style="51" customWidth="1"/>
    <col min="8966" max="8966" width="2.85546875" style="51" customWidth="1"/>
    <col min="8967" max="8969" width="12.7109375" style="51" customWidth="1"/>
    <col min="8970" max="9213" width="8" style="51" customWidth="1"/>
    <col min="9214" max="9214" width="17.5703125" style="51" customWidth="1"/>
    <col min="9215" max="9216" width="8.42578125" style="51"/>
    <col min="9217" max="9217" width="15.7109375" style="51" customWidth="1"/>
    <col min="9218" max="9218" width="2.85546875" style="51" customWidth="1"/>
    <col min="9219" max="9221" width="12.7109375" style="51" customWidth="1"/>
    <col min="9222" max="9222" width="2.85546875" style="51" customWidth="1"/>
    <col min="9223" max="9225" width="12.7109375" style="51" customWidth="1"/>
    <col min="9226" max="9469" width="8" style="51" customWidth="1"/>
    <col min="9470" max="9470" width="17.5703125" style="51" customWidth="1"/>
    <col min="9471" max="9472" width="8.42578125" style="51"/>
    <col min="9473" max="9473" width="15.7109375" style="51" customWidth="1"/>
    <col min="9474" max="9474" width="2.85546875" style="51" customWidth="1"/>
    <col min="9475" max="9477" width="12.7109375" style="51" customWidth="1"/>
    <col min="9478" max="9478" width="2.85546875" style="51" customWidth="1"/>
    <col min="9479" max="9481" width="12.7109375" style="51" customWidth="1"/>
    <col min="9482" max="9725" width="8" style="51" customWidth="1"/>
    <col min="9726" max="9726" width="17.5703125" style="51" customWidth="1"/>
    <col min="9727" max="9728" width="8.42578125" style="51"/>
    <col min="9729" max="9729" width="15.7109375" style="51" customWidth="1"/>
    <col min="9730" max="9730" width="2.85546875" style="51" customWidth="1"/>
    <col min="9731" max="9733" width="12.7109375" style="51" customWidth="1"/>
    <col min="9734" max="9734" width="2.85546875" style="51" customWidth="1"/>
    <col min="9735" max="9737" width="12.7109375" style="51" customWidth="1"/>
    <col min="9738" max="9981" width="8" style="51" customWidth="1"/>
    <col min="9982" max="9982" width="17.5703125" style="51" customWidth="1"/>
    <col min="9983" max="9984" width="8.42578125" style="51"/>
    <col min="9985" max="9985" width="15.7109375" style="51" customWidth="1"/>
    <col min="9986" max="9986" width="2.85546875" style="51" customWidth="1"/>
    <col min="9987" max="9989" width="12.7109375" style="51" customWidth="1"/>
    <col min="9990" max="9990" width="2.85546875" style="51" customWidth="1"/>
    <col min="9991" max="9993" width="12.7109375" style="51" customWidth="1"/>
    <col min="9994" max="10237" width="8" style="51" customWidth="1"/>
    <col min="10238" max="10238" width="17.5703125" style="51" customWidth="1"/>
    <col min="10239" max="10240" width="8.42578125" style="51"/>
    <col min="10241" max="10241" width="15.7109375" style="51" customWidth="1"/>
    <col min="10242" max="10242" width="2.85546875" style="51" customWidth="1"/>
    <col min="10243" max="10245" width="12.7109375" style="51" customWidth="1"/>
    <col min="10246" max="10246" width="2.85546875" style="51" customWidth="1"/>
    <col min="10247" max="10249" width="12.7109375" style="51" customWidth="1"/>
    <col min="10250" max="10493" width="8" style="51" customWidth="1"/>
    <col min="10494" max="10494" width="17.5703125" style="51" customWidth="1"/>
    <col min="10495" max="10496" width="8.42578125" style="51"/>
    <col min="10497" max="10497" width="15.7109375" style="51" customWidth="1"/>
    <col min="10498" max="10498" width="2.85546875" style="51" customWidth="1"/>
    <col min="10499" max="10501" width="12.7109375" style="51" customWidth="1"/>
    <col min="10502" max="10502" width="2.85546875" style="51" customWidth="1"/>
    <col min="10503" max="10505" width="12.7109375" style="51" customWidth="1"/>
    <col min="10506" max="10749" width="8" style="51" customWidth="1"/>
    <col min="10750" max="10750" width="17.5703125" style="51" customWidth="1"/>
    <col min="10751" max="10752" width="8.42578125" style="51"/>
    <col min="10753" max="10753" width="15.7109375" style="51" customWidth="1"/>
    <col min="10754" max="10754" width="2.85546875" style="51" customWidth="1"/>
    <col min="10755" max="10757" width="12.7109375" style="51" customWidth="1"/>
    <col min="10758" max="10758" width="2.85546875" style="51" customWidth="1"/>
    <col min="10759" max="10761" width="12.7109375" style="51" customWidth="1"/>
    <col min="10762" max="11005" width="8" style="51" customWidth="1"/>
    <col min="11006" max="11006" width="17.5703125" style="51" customWidth="1"/>
    <col min="11007" max="11008" width="8.42578125" style="51"/>
    <col min="11009" max="11009" width="15.7109375" style="51" customWidth="1"/>
    <col min="11010" max="11010" width="2.85546875" style="51" customWidth="1"/>
    <col min="11011" max="11013" width="12.7109375" style="51" customWidth="1"/>
    <col min="11014" max="11014" width="2.85546875" style="51" customWidth="1"/>
    <col min="11015" max="11017" width="12.7109375" style="51" customWidth="1"/>
    <col min="11018" max="11261" width="8" style="51" customWidth="1"/>
    <col min="11262" max="11262" width="17.5703125" style="51" customWidth="1"/>
    <col min="11263" max="11264" width="8.42578125" style="51"/>
    <col min="11265" max="11265" width="15.7109375" style="51" customWidth="1"/>
    <col min="11266" max="11266" width="2.85546875" style="51" customWidth="1"/>
    <col min="11267" max="11269" width="12.7109375" style="51" customWidth="1"/>
    <col min="11270" max="11270" width="2.85546875" style="51" customWidth="1"/>
    <col min="11271" max="11273" width="12.7109375" style="51" customWidth="1"/>
    <col min="11274" max="11517" width="8" style="51" customWidth="1"/>
    <col min="11518" max="11518" width="17.5703125" style="51" customWidth="1"/>
    <col min="11519" max="11520" width="8.42578125" style="51"/>
    <col min="11521" max="11521" width="15.7109375" style="51" customWidth="1"/>
    <col min="11522" max="11522" width="2.85546875" style="51" customWidth="1"/>
    <col min="11523" max="11525" width="12.7109375" style="51" customWidth="1"/>
    <col min="11526" max="11526" width="2.85546875" style="51" customWidth="1"/>
    <col min="11527" max="11529" width="12.7109375" style="51" customWidth="1"/>
    <col min="11530" max="11773" width="8" style="51" customWidth="1"/>
    <col min="11774" max="11774" width="17.5703125" style="51" customWidth="1"/>
    <col min="11775" max="11776" width="8.42578125" style="51"/>
    <col min="11777" max="11777" width="15.7109375" style="51" customWidth="1"/>
    <col min="11778" max="11778" width="2.85546875" style="51" customWidth="1"/>
    <col min="11779" max="11781" width="12.7109375" style="51" customWidth="1"/>
    <col min="11782" max="11782" width="2.85546875" style="51" customWidth="1"/>
    <col min="11783" max="11785" width="12.7109375" style="51" customWidth="1"/>
    <col min="11786" max="12029" width="8" style="51" customWidth="1"/>
    <col min="12030" max="12030" width="17.5703125" style="51" customWidth="1"/>
    <col min="12031" max="12032" width="8.42578125" style="51"/>
    <col min="12033" max="12033" width="15.7109375" style="51" customWidth="1"/>
    <col min="12034" max="12034" width="2.85546875" style="51" customWidth="1"/>
    <col min="12035" max="12037" width="12.7109375" style="51" customWidth="1"/>
    <col min="12038" max="12038" width="2.85546875" style="51" customWidth="1"/>
    <col min="12039" max="12041" width="12.7109375" style="51" customWidth="1"/>
    <col min="12042" max="12285" width="8" style="51" customWidth="1"/>
    <col min="12286" max="12286" width="17.5703125" style="51" customWidth="1"/>
    <col min="12287" max="12288" width="8.42578125" style="51"/>
    <col min="12289" max="12289" width="15.7109375" style="51" customWidth="1"/>
    <col min="12290" max="12290" width="2.85546875" style="51" customWidth="1"/>
    <col min="12291" max="12293" width="12.7109375" style="51" customWidth="1"/>
    <col min="12294" max="12294" width="2.85546875" style="51" customWidth="1"/>
    <col min="12295" max="12297" width="12.7109375" style="51" customWidth="1"/>
    <col min="12298" max="12541" width="8" style="51" customWidth="1"/>
    <col min="12542" max="12542" width="17.5703125" style="51" customWidth="1"/>
    <col min="12543" max="12544" width="8.42578125" style="51"/>
    <col min="12545" max="12545" width="15.7109375" style="51" customWidth="1"/>
    <col min="12546" max="12546" width="2.85546875" style="51" customWidth="1"/>
    <col min="12547" max="12549" width="12.7109375" style="51" customWidth="1"/>
    <col min="12550" max="12550" width="2.85546875" style="51" customWidth="1"/>
    <col min="12551" max="12553" width="12.7109375" style="51" customWidth="1"/>
    <col min="12554" max="12797" width="8" style="51" customWidth="1"/>
    <col min="12798" max="12798" width="17.5703125" style="51" customWidth="1"/>
    <col min="12799" max="12800" width="8.42578125" style="51"/>
    <col min="12801" max="12801" width="15.7109375" style="51" customWidth="1"/>
    <col min="12802" max="12802" width="2.85546875" style="51" customWidth="1"/>
    <col min="12803" max="12805" width="12.7109375" style="51" customWidth="1"/>
    <col min="12806" max="12806" width="2.85546875" style="51" customWidth="1"/>
    <col min="12807" max="12809" width="12.7109375" style="51" customWidth="1"/>
    <col min="12810" max="13053" width="8" style="51" customWidth="1"/>
    <col min="13054" max="13054" width="17.5703125" style="51" customWidth="1"/>
    <col min="13055" max="13056" width="8.42578125" style="51"/>
    <col min="13057" max="13057" width="15.7109375" style="51" customWidth="1"/>
    <col min="13058" max="13058" width="2.85546875" style="51" customWidth="1"/>
    <col min="13059" max="13061" width="12.7109375" style="51" customWidth="1"/>
    <col min="13062" max="13062" width="2.85546875" style="51" customWidth="1"/>
    <col min="13063" max="13065" width="12.7109375" style="51" customWidth="1"/>
    <col min="13066" max="13309" width="8" style="51" customWidth="1"/>
    <col min="13310" max="13310" width="17.5703125" style="51" customWidth="1"/>
    <col min="13311" max="13312" width="8.42578125" style="51"/>
    <col min="13313" max="13313" width="15.7109375" style="51" customWidth="1"/>
    <col min="13314" max="13314" width="2.85546875" style="51" customWidth="1"/>
    <col min="13315" max="13317" width="12.7109375" style="51" customWidth="1"/>
    <col min="13318" max="13318" width="2.85546875" style="51" customWidth="1"/>
    <col min="13319" max="13321" width="12.7109375" style="51" customWidth="1"/>
    <col min="13322" max="13565" width="8" style="51" customWidth="1"/>
    <col min="13566" max="13566" width="17.5703125" style="51" customWidth="1"/>
    <col min="13567" max="13568" width="8.42578125" style="51"/>
    <col min="13569" max="13569" width="15.7109375" style="51" customWidth="1"/>
    <col min="13570" max="13570" width="2.85546875" style="51" customWidth="1"/>
    <col min="13571" max="13573" width="12.7109375" style="51" customWidth="1"/>
    <col min="13574" max="13574" width="2.85546875" style="51" customWidth="1"/>
    <col min="13575" max="13577" width="12.7109375" style="51" customWidth="1"/>
    <col min="13578" max="13821" width="8" style="51" customWidth="1"/>
    <col min="13822" max="13822" width="17.5703125" style="51" customWidth="1"/>
    <col min="13823" max="13824" width="8.42578125" style="51"/>
    <col min="13825" max="13825" width="15.7109375" style="51" customWidth="1"/>
    <col min="13826" max="13826" width="2.85546875" style="51" customWidth="1"/>
    <col min="13827" max="13829" width="12.7109375" style="51" customWidth="1"/>
    <col min="13830" max="13830" width="2.85546875" style="51" customWidth="1"/>
    <col min="13831" max="13833" width="12.7109375" style="51" customWidth="1"/>
    <col min="13834" max="14077" width="8" style="51" customWidth="1"/>
    <col min="14078" max="14078" width="17.5703125" style="51" customWidth="1"/>
    <col min="14079" max="14080" width="8.42578125" style="51"/>
    <col min="14081" max="14081" width="15.7109375" style="51" customWidth="1"/>
    <col min="14082" max="14082" width="2.85546875" style="51" customWidth="1"/>
    <col min="14083" max="14085" width="12.7109375" style="51" customWidth="1"/>
    <col min="14086" max="14086" width="2.85546875" style="51" customWidth="1"/>
    <col min="14087" max="14089" width="12.7109375" style="51" customWidth="1"/>
    <col min="14090" max="14333" width="8" style="51" customWidth="1"/>
    <col min="14334" max="14334" width="17.5703125" style="51" customWidth="1"/>
    <col min="14335" max="14336" width="8.42578125" style="51"/>
    <col min="14337" max="14337" width="15.7109375" style="51" customWidth="1"/>
    <col min="14338" max="14338" width="2.85546875" style="51" customWidth="1"/>
    <col min="14339" max="14341" width="12.7109375" style="51" customWidth="1"/>
    <col min="14342" max="14342" width="2.85546875" style="51" customWidth="1"/>
    <col min="14343" max="14345" width="12.7109375" style="51" customWidth="1"/>
    <col min="14346" max="14589" width="8" style="51" customWidth="1"/>
    <col min="14590" max="14590" width="17.5703125" style="51" customWidth="1"/>
    <col min="14591" max="14592" width="8.42578125" style="51"/>
    <col min="14593" max="14593" width="15.7109375" style="51" customWidth="1"/>
    <col min="14594" max="14594" width="2.85546875" style="51" customWidth="1"/>
    <col min="14595" max="14597" width="12.7109375" style="51" customWidth="1"/>
    <col min="14598" max="14598" width="2.85546875" style="51" customWidth="1"/>
    <col min="14599" max="14601" width="12.7109375" style="51" customWidth="1"/>
    <col min="14602" max="14845" width="8" style="51" customWidth="1"/>
    <col min="14846" max="14846" width="17.5703125" style="51" customWidth="1"/>
    <col min="14847" max="14848" width="8.42578125" style="51"/>
    <col min="14849" max="14849" width="15.7109375" style="51" customWidth="1"/>
    <col min="14850" max="14850" width="2.85546875" style="51" customWidth="1"/>
    <col min="14851" max="14853" width="12.7109375" style="51" customWidth="1"/>
    <col min="14854" max="14854" width="2.85546875" style="51" customWidth="1"/>
    <col min="14855" max="14857" width="12.7109375" style="51" customWidth="1"/>
    <col min="14858" max="15101" width="8" style="51" customWidth="1"/>
    <col min="15102" max="15102" width="17.5703125" style="51" customWidth="1"/>
    <col min="15103" max="15104" width="8.42578125" style="51"/>
    <col min="15105" max="15105" width="15.7109375" style="51" customWidth="1"/>
    <col min="15106" max="15106" width="2.85546875" style="51" customWidth="1"/>
    <col min="15107" max="15109" width="12.7109375" style="51" customWidth="1"/>
    <col min="15110" max="15110" width="2.85546875" style="51" customWidth="1"/>
    <col min="15111" max="15113" width="12.7109375" style="51" customWidth="1"/>
    <col min="15114" max="15357" width="8" style="51" customWidth="1"/>
    <col min="15358" max="15358" width="17.5703125" style="51" customWidth="1"/>
    <col min="15359" max="15360" width="8.42578125" style="51"/>
    <col min="15361" max="15361" width="15.7109375" style="51" customWidth="1"/>
    <col min="15362" max="15362" width="2.85546875" style="51" customWidth="1"/>
    <col min="15363" max="15365" width="12.7109375" style="51" customWidth="1"/>
    <col min="15366" max="15366" width="2.85546875" style="51" customWidth="1"/>
    <col min="15367" max="15369" width="12.7109375" style="51" customWidth="1"/>
    <col min="15370" max="15613" width="8" style="51" customWidth="1"/>
    <col min="15614" max="15614" width="17.5703125" style="51" customWidth="1"/>
    <col min="15615" max="15616" width="8.42578125" style="51"/>
    <col min="15617" max="15617" width="15.7109375" style="51" customWidth="1"/>
    <col min="15618" max="15618" width="2.85546875" style="51" customWidth="1"/>
    <col min="15619" max="15621" width="12.7109375" style="51" customWidth="1"/>
    <col min="15622" max="15622" width="2.85546875" style="51" customWidth="1"/>
    <col min="15623" max="15625" width="12.7109375" style="51" customWidth="1"/>
    <col min="15626" max="15869" width="8" style="51" customWidth="1"/>
    <col min="15870" max="15870" width="17.5703125" style="51" customWidth="1"/>
    <col min="15871" max="15872" width="8.42578125" style="51"/>
    <col min="15873" max="15873" width="15.7109375" style="51" customWidth="1"/>
    <col min="15874" max="15874" width="2.85546875" style="51" customWidth="1"/>
    <col min="15875" max="15877" width="12.7109375" style="51" customWidth="1"/>
    <col min="15878" max="15878" width="2.85546875" style="51" customWidth="1"/>
    <col min="15879" max="15881" width="12.7109375" style="51" customWidth="1"/>
    <col min="15882" max="16125" width="8" style="51" customWidth="1"/>
    <col min="16126" max="16126" width="17.5703125" style="51" customWidth="1"/>
    <col min="16127" max="16128" width="8.42578125" style="51"/>
    <col min="16129" max="16129" width="15.7109375" style="51" customWidth="1"/>
    <col min="16130" max="16130" width="2.85546875" style="51" customWidth="1"/>
    <col min="16131" max="16133" width="12.7109375" style="51" customWidth="1"/>
    <col min="16134" max="16134" width="2.85546875" style="51" customWidth="1"/>
    <col min="16135" max="16137" width="12.7109375" style="51" customWidth="1"/>
    <col min="16138" max="16381" width="8" style="51" customWidth="1"/>
    <col min="16382" max="16382" width="17.5703125" style="51" customWidth="1"/>
    <col min="16383" max="16384" width="8.42578125" style="51"/>
  </cols>
  <sheetData>
    <row r="1" spans="1:12" s="68" customFormat="1" ht="20.25" customHeight="1" x14ac:dyDescent="0.25">
      <c r="A1" s="29" t="s">
        <v>623</v>
      </c>
      <c r="B1" s="30"/>
      <c r="C1" s="30"/>
      <c r="D1" s="30"/>
      <c r="E1" s="31"/>
      <c r="F1" s="30"/>
      <c r="G1" s="30"/>
      <c r="H1" s="30"/>
      <c r="I1" s="31"/>
    </row>
    <row r="2" spans="1:12" s="101" customFormat="1" ht="18" customHeight="1" x14ac:dyDescent="0.25">
      <c r="A2" s="99"/>
      <c r="B2" s="100"/>
      <c r="C2" s="196" t="s">
        <v>337</v>
      </c>
      <c r="D2" s="196"/>
      <c r="E2" s="196"/>
      <c r="F2" s="100"/>
      <c r="G2" s="196" t="s">
        <v>338</v>
      </c>
      <c r="H2" s="196"/>
      <c r="I2" s="196"/>
    </row>
    <row r="3" spans="1:12" s="102" customFormat="1" ht="24.75" customHeight="1" x14ac:dyDescent="0.25">
      <c r="A3" s="34"/>
      <c r="B3" s="34"/>
      <c r="C3" s="35" t="s">
        <v>584</v>
      </c>
      <c r="D3" s="35" t="s">
        <v>585</v>
      </c>
      <c r="E3" s="36" t="s">
        <v>586</v>
      </c>
      <c r="F3" s="35"/>
      <c r="G3" s="35" t="s">
        <v>339</v>
      </c>
      <c r="H3" s="35" t="s">
        <v>587</v>
      </c>
      <c r="I3" s="36" t="s">
        <v>340</v>
      </c>
    </row>
    <row r="4" spans="1:12" s="16" customFormat="1" x14ac:dyDescent="0.25">
      <c r="A4" s="1" t="s">
        <v>31</v>
      </c>
      <c r="B4" s="103"/>
      <c r="C4" s="38">
        <v>1877.95929</v>
      </c>
      <c r="D4" s="38">
        <v>920.52562999999998</v>
      </c>
      <c r="E4" s="104">
        <v>957.43366000000003</v>
      </c>
      <c r="F4" s="171"/>
      <c r="G4" s="105">
        <v>957.43366000000003</v>
      </c>
      <c r="H4" s="105">
        <v>850.06626999999958</v>
      </c>
      <c r="I4" s="106">
        <v>-107.36739000000046</v>
      </c>
      <c r="J4" s="57"/>
      <c r="K4" s="57"/>
      <c r="L4" s="57"/>
    </row>
    <row r="5" spans="1:12" s="16" customFormat="1" x14ac:dyDescent="0.25">
      <c r="A5" s="2" t="s">
        <v>32</v>
      </c>
      <c r="B5" s="103"/>
      <c r="C5" s="40">
        <v>2278.6750000000002</v>
      </c>
      <c r="D5" s="40">
        <v>230.9726</v>
      </c>
      <c r="E5" s="104">
        <v>2047.7024000000001</v>
      </c>
      <c r="F5" s="172"/>
      <c r="G5" s="105">
        <v>2047.7024000000001</v>
      </c>
      <c r="H5" s="107">
        <v>1051.0974199999982</v>
      </c>
      <c r="I5" s="106">
        <v>-996.60498000000189</v>
      </c>
      <c r="J5" s="57"/>
      <c r="K5" s="57"/>
      <c r="L5" s="57"/>
    </row>
    <row r="6" spans="1:12" s="16" customFormat="1" x14ac:dyDescent="0.25">
      <c r="A6" s="2" t="s">
        <v>4</v>
      </c>
      <c r="B6" s="103"/>
      <c r="C6" s="40">
        <v>2372.3935899999997</v>
      </c>
      <c r="D6" s="40">
        <v>1773.95975</v>
      </c>
      <c r="E6" s="104">
        <v>598.43383999999969</v>
      </c>
      <c r="F6" s="172"/>
      <c r="G6" s="105">
        <v>598.43383999999969</v>
      </c>
      <c r="H6" s="107">
        <v>1483.0288499999995</v>
      </c>
      <c r="I6" s="106">
        <v>884.59500999999977</v>
      </c>
      <c r="J6" s="57"/>
      <c r="K6" s="57"/>
      <c r="L6" s="57"/>
    </row>
    <row r="7" spans="1:12" s="16" customFormat="1" x14ac:dyDescent="0.25">
      <c r="A7" s="2" t="s">
        <v>33</v>
      </c>
      <c r="B7" s="103"/>
      <c r="C7" s="40">
        <v>848.65400999999997</v>
      </c>
      <c r="D7" s="40">
        <v>270.94540000000001</v>
      </c>
      <c r="E7" s="104">
        <v>577.70860999999991</v>
      </c>
      <c r="F7" s="172"/>
      <c r="G7" s="105">
        <v>577.70860999999991</v>
      </c>
      <c r="H7" s="107">
        <v>500.08014000000082</v>
      </c>
      <c r="I7" s="106">
        <v>-77.628469999999083</v>
      </c>
      <c r="J7" s="57"/>
      <c r="K7" s="57"/>
      <c r="L7" s="57"/>
    </row>
    <row r="8" spans="1:12" s="16" customFormat="1" x14ac:dyDescent="0.25">
      <c r="A8" s="2" t="s">
        <v>34</v>
      </c>
      <c r="B8" s="108"/>
      <c r="C8" s="107">
        <v>222.19284999999999</v>
      </c>
      <c r="D8" s="107">
        <v>0</v>
      </c>
      <c r="E8" s="104">
        <v>222.19284999999999</v>
      </c>
      <c r="F8" s="172"/>
      <c r="G8" s="105">
        <v>222.19284999999999</v>
      </c>
      <c r="H8" s="107">
        <v>257.47987000000029</v>
      </c>
      <c r="I8" s="106">
        <v>35.287020000000297</v>
      </c>
      <c r="J8" s="57"/>
      <c r="K8" s="57"/>
      <c r="L8" s="57"/>
    </row>
    <row r="9" spans="1:12" s="16" customFormat="1" x14ac:dyDescent="0.25">
      <c r="A9" s="2" t="s">
        <v>35</v>
      </c>
      <c r="B9" s="103"/>
      <c r="C9" s="40">
        <v>2960.4433799999997</v>
      </c>
      <c r="D9" s="40">
        <v>466.88884999999999</v>
      </c>
      <c r="E9" s="104">
        <v>2493.5545299999999</v>
      </c>
      <c r="F9" s="172"/>
      <c r="G9" s="105">
        <v>2493.5545299999999</v>
      </c>
      <c r="H9" s="107">
        <v>1145.6590599999997</v>
      </c>
      <c r="I9" s="106">
        <v>-1347.8954700000002</v>
      </c>
      <c r="J9" s="57"/>
      <c r="K9" s="57"/>
      <c r="L9" s="57"/>
    </row>
    <row r="10" spans="1:12" s="16" customFormat="1" x14ac:dyDescent="0.25">
      <c r="A10" s="2" t="s">
        <v>36</v>
      </c>
      <c r="B10" s="103"/>
      <c r="C10" s="40">
        <v>705.81206999999995</v>
      </c>
      <c r="D10" s="40">
        <v>395.70249000000001</v>
      </c>
      <c r="E10" s="104">
        <v>310.10957999999994</v>
      </c>
      <c r="F10" s="172"/>
      <c r="G10" s="105">
        <v>310.10957999999994</v>
      </c>
      <c r="H10" s="107">
        <v>252.58415999999954</v>
      </c>
      <c r="I10" s="106">
        <v>-57.525420000000395</v>
      </c>
      <c r="J10" s="57"/>
      <c r="K10" s="57"/>
      <c r="L10" s="57"/>
    </row>
    <row r="11" spans="1:12" s="16" customFormat="1" x14ac:dyDescent="0.25">
      <c r="A11" s="2" t="s">
        <v>5</v>
      </c>
      <c r="B11" s="103"/>
      <c r="C11" s="40">
        <v>7574.0964699999995</v>
      </c>
      <c r="D11" s="40">
        <v>1682.92345</v>
      </c>
      <c r="E11" s="104">
        <v>5891.1730199999993</v>
      </c>
      <c r="F11" s="172"/>
      <c r="G11" s="105">
        <v>5891.1730199999993</v>
      </c>
      <c r="H11" s="107">
        <v>5475.9405400000032</v>
      </c>
      <c r="I11" s="106">
        <v>-415.23247999999603</v>
      </c>
      <c r="J11" s="57"/>
      <c r="K11" s="57"/>
      <c r="L11" s="57"/>
    </row>
    <row r="12" spans="1:12" s="16" customFormat="1" x14ac:dyDescent="0.25">
      <c r="A12" s="2" t="s">
        <v>37</v>
      </c>
      <c r="B12" s="103"/>
      <c r="C12" s="40">
        <v>117.14475</v>
      </c>
      <c r="D12" s="40">
        <v>97.862350000000006</v>
      </c>
      <c r="E12" s="104">
        <v>19.282399999999996</v>
      </c>
      <c r="F12" s="172"/>
      <c r="G12" s="105">
        <v>19.282399999999996</v>
      </c>
      <c r="H12" s="107">
        <v>101.73618999999995</v>
      </c>
      <c r="I12" s="106">
        <v>82.453789999999955</v>
      </c>
      <c r="J12" s="57"/>
      <c r="K12" s="57"/>
      <c r="L12" s="57"/>
    </row>
    <row r="13" spans="1:12" s="16" customFormat="1" x14ac:dyDescent="0.25">
      <c r="A13" s="2" t="s">
        <v>38</v>
      </c>
      <c r="B13" s="103"/>
      <c r="C13" s="40">
        <v>823.0050500000001</v>
      </c>
      <c r="D13" s="40">
        <v>306.73470000000003</v>
      </c>
      <c r="E13" s="104">
        <v>516.27035000000001</v>
      </c>
      <c r="F13" s="172"/>
      <c r="G13" s="105">
        <v>516.27035000000001</v>
      </c>
      <c r="H13" s="107">
        <v>718.45756000000154</v>
      </c>
      <c r="I13" s="106">
        <v>202.18721000000153</v>
      </c>
      <c r="J13" s="57"/>
      <c r="K13" s="57"/>
      <c r="L13" s="57"/>
    </row>
    <row r="14" spans="1:12" s="16" customFormat="1" x14ac:dyDescent="0.25">
      <c r="A14" s="2" t="s">
        <v>6</v>
      </c>
      <c r="B14" s="103"/>
      <c r="C14" s="40">
        <v>2983.3662799999997</v>
      </c>
      <c r="D14" s="40">
        <v>2546.3885800000003</v>
      </c>
      <c r="E14" s="104">
        <v>436.97769999999946</v>
      </c>
      <c r="F14" s="172"/>
      <c r="G14" s="105">
        <v>436.97769999999946</v>
      </c>
      <c r="H14" s="107">
        <v>682.00690000000236</v>
      </c>
      <c r="I14" s="106">
        <v>245.0292000000029</v>
      </c>
      <c r="J14" s="57"/>
      <c r="K14" s="57"/>
      <c r="L14" s="57"/>
    </row>
    <row r="15" spans="1:12" s="16" customFormat="1" x14ac:dyDescent="0.25">
      <c r="A15" s="2" t="s">
        <v>39</v>
      </c>
      <c r="B15" s="103"/>
      <c r="C15" s="40">
        <v>917.60470999999995</v>
      </c>
      <c r="D15" s="40">
        <v>568.20455000000004</v>
      </c>
      <c r="E15" s="104">
        <v>349.40015999999991</v>
      </c>
      <c r="F15" s="172"/>
      <c r="G15" s="105">
        <v>349.40015999999991</v>
      </c>
      <c r="H15" s="107">
        <v>1297.6286800000003</v>
      </c>
      <c r="I15" s="106">
        <v>948.22852000000034</v>
      </c>
      <c r="J15" s="57"/>
      <c r="K15" s="57"/>
      <c r="L15" s="57"/>
    </row>
    <row r="16" spans="1:12" s="16" customFormat="1" x14ac:dyDescent="0.25">
      <c r="A16" s="2" t="s">
        <v>40</v>
      </c>
      <c r="B16" s="103"/>
      <c r="C16" s="40">
        <v>235.16288</v>
      </c>
      <c r="D16" s="40">
        <v>44.18815</v>
      </c>
      <c r="E16" s="104">
        <v>190.97472999999999</v>
      </c>
      <c r="F16" s="172"/>
      <c r="G16" s="105">
        <v>190.97472999999999</v>
      </c>
      <c r="H16" s="107">
        <v>221.94888000000017</v>
      </c>
      <c r="I16" s="106">
        <v>30.974150000000179</v>
      </c>
      <c r="J16" s="57"/>
      <c r="K16" s="57"/>
      <c r="L16" s="57"/>
    </row>
    <row r="17" spans="1:12" s="16" customFormat="1" x14ac:dyDescent="0.25">
      <c r="A17" s="2" t="s">
        <v>41</v>
      </c>
      <c r="B17" s="103"/>
      <c r="C17" s="40">
        <v>263.81315000000001</v>
      </c>
      <c r="D17" s="40">
        <v>0</v>
      </c>
      <c r="E17" s="104">
        <v>263.81315000000001</v>
      </c>
      <c r="F17" s="172"/>
      <c r="G17" s="105">
        <v>263.81315000000001</v>
      </c>
      <c r="H17" s="107">
        <v>214.95071000000004</v>
      </c>
      <c r="I17" s="106">
        <v>-48.862439999999964</v>
      </c>
      <c r="J17" s="57"/>
      <c r="K17" s="57"/>
      <c r="L17" s="57"/>
    </row>
    <row r="18" spans="1:12" s="16" customFormat="1" x14ac:dyDescent="0.25">
      <c r="A18" s="2" t="s">
        <v>27</v>
      </c>
      <c r="B18" s="103"/>
      <c r="C18" s="40">
        <v>34025.657859999999</v>
      </c>
      <c r="D18" s="40">
        <v>10446.9234</v>
      </c>
      <c r="E18" s="104">
        <v>23578.73446</v>
      </c>
      <c r="F18" s="172"/>
      <c r="G18" s="105">
        <v>23578.73446</v>
      </c>
      <c r="H18" s="107">
        <v>10496.094449999986</v>
      </c>
      <c r="I18" s="106">
        <v>-13082.640010000014</v>
      </c>
      <c r="J18" s="57"/>
      <c r="K18" s="57"/>
      <c r="L18" s="57"/>
    </row>
    <row r="19" spans="1:12" s="16" customFormat="1" x14ac:dyDescent="0.25">
      <c r="A19" s="2" t="s">
        <v>7</v>
      </c>
      <c r="B19" s="103"/>
      <c r="C19" s="40">
        <v>9747.8446999999996</v>
      </c>
      <c r="D19" s="40">
        <v>1825.4817499999999</v>
      </c>
      <c r="E19" s="104">
        <v>7922.3629499999997</v>
      </c>
      <c r="F19" s="172"/>
      <c r="G19" s="105">
        <v>7922.3629499999997</v>
      </c>
      <c r="H19" s="107">
        <v>3337.5411899999976</v>
      </c>
      <c r="I19" s="106">
        <v>-4584.8217600000025</v>
      </c>
      <c r="J19" s="57"/>
      <c r="K19" s="57"/>
      <c r="L19" s="57"/>
    </row>
    <row r="20" spans="1:12" s="16" customFormat="1" x14ac:dyDescent="0.25">
      <c r="A20" s="2" t="s">
        <v>42</v>
      </c>
      <c r="B20" s="103"/>
      <c r="C20" s="40">
        <v>1561.7010400000001</v>
      </c>
      <c r="D20" s="40">
        <v>238.45140000000001</v>
      </c>
      <c r="E20" s="104">
        <v>1323.2496400000002</v>
      </c>
      <c r="F20" s="172"/>
      <c r="G20" s="105">
        <v>1323.2496400000002</v>
      </c>
      <c r="H20" s="107">
        <v>1223.602179999999</v>
      </c>
      <c r="I20" s="106">
        <v>-99.647460000001274</v>
      </c>
      <c r="J20" s="57"/>
      <c r="K20" s="57"/>
      <c r="L20" s="57"/>
    </row>
    <row r="21" spans="1:12" s="16" customFormat="1" x14ac:dyDescent="0.25">
      <c r="A21" s="2" t="s">
        <v>43</v>
      </c>
      <c r="B21" s="103"/>
      <c r="C21" s="40">
        <v>849.09887000000003</v>
      </c>
      <c r="D21" s="40">
        <v>83.108399999999989</v>
      </c>
      <c r="E21" s="104">
        <v>765.99047000000007</v>
      </c>
      <c r="F21" s="172"/>
      <c r="G21" s="105">
        <v>765.99047000000007</v>
      </c>
      <c r="H21" s="107">
        <v>534.82479000000023</v>
      </c>
      <c r="I21" s="106">
        <v>-231.16567999999984</v>
      </c>
      <c r="J21" s="57"/>
      <c r="K21" s="57"/>
      <c r="L21" s="57"/>
    </row>
    <row r="22" spans="1:12" s="16" customFormat="1" x14ac:dyDescent="0.25">
      <c r="A22" s="2" t="s">
        <v>44</v>
      </c>
      <c r="B22" s="103"/>
      <c r="C22" s="40">
        <v>5163.7238600000001</v>
      </c>
      <c r="D22" s="40">
        <v>3458.0041299999998</v>
      </c>
      <c r="E22" s="104">
        <v>1705.7197300000003</v>
      </c>
      <c r="F22" s="172"/>
      <c r="G22" s="105">
        <v>1705.7197300000003</v>
      </c>
      <c r="H22" s="107">
        <v>1442.7841800000006</v>
      </c>
      <c r="I22" s="106">
        <v>-262.93554999999969</v>
      </c>
      <c r="J22" s="57"/>
      <c r="K22" s="57"/>
      <c r="L22" s="57"/>
    </row>
    <row r="23" spans="1:12" s="16" customFormat="1" x14ac:dyDescent="0.25">
      <c r="A23" s="2" t="s">
        <v>8</v>
      </c>
      <c r="B23" s="103"/>
      <c r="C23" s="40">
        <v>1205.9832699999999</v>
      </c>
      <c r="D23" s="40">
        <v>595.60067000000004</v>
      </c>
      <c r="E23" s="104">
        <v>610.38259999999991</v>
      </c>
      <c r="F23" s="172"/>
      <c r="G23" s="105">
        <v>610.38259999999991</v>
      </c>
      <c r="H23" s="107">
        <v>497.7423899999992</v>
      </c>
      <c r="I23" s="106">
        <v>-112.64021000000071</v>
      </c>
      <c r="J23" s="57"/>
      <c r="K23" s="57"/>
      <c r="L23" s="57"/>
    </row>
    <row r="24" spans="1:12" s="16" customFormat="1" x14ac:dyDescent="0.25">
      <c r="A24" s="2" t="s">
        <v>45</v>
      </c>
      <c r="B24" s="103"/>
      <c r="C24" s="40">
        <v>297.14484999999996</v>
      </c>
      <c r="D24" s="40">
        <v>56</v>
      </c>
      <c r="E24" s="104">
        <v>241.14484999999996</v>
      </c>
      <c r="F24" s="172"/>
      <c r="G24" s="105">
        <v>241.14484999999996</v>
      </c>
      <c r="H24" s="107">
        <v>17.605720000000041</v>
      </c>
      <c r="I24" s="106">
        <v>-223.53912999999991</v>
      </c>
      <c r="J24" s="57"/>
      <c r="K24" s="57"/>
      <c r="L24" s="57"/>
    </row>
    <row r="25" spans="1:12" s="16" customFormat="1" x14ac:dyDescent="0.25">
      <c r="A25" s="2" t="s">
        <v>46</v>
      </c>
      <c r="B25" s="103"/>
      <c r="C25" s="40">
        <v>3739.1243999999997</v>
      </c>
      <c r="D25" s="40">
        <v>1912.3655000000001</v>
      </c>
      <c r="E25" s="104">
        <v>1826.7588999999996</v>
      </c>
      <c r="F25" s="172"/>
      <c r="G25" s="105">
        <v>1826.7588999999996</v>
      </c>
      <c r="H25" s="107">
        <v>730.37002000000075</v>
      </c>
      <c r="I25" s="106">
        <v>-1096.3888799999988</v>
      </c>
      <c r="J25" s="57"/>
      <c r="K25" s="57"/>
      <c r="L25" s="57"/>
    </row>
    <row r="26" spans="1:12" s="16" customFormat="1" x14ac:dyDescent="0.25">
      <c r="A26" s="2" t="s">
        <v>47</v>
      </c>
      <c r="B26" s="108"/>
      <c r="C26" s="107">
        <v>374.95054999999996</v>
      </c>
      <c r="D26" s="107">
        <v>162.56704999999999</v>
      </c>
      <c r="E26" s="104">
        <v>212.38349999999997</v>
      </c>
      <c r="F26" s="172"/>
      <c r="G26" s="105">
        <v>212.38349999999997</v>
      </c>
      <c r="H26" s="107">
        <v>410.28694999999954</v>
      </c>
      <c r="I26" s="106">
        <v>197.90344999999957</v>
      </c>
      <c r="J26" s="57"/>
      <c r="K26" s="57"/>
      <c r="L26" s="57"/>
    </row>
    <row r="27" spans="1:12" s="16" customFormat="1" x14ac:dyDescent="0.25">
      <c r="A27" s="2" t="s">
        <v>48</v>
      </c>
      <c r="B27" s="103"/>
      <c r="C27" s="40">
        <v>4381.6633200000006</v>
      </c>
      <c r="D27" s="40">
        <v>104.49969999999999</v>
      </c>
      <c r="E27" s="104">
        <v>4277.1636200000003</v>
      </c>
      <c r="F27" s="172"/>
      <c r="G27" s="105">
        <v>4277.1636200000003</v>
      </c>
      <c r="H27" s="107">
        <v>1406.9826700000021</v>
      </c>
      <c r="I27" s="106">
        <v>-2870.1809499999981</v>
      </c>
      <c r="J27" s="57"/>
      <c r="K27" s="57"/>
      <c r="L27" s="57"/>
    </row>
    <row r="28" spans="1:12" s="16" customFormat="1" x14ac:dyDescent="0.25">
      <c r="A28" s="2" t="s">
        <v>49</v>
      </c>
      <c r="B28" s="103"/>
      <c r="C28" s="40">
        <v>1678.5794799999999</v>
      </c>
      <c r="D28" s="40">
        <v>580.91665</v>
      </c>
      <c r="E28" s="104">
        <v>1097.6628299999998</v>
      </c>
      <c r="F28" s="172"/>
      <c r="G28" s="105">
        <v>1097.6628299999998</v>
      </c>
      <c r="H28" s="107">
        <v>548.44589000000087</v>
      </c>
      <c r="I28" s="106">
        <v>-549.21693999999889</v>
      </c>
      <c r="J28" s="57"/>
      <c r="K28" s="57"/>
      <c r="L28" s="57"/>
    </row>
    <row r="29" spans="1:12" s="16" customFormat="1" x14ac:dyDescent="0.25">
      <c r="A29" s="2" t="s">
        <v>50</v>
      </c>
      <c r="B29" s="103"/>
      <c r="C29" s="40">
        <v>1368.9636499999999</v>
      </c>
      <c r="D29" s="40">
        <v>380.5</v>
      </c>
      <c r="E29" s="104">
        <v>988.46364999999992</v>
      </c>
      <c r="F29" s="172"/>
      <c r="G29" s="105">
        <v>988.46364999999992</v>
      </c>
      <c r="H29" s="107">
        <v>317.15377000000041</v>
      </c>
      <c r="I29" s="106">
        <v>-671.30987999999957</v>
      </c>
      <c r="J29" s="57"/>
      <c r="K29" s="57"/>
      <c r="L29" s="57"/>
    </row>
    <row r="30" spans="1:12" s="16" customFormat="1" x14ac:dyDescent="0.25">
      <c r="A30" s="2" t="s">
        <v>51</v>
      </c>
      <c r="B30" s="103"/>
      <c r="C30" s="40">
        <v>1013.14807</v>
      </c>
      <c r="D30" s="40">
        <v>301.24629999999996</v>
      </c>
      <c r="E30" s="104">
        <v>711.90176999999994</v>
      </c>
      <c r="F30" s="172"/>
      <c r="G30" s="105">
        <v>711.90176999999994</v>
      </c>
      <c r="H30" s="107">
        <v>-2201.819759999998</v>
      </c>
      <c r="I30" s="106">
        <v>-2913.721529999998</v>
      </c>
      <c r="J30" s="57"/>
      <c r="K30" s="57"/>
      <c r="L30" s="57"/>
    </row>
    <row r="31" spans="1:12" s="16" customFormat="1" x14ac:dyDescent="0.25">
      <c r="A31" s="2" t="s">
        <v>52</v>
      </c>
      <c r="B31" s="103"/>
      <c r="C31" s="40">
        <v>2544.0916000000002</v>
      </c>
      <c r="D31" s="40">
        <v>238.75560000000002</v>
      </c>
      <c r="E31" s="104">
        <v>2305.3360000000002</v>
      </c>
      <c r="F31" s="172"/>
      <c r="G31" s="105">
        <v>2305.3360000000002</v>
      </c>
      <c r="H31" s="107">
        <v>1293.6550799999975</v>
      </c>
      <c r="I31" s="106">
        <v>-1011.6809200000027</v>
      </c>
      <c r="J31" s="57"/>
      <c r="K31" s="57"/>
      <c r="L31" s="57"/>
    </row>
    <row r="32" spans="1:12" s="16" customFormat="1" x14ac:dyDescent="0.25">
      <c r="A32" s="2" t="s">
        <v>9</v>
      </c>
      <c r="B32" s="103"/>
      <c r="C32" s="40">
        <v>169.44614999999999</v>
      </c>
      <c r="D32" s="40">
        <v>54.358150000000002</v>
      </c>
      <c r="E32" s="104">
        <v>115.08799999999999</v>
      </c>
      <c r="F32" s="172"/>
      <c r="G32" s="105">
        <v>115.08799999999999</v>
      </c>
      <c r="H32" s="107">
        <v>347.45841999999999</v>
      </c>
      <c r="I32" s="106">
        <v>232.37042</v>
      </c>
      <c r="J32" s="57"/>
      <c r="K32" s="57"/>
      <c r="L32" s="57"/>
    </row>
    <row r="33" spans="1:12" s="16" customFormat="1" x14ac:dyDescent="0.25">
      <c r="A33" s="2" t="s">
        <v>10</v>
      </c>
      <c r="B33" s="103"/>
      <c r="C33" s="40">
        <v>629.04240000000004</v>
      </c>
      <c r="D33" s="40">
        <v>0</v>
      </c>
      <c r="E33" s="104">
        <v>629.04240000000004</v>
      </c>
      <c r="F33" s="172"/>
      <c r="G33" s="105">
        <v>629.04240000000004</v>
      </c>
      <c r="H33" s="107">
        <v>372.2936200000031</v>
      </c>
      <c r="I33" s="106">
        <v>-256.74877999999694</v>
      </c>
      <c r="J33" s="57"/>
      <c r="K33" s="57"/>
    </row>
    <row r="34" spans="1:12" s="16" customFormat="1" x14ac:dyDescent="0.25">
      <c r="A34" s="2" t="s">
        <v>53</v>
      </c>
      <c r="B34" s="103"/>
      <c r="C34" s="40">
        <v>8401.2246099999993</v>
      </c>
      <c r="D34" s="40">
        <v>5579.5523899999998</v>
      </c>
      <c r="E34" s="104">
        <v>2821.6722199999995</v>
      </c>
      <c r="F34" s="172"/>
      <c r="G34" s="105">
        <v>2821.6722199999995</v>
      </c>
      <c r="H34" s="107">
        <v>2872.2740100000019</v>
      </c>
      <c r="I34" s="106">
        <v>50.601790000002438</v>
      </c>
      <c r="J34" s="57"/>
      <c r="K34" s="57"/>
      <c r="L34" s="57"/>
    </row>
    <row r="35" spans="1:12" s="16" customFormat="1" x14ac:dyDescent="0.25">
      <c r="A35" s="2" t="s">
        <v>54</v>
      </c>
      <c r="B35" s="103"/>
      <c r="C35" s="40">
        <v>4566.5753500000001</v>
      </c>
      <c r="D35" s="40">
        <v>-1114.0228999999999</v>
      </c>
      <c r="E35" s="104">
        <v>5680.59825</v>
      </c>
      <c r="F35" s="172"/>
      <c r="G35" s="105">
        <v>5680.59825</v>
      </c>
      <c r="H35" s="107">
        <v>438.94740000000263</v>
      </c>
      <c r="I35" s="106">
        <v>-5241.6508499999973</v>
      </c>
      <c r="J35" s="57"/>
      <c r="K35" s="57"/>
      <c r="L35" s="57"/>
    </row>
    <row r="36" spans="1:12" s="16" customFormat="1" x14ac:dyDescent="0.25">
      <c r="A36" s="2" t="s">
        <v>55</v>
      </c>
      <c r="B36" s="103"/>
      <c r="C36" s="40">
        <v>2852.1812099999997</v>
      </c>
      <c r="D36" s="40">
        <v>905.0328199999999</v>
      </c>
      <c r="E36" s="104">
        <v>1947.1483899999998</v>
      </c>
      <c r="F36" s="172"/>
      <c r="G36" s="105">
        <v>1947.1483899999998</v>
      </c>
      <c r="H36" s="107">
        <v>-1905.3893800000012</v>
      </c>
      <c r="I36" s="106">
        <v>-3852.5377700000008</v>
      </c>
      <c r="J36" s="57"/>
      <c r="K36" s="57"/>
      <c r="L36" s="57"/>
    </row>
    <row r="37" spans="1:12" s="16" customFormat="1" x14ac:dyDescent="0.25">
      <c r="A37" s="2" t="s">
        <v>56</v>
      </c>
      <c r="B37" s="103"/>
      <c r="C37" s="40">
        <v>2564.8689300000001</v>
      </c>
      <c r="D37" s="40">
        <v>1091.2674500000001</v>
      </c>
      <c r="E37" s="104">
        <v>1473.60148</v>
      </c>
      <c r="F37" s="172"/>
      <c r="G37" s="105">
        <v>1473.60148</v>
      </c>
      <c r="H37" s="107">
        <v>901.06530000000021</v>
      </c>
      <c r="I37" s="106">
        <v>-572.53617999999983</v>
      </c>
      <c r="J37" s="57"/>
      <c r="K37" s="57"/>
      <c r="L37" s="57"/>
    </row>
    <row r="38" spans="1:12" s="16" customFormat="1" x14ac:dyDescent="0.25">
      <c r="A38" s="2" t="s">
        <v>57</v>
      </c>
      <c r="B38" s="103"/>
      <c r="C38" s="40">
        <v>437.0933</v>
      </c>
      <c r="D38" s="40">
        <v>257</v>
      </c>
      <c r="E38" s="104">
        <v>180.0933</v>
      </c>
      <c r="F38" s="172"/>
      <c r="G38" s="105">
        <v>180.0933</v>
      </c>
      <c r="H38" s="107">
        <v>79.579920000000087</v>
      </c>
      <c r="I38" s="106">
        <v>-100.51337999999991</v>
      </c>
      <c r="J38" s="57"/>
      <c r="K38" s="57"/>
      <c r="L38" s="57"/>
    </row>
    <row r="39" spans="1:12" s="16" customFormat="1" x14ac:dyDescent="0.25">
      <c r="A39" s="2" t="s">
        <v>58</v>
      </c>
      <c r="B39" s="103"/>
      <c r="C39" s="40">
        <v>751.56542000000002</v>
      </c>
      <c r="D39" s="40">
        <v>248.08</v>
      </c>
      <c r="E39" s="104">
        <v>503.48541999999998</v>
      </c>
      <c r="F39" s="172"/>
      <c r="G39" s="105">
        <v>503.48541999999998</v>
      </c>
      <c r="H39" s="107">
        <v>206.34816999999973</v>
      </c>
      <c r="I39" s="106">
        <v>-297.13725000000022</v>
      </c>
      <c r="J39" s="57"/>
      <c r="K39" s="57"/>
      <c r="L39" s="57"/>
    </row>
    <row r="40" spans="1:12" s="16" customFormat="1" x14ac:dyDescent="0.25">
      <c r="A40" s="2" t="s">
        <v>11</v>
      </c>
      <c r="B40" s="103"/>
      <c r="C40" s="40">
        <v>8005.5255399999996</v>
      </c>
      <c r="D40" s="40">
        <v>1209.25135</v>
      </c>
      <c r="E40" s="104">
        <v>6796.2741900000001</v>
      </c>
      <c r="F40" s="172"/>
      <c r="G40" s="105">
        <v>6796.2741900000001</v>
      </c>
      <c r="H40" s="107">
        <v>2633.0313500000084</v>
      </c>
      <c r="I40" s="106">
        <v>-4163.2428399999917</v>
      </c>
      <c r="J40" s="57"/>
      <c r="K40" s="57"/>
      <c r="L40" s="57"/>
    </row>
    <row r="41" spans="1:12" s="16" customFormat="1" x14ac:dyDescent="0.25">
      <c r="A41" s="3" t="s">
        <v>59</v>
      </c>
      <c r="B41" s="103"/>
      <c r="C41" s="40">
        <v>1476.6884700000001</v>
      </c>
      <c r="D41" s="40">
        <v>227.53715</v>
      </c>
      <c r="E41" s="104">
        <v>1249.1513199999999</v>
      </c>
      <c r="F41" s="172"/>
      <c r="G41" s="105">
        <v>1249.1513199999999</v>
      </c>
      <c r="H41" s="107">
        <v>1112.5698900000007</v>
      </c>
      <c r="I41" s="106">
        <v>-136.58142999999927</v>
      </c>
      <c r="J41" s="57"/>
      <c r="K41" s="57"/>
      <c r="L41" s="57"/>
    </row>
    <row r="42" spans="1:12" s="16" customFormat="1" x14ac:dyDescent="0.25">
      <c r="A42" s="2" t="s">
        <v>60</v>
      </c>
      <c r="B42" s="103"/>
      <c r="C42" s="40">
        <v>4857.7084000000004</v>
      </c>
      <c r="D42" s="40">
        <v>302.92157000000003</v>
      </c>
      <c r="E42" s="104">
        <v>4554.78683</v>
      </c>
      <c r="F42" s="172"/>
      <c r="G42" s="105">
        <v>4554.78683</v>
      </c>
      <c r="H42" s="107">
        <v>4001.9450500000103</v>
      </c>
      <c r="I42" s="106">
        <v>-552.84177999998974</v>
      </c>
      <c r="J42" s="57"/>
      <c r="K42" s="57"/>
      <c r="L42" s="57"/>
    </row>
    <row r="43" spans="1:12" s="16" customFormat="1" x14ac:dyDescent="0.25">
      <c r="A43" s="2" t="s">
        <v>61</v>
      </c>
      <c r="B43" s="103"/>
      <c r="C43" s="40">
        <v>1041.9263100000001</v>
      </c>
      <c r="D43" s="40">
        <v>105.0274</v>
      </c>
      <c r="E43" s="104">
        <v>936.89891000000011</v>
      </c>
      <c r="F43" s="172"/>
      <c r="G43" s="105">
        <v>936.89891000000011</v>
      </c>
      <c r="H43" s="107">
        <v>-253.53334999999944</v>
      </c>
      <c r="I43" s="106">
        <v>-1190.4322599999996</v>
      </c>
      <c r="J43" s="57"/>
      <c r="K43" s="57"/>
      <c r="L43" s="57"/>
    </row>
    <row r="44" spans="1:12" s="16" customFormat="1" x14ac:dyDescent="0.25">
      <c r="A44" s="2" t="s">
        <v>62</v>
      </c>
      <c r="B44" s="103"/>
      <c r="C44" s="40">
        <v>1622.7465500000001</v>
      </c>
      <c r="D44" s="40">
        <v>212.69274999999999</v>
      </c>
      <c r="E44" s="104">
        <v>1410.0538000000001</v>
      </c>
      <c r="F44" s="172"/>
      <c r="G44" s="105">
        <v>1410.0538000000001</v>
      </c>
      <c r="H44" s="107">
        <v>819.37305000000129</v>
      </c>
      <c r="I44" s="106">
        <v>-590.68074999999885</v>
      </c>
      <c r="J44" s="57"/>
      <c r="K44" s="57"/>
      <c r="L44" s="57"/>
    </row>
    <row r="45" spans="1:12" s="16" customFormat="1" x14ac:dyDescent="0.25">
      <c r="A45" s="2" t="s">
        <v>63</v>
      </c>
      <c r="B45" s="103"/>
      <c r="C45" s="40">
        <v>1136.5295100000001</v>
      </c>
      <c r="D45" s="40">
        <v>0</v>
      </c>
      <c r="E45" s="104">
        <v>1136.5295100000001</v>
      </c>
      <c r="F45" s="172"/>
      <c r="G45" s="105">
        <v>1136.5295100000001</v>
      </c>
      <c r="H45" s="107">
        <v>-409.49731999999938</v>
      </c>
      <c r="I45" s="106">
        <v>-1546.0268299999993</v>
      </c>
      <c r="J45" s="57"/>
      <c r="K45" s="57"/>
      <c r="L45" s="57"/>
    </row>
    <row r="46" spans="1:12" s="16" customFormat="1" x14ac:dyDescent="0.25">
      <c r="A46" s="2" t="s">
        <v>64</v>
      </c>
      <c r="B46" s="103"/>
      <c r="C46" s="40">
        <v>476.68311</v>
      </c>
      <c r="D46" s="40">
        <v>321.36940000000004</v>
      </c>
      <c r="E46" s="104">
        <v>155.31370999999996</v>
      </c>
      <c r="F46" s="172"/>
      <c r="G46" s="105">
        <v>155.31370999999996</v>
      </c>
      <c r="H46" s="107">
        <v>373.33173999999991</v>
      </c>
      <c r="I46" s="106">
        <v>218.01802999999995</v>
      </c>
      <c r="J46" s="57"/>
      <c r="K46" s="57"/>
      <c r="L46" s="57"/>
    </row>
    <row r="47" spans="1:12" s="16" customFormat="1" x14ac:dyDescent="0.25">
      <c r="A47" s="2" t="s">
        <v>65</v>
      </c>
      <c r="B47" s="103"/>
      <c r="C47" s="40">
        <v>28.293900000000001</v>
      </c>
      <c r="D47" s="40">
        <v>35.484000000000002</v>
      </c>
      <c r="E47" s="104">
        <v>-7.190100000000001</v>
      </c>
      <c r="F47" s="172"/>
      <c r="G47" s="105">
        <v>-7.190100000000001</v>
      </c>
      <c r="H47" s="107">
        <v>105.04486999999999</v>
      </c>
      <c r="I47" s="106">
        <v>112.23496999999999</v>
      </c>
      <c r="J47" s="57"/>
      <c r="K47" s="57"/>
      <c r="L47" s="57"/>
    </row>
    <row r="48" spans="1:12" s="16" customFormat="1" x14ac:dyDescent="0.25">
      <c r="A48" s="2" t="s">
        <v>66</v>
      </c>
      <c r="B48" s="103"/>
      <c r="C48" s="40">
        <v>1570.8384599999999</v>
      </c>
      <c r="D48" s="40">
        <v>539.35969999999998</v>
      </c>
      <c r="E48" s="104">
        <v>1031.47876</v>
      </c>
      <c r="F48" s="172"/>
      <c r="G48" s="105">
        <v>1031.47876</v>
      </c>
      <c r="H48" s="107">
        <v>1523.5077299999964</v>
      </c>
      <c r="I48" s="106">
        <v>492.02896999999643</v>
      </c>
      <c r="J48" s="57"/>
      <c r="K48" s="57"/>
      <c r="L48" s="57"/>
    </row>
    <row r="49" spans="1:12" s="16" customFormat="1" x14ac:dyDescent="0.25">
      <c r="A49" s="2" t="s">
        <v>67</v>
      </c>
      <c r="B49" s="103"/>
      <c r="C49" s="40">
        <v>6282.4665000000005</v>
      </c>
      <c r="D49" s="40">
        <v>1290.59411</v>
      </c>
      <c r="E49" s="104">
        <v>4991.8723900000005</v>
      </c>
      <c r="F49" s="172"/>
      <c r="G49" s="105">
        <v>4991.8723900000005</v>
      </c>
      <c r="H49" s="107">
        <v>1381.2071299999977</v>
      </c>
      <c r="I49" s="106">
        <v>-3610.6652600000025</v>
      </c>
      <c r="J49" s="57"/>
      <c r="K49" s="57"/>
      <c r="L49" s="57"/>
    </row>
    <row r="50" spans="1:12" s="16" customFormat="1" x14ac:dyDescent="0.25">
      <c r="A50" s="2" t="s">
        <v>68</v>
      </c>
      <c r="B50" s="103"/>
      <c r="C50" s="40">
        <v>320.30788000000001</v>
      </c>
      <c r="D50" s="40">
        <v>0</v>
      </c>
      <c r="E50" s="104">
        <v>320.30788000000001</v>
      </c>
      <c r="F50" s="172"/>
      <c r="G50" s="105">
        <v>320.30788000000001</v>
      </c>
      <c r="H50" s="107">
        <v>634.14391999999953</v>
      </c>
      <c r="I50" s="106">
        <v>313.83603999999951</v>
      </c>
      <c r="J50" s="57"/>
      <c r="K50" s="57"/>
      <c r="L50" s="57"/>
    </row>
    <row r="51" spans="1:12" s="16" customFormat="1" x14ac:dyDescent="0.25">
      <c r="A51" s="2" t="s">
        <v>69</v>
      </c>
      <c r="B51" s="103"/>
      <c r="C51" s="40">
        <v>4795.7762499999999</v>
      </c>
      <c r="D51" s="40">
        <v>371.8304</v>
      </c>
      <c r="E51" s="104">
        <v>4423.9458500000001</v>
      </c>
      <c r="F51" s="172"/>
      <c r="G51" s="105">
        <v>4423.9458500000001</v>
      </c>
      <c r="H51" s="107">
        <v>2365.4321200000009</v>
      </c>
      <c r="I51" s="106">
        <v>-2058.5137299999992</v>
      </c>
      <c r="J51" s="57"/>
      <c r="K51" s="57"/>
      <c r="L51" s="57"/>
    </row>
    <row r="52" spans="1:12" s="16" customFormat="1" x14ac:dyDescent="0.25">
      <c r="A52" s="2" t="s">
        <v>12</v>
      </c>
      <c r="B52" s="103"/>
      <c r="C52" s="40">
        <v>206.4076</v>
      </c>
      <c r="D52" s="40">
        <v>0</v>
      </c>
      <c r="E52" s="104">
        <v>206.4076</v>
      </c>
      <c r="F52" s="172"/>
      <c r="G52" s="105">
        <v>206.4076</v>
      </c>
      <c r="H52" s="107">
        <v>576.27196999999978</v>
      </c>
      <c r="I52" s="106">
        <v>369.86436999999978</v>
      </c>
      <c r="J52" s="57"/>
      <c r="K52" s="57"/>
      <c r="L52" s="57"/>
    </row>
    <row r="53" spans="1:12" s="16" customFormat="1" x14ac:dyDescent="0.25">
      <c r="A53" s="2" t="s">
        <v>70</v>
      </c>
      <c r="B53" s="103"/>
      <c r="C53" s="40">
        <v>871.82805000000008</v>
      </c>
      <c r="D53" s="40">
        <v>47.173000000000002</v>
      </c>
      <c r="E53" s="104">
        <v>824.65505000000007</v>
      </c>
      <c r="F53" s="172"/>
      <c r="G53" s="105">
        <v>824.65505000000007</v>
      </c>
      <c r="H53" s="107">
        <v>227.8035899999997</v>
      </c>
      <c r="I53" s="106">
        <v>-596.85146000000032</v>
      </c>
      <c r="J53" s="57"/>
      <c r="K53" s="57"/>
      <c r="L53" s="57"/>
    </row>
    <row r="54" spans="1:12" s="16" customFormat="1" x14ac:dyDescent="0.25">
      <c r="A54" s="2" t="s">
        <v>71</v>
      </c>
      <c r="B54" s="103"/>
      <c r="C54" s="40">
        <v>788.53058999999996</v>
      </c>
      <c r="D54" s="40">
        <v>635.71910000000003</v>
      </c>
      <c r="E54" s="104">
        <v>152.81148999999994</v>
      </c>
      <c r="F54" s="172"/>
      <c r="G54" s="105">
        <v>152.81148999999994</v>
      </c>
      <c r="H54" s="107">
        <v>160.54877000000022</v>
      </c>
      <c r="I54" s="106">
        <v>7.7372800000002826</v>
      </c>
      <c r="J54" s="57"/>
      <c r="K54" s="57"/>
    </row>
    <row r="55" spans="1:12" s="16" customFormat="1" x14ac:dyDescent="0.25">
      <c r="A55" s="2" t="s">
        <v>72</v>
      </c>
      <c r="B55" s="103"/>
      <c r="C55" s="40">
        <v>5785.8001399999994</v>
      </c>
      <c r="D55" s="40">
        <v>608.6739</v>
      </c>
      <c r="E55" s="104">
        <v>5177.1262399999996</v>
      </c>
      <c r="F55" s="172"/>
      <c r="G55" s="105">
        <v>5177.1262399999996</v>
      </c>
      <c r="H55" s="107">
        <v>1276.4337599999992</v>
      </c>
      <c r="I55" s="106">
        <v>-3900.6924800000006</v>
      </c>
      <c r="J55" s="57"/>
      <c r="K55" s="57"/>
      <c r="L55" s="57"/>
    </row>
    <row r="56" spans="1:12" s="16" customFormat="1" x14ac:dyDescent="0.25">
      <c r="A56" s="2" t="s">
        <v>13</v>
      </c>
      <c r="B56" s="103"/>
      <c r="C56" s="40">
        <v>658.43765000000008</v>
      </c>
      <c r="D56" s="40">
        <v>305.72762999999998</v>
      </c>
      <c r="E56" s="104">
        <v>352.7100200000001</v>
      </c>
      <c r="F56" s="172"/>
      <c r="G56" s="105">
        <v>352.7100200000001</v>
      </c>
      <c r="H56" s="107">
        <v>851.93454999999949</v>
      </c>
      <c r="I56" s="106">
        <v>499.22452999999939</v>
      </c>
      <c r="J56" s="57"/>
      <c r="K56" s="57"/>
      <c r="L56" s="57"/>
    </row>
    <row r="57" spans="1:12" s="16" customFormat="1" x14ac:dyDescent="0.25">
      <c r="A57" s="2" t="s">
        <v>26</v>
      </c>
      <c r="B57" s="103"/>
      <c r="C57" s="40">
        <v>156.62864000000002</v>
      </c>
      <c r="D57" s="40">
        <v>391.44158000000004</v>
      </c>
      <c r="E57" s="104">
        <v>-234.81294000000003</v>
      </c>
      <c r="F57" s="172"/>
      <c r="G57" s="105">
        <v>-234.81294000000003</v>
      </c>
      <c r="H57" s="107">
        <v>370.89194999999995</v>
      </c>
      <c r="I57" s="106">
        <v>605.70488999999998</v>
      </c>
      <c r="J57" s="57"/>
      <c r="K57" s="57"/>
      <c r="L57" s="57"/>
    </row>
    <row r="58" spans="1:12" s="16" customFormat="1" x14ac:dyDescent="0.25">
      <c r="A58" s="2" t="s">
        <v>73</v>
      </c>
      <c r="B58" s="103"/>
      <c r="C58" s="40">
        <v>115.34935</v>
      </c>
      <c r="D58" s="40">
        <v>0</v>
      </c>
      <c r="E58" s="104">
        <v>115.34935</v>
      </c>
      <c r="F58" s="172"/>
      <c r="G58" s="105">
        <v>115.34935</v>
      </c>
      <c r="H58" s="107">
        <v>3.3360100000000239</v>
      </c>
      <c r="I58" s="106">
        <v>-112.01333999999997</v>
      </c>
      <c r="J58" s="57"/>
      <c r="K58" s="57"/>
      <c r="L58" s="57"/>
    </row>
    <row r="59" spans="1:12" s="16" customFormat="1" x14ac:dyDescent="0.25">
      <c r="A59" s="1" t="s">
        <v>14</v>
      </c>
      <c r="B59" s="103"/>
      <c r="C59" s="40">
        <v>16237.46782</v>
      </c>
      <c r="D59" s="40">
        <v>4486.4004500000001</v>
      </c>
      <c r="E59" s="104">
        <v>11751.067370000001</v>
      </c>
      <c r="F59" s="172"/>
      <c r="G59" s="105">
        <v>11751.067370000001</v>
      </c>
      <c r="H59" s="107">
        <v>7095.3851900000045</v>
      </c>
      <c r="I59" s="106">
        <v>-4655.6821799999962</v>
      </c>
      <c r="J59" s="57"/>
      <c r="K59" s="57"/>
      <c r="L59" s="57"/>
    </row>
    <row r="60" spans="1:12" s="16" customFormat="1" x14ac:dyDescent="0.25">
      <c r="A60" s="2" t="s">
        <v>28</v>
      </c>
      <c r="B60" s="103"/>
      <c r="C60" s="40">
        <v>6573.62536</v>
      </c>
      <c r="D60" s="40">
        <v>2256.5539800000001</v>
      </c>
      <c r="E60" s="104">
        <v>4317.0713799999994</v>
      </c>
      <c r="F60" s="172"/>
      <c r="G60" s="105">
        <v>4317.0713799999994</v>
      </c>
      <c r="H60" s="107">
        <v>2865.8599400000007</v>
      </c>
      <c r="I60" s="106">
        <v>-1451.2114399999987</v>
      </c>
      <c r="J60" s="57"/>
      <c r="K60" s="57"/>
      <c r="L60" s="57"/>
    </row>
    <row r="61" spans="1:12" s="16" customFormat="1" x14ac:dyDescent="0.25">
      <c r="A61" s="2" t="s">
        <v>29</v>
      </c>
      <c r="B61" s="108"/>
      <c r="C61" s="107">
        <v>79536.47245999999</v>
      </c>
      <c r="D61" s="107">
        <v>4053.0911000000001</v>
      </c>
      <c r="E61" s="104">
        <v>75483.381359999985</v>
      </c>
      <c r="F61" s="172"/>
      <c r="G61" s="105">
        <v>75483.381359999985</v>
      </c>
      <c r="H61" s="107">
        <v>19595.568589999915</v>
      </c>
      <c r="I61" s="106">
        <v>-55887.81277000007</v>
      </c>
      <c r="J61" s="57"/>
      <c r="K61" s="57"/>
      <c r="L61" s="57"/>
    </row>
    <row r="62" spans="1:12" s="16" customFormat="1" x14ac:dyDescent="0.25">
      <c r="A62" s="2" t="s">
        <v>74</v>
      </c>
      <c r="B62" s="103"/>
      <c r="C62" s="40">
        <v>2314.6592700000001</v>
      </c>
      <c r="D62" s="40">
        <v>326.99799999999999</v>
      </c>
      <c r="E62" s="104">
        <v>1987.6612700000001</v>
      </c>
      <c r="F62" s="172"/>
      <c r="G62" s="105">
        <v>1987.6612700000001</v>
      </c>
      <c r="H62" s="107">
        <v>641.54737999999986</v>
      </c>
      <c r="I62" s="106">
        <v>-1346.1138900000001</v>
      </c>
      <c r="J62" s="57"/>
      <c r="K62" s="57"/>
      <c r="L62" s="57"/>
    </row>
    <row r="63" spans="1:12" s="16" customFormat="1" x14ac:dyDescent="0.25">
      <c r="A63" s="2" t="s">
        <v>75</v>
      </c>
      <c r="B63" s="103"/>
      <c r="C63" s="40">
        <v>4405.7701100000004</v>
      </c>
      <c r="D63" s="40">
        <v>2821.5969100000002</v>
      </c>
      <c r="E63" s="104">
        <v>1584.1732000000002</v>
      </c>
      <c r="F63" s="172"/>
      <c r="G63" s="105">
        <v>1584.1732000000002</v>
      </c>
      <c r="H63" s="107">
        <v>586.1227699999987</v>
      </c>
      <c r="I63" s="106">
        <v>-998.05043000000148</v>
      </c>
      <c r="J63" s="57"/>
      <c r="K63" s="57"/>
      <c r="L63" s="57"/>
    </row>
    <row r="64" spans="1:12" s="16" customFormat="1" x14ac:dyDescent="0.25">
      <c r="A64" s="2" t="s">
        <v>76</v>
      </c>
      <c r="B64" s="103"/>
      <c r="C64" s="40">
        <v>954.77933999999993</v>
      </c>
      <c r="D64" s="40">
        <v>1014.61875</v>
      </c>
      <c r="E64" s="104">
        <v>-59.839410000000044</v>
      </c>
      <c r="F64" s="172"/>
      <c r="G64" s="105">
        <v>-59.839410000000044</v>
      </c>
      <c r="H64" s="107">
        <v>680.51141999999891</v>
      </c>
      <c r="I64" s="106">
        <v>740.35082999999895</v>
      </c>
      <c r="J64" s="57"/>
      <c r="K64" s="57"/>
    </row>
    <row r="65" spans="1:12" s="16" customFormat="1" x14ac:dyDescent="0.25">
      <c r="A65" s="2" t="s">
        <v>77</v>
      </c>
      <c r="B65" s="103"/>
      <c r="C65" s="40">
        <v>1576.2555500000001</v>
      </c>
      <c r="D65" s="40">
        <v>150</v>
      </c>
      <c r="E65" s="104">
        <v>1426.2555500000001</v>
      </c>
      <c r="F65" s="172"/>
      <c r="G65" s="105">
        <v>1426.2555500000001</v>
      </c>
      <c r="H65" s="107">
        <v>2930.5001400000028</v>
      </c>
      <c r="I65" s="106">
        <v>1504.2445900000027</v>
      </c>
      <c r="J65" s="57"/>
      <c r="K65" s="57"/>
      <c r="L65" s="57"/>
    </row>
    <row r="66" spans="1:12" s="16" customFormat="1" x14ac:dyDescent="0.25">
      <c r="A66" s="2" t="s">
        <v>15</v>
      </c>
      <c r="B66" s="103"/>
      <c r="C66" s="40">
        <v>3091.9288500000002</v>
      </c>
      <c r="D66" s="40">
        <v>994.12950000000001</v>
      </c>
      <c r="E66" s="104">
        <v>2097.7993500000002</v>
      </c>
      <c r="F66" s="172"/>
      <c r="G66" s="105">
        <v>2097.7993500000002</v>
      </c>
      <c r="H66" s="107">
        <v>5399.9343299999919</v>
      </c>
      <c r="I66" s="106">
        <v>3302.1349799999916</v>
      </c>
      <c r="J66" s="57"/>
      <c r="K66" s="57"/>
      <c r="L66" s="57"/>
    </row>
    <row r="67" spans="1:12" s="16" customFormat="1" x14ac:dyDescent="0.25">
      <c r="A67" s="2" t="s">
        <v>78</v>
      </c>
      <c r="B67" s="103"/>
      <c r="C67" s="40">
        <v>1940.75892</v>
      </c>
      <c r="D67" s="40">
        <v>797.3433</v>
      </c>
      <c r="E67" s="104">
        <v>1143.41562</v>
      </c>
      <c r="F67" s="172"/>
      <c r="G67" s="105">
        <v>1143.41562</v>
      </c>
      <c r="H67" s="107">
        <v>612.34250000000065</v>
      </c>
      <c r="I67" s="106">
        <v>-531.07311999999934</v>
      </c>
      <c r="J67" s="57"/>
      <c r="K67" s="57"/>
      <c r="L67" s="57"/>
    </row>
    <row r="68" spans="1:12" s="16" customFormat="1" x14ac:dyDescent="0.25">
      <c r="A68" s="2" t="s">
        <v>16</v>
      </c>
      <c r="B68" s="103"/>
      <c r="C68" s="40">
        <v>8793.2129600000007</v>
      </c>
      <c r="D68" s="40">
        <v>1911.4475500000001</v>
      </c>
      <c r="E68" s="104">
        <v>6881.7654100000009</v>
      </c>
      <c r="F68" s="172"/>
      <c r="G68" s="105">
        <v>6881.7654100000009</v>
      </c>
      <c r="H68" s="107">
        <v>12785.406679999991</v>
      </c>
      <c r="I68" s="106">
        <v>5903.6412699999901</v>
      </c>
      <c r="J68" s="57"/>
      <c r="K68" s="57"/>
      <c r="L68" s="57"/>
    </row>
    <row r="69" spans="1:12" s="16" customFormat="1" x14ac:dyDescent="0.25">
      <c r="A69" s="2" t="s">
        <v>79</v>
      </c>
      <c r="B69" s="103"/>
      <c r="C69" s="40">
        <v>264.14218</v>
      </c>
      <c r="D69" s="40">
        <v>50.349139999999998</v>
      </c>
      <c r="E69" s="104">
        <v>213.79303999999999</v>
      </c>
      <c r="F69" s="172"/>
      <c r="G69" s="105">
        <v>213.79303999999999</v>
      </c>
      <c r="H69" s="107">
        <v>-25.733750000000029</v>
      </c>
      <c r="I69" s="106">
        <v>-239.52679000000001</v>
      </c>
      <c r="J69" s="57"/>
      <c r="K69" s="57"/>
      <c r="L69" s="57"/>
    </row>
    <row r="70" spans="1:12" s="16" customFormat="1" x14ac:dyDescent="0.25">
      <c r="A70" s="2" t="s">
        <v>80</v>
      </c>
      <c r="B70" s="103"/>
      <c r="C70" s="40">
        <v>2043.9713400000001</v>
      </c>
      <c r="D70" s="40">
        <v>660.22394999999995</v>
      </c>
      <c r="E70" s="104">
        <v>1383.74739</v>
      </c>
      <c r="F70" s="172"/>
      <c r="G70" s="105">
        <v>1383.74739</v>
      </c>
      <c r="H70" s="107">
        <v>1020.1846100000004</v>
      </c>
      <c r="I70" s="106">
        <v>-363.56277999999963</v>
      </c>
      <c r="J70" s="57"/>
      <c r="K70" s="57"/>
      <c r="L70" s="57"/>
    </row>
    <row r="71" spans="1:12" s="16" customFormat="1" x14ac:dyDescent="0.25">
      <c r="A71" s="2" t="s">
        <v>81</v>
      </c>
      <c r="B71" s="103"/>
      <c r="C71" s="40">
        <v>442.15459999999996</v>
      </c>
      <c r="D71" s="40">
        <v>264.23925000000003</v>
      </c>
      <c r="E71" s="104">
        <v>177.91534999999993</v>
      </c>
      <c r="F71" s="172"/>
      <c r="G71" s="105">
        <v>177.91534999999993</v>
      </c>
      <c r="H71" s="107">
        <v>206.10669000000004</v>
      </c>
      <c r="I71" s="106">
        <v>28.19134000000011</v>
      </c>
      <c r="J71" s="57"/>
      <c r="K71" s="57"/>
      <c r="L71" s="57"/>
    </row>
    <row r="72" spans="1:12" s="16" customFormat="1" x14ac:dyDescent="0.25">
      <c r="A72" s="2" t="s">
        <v>17</v>
      </c>
      <c r="B72" s="103"/>
      <c r="C72" s="40">
        <v>4336.5637999999999</v>
      </c>
      <c r="D72" s="40">
        <v>33.655949999999997</v>
      </c>
      <c r="E72" s="104">
        <v>4302.9078499999996</v>
      </c>
      <c r="F72" s="172"/>
      <c r="G72" s="105">
        <v>4302.9078499999996</v>
      </c>
      <c r="H72" s="107">
        <v>990.98603999999966</v>
      </c>
      <c r="I72" s="106">
        <v>-3311.9218099999998</v>
      </c>
      <c r="J72" s="57"/>
      <c r="K72" s="57"/>
      <c r="L72" s="57"/>
    </row>
    <row r="73" spans="1:12" s="16" customFormat="1" x14ac:dyDescent="0.25">
      <c r="A73" s="2" t="s">
        <v>82</v>
      </c>
      <c r="B73" s="103"/>
      <c r="C73" s="40">
        <v>1463.35078</v>
      </c>
      <c r="D73" s="40">
        <v>1945.30891</v>
      </c>
      <c r="E73" s="104">
        <v>-481.95812999999998</v>
      </c>
      <c r="F73" s="172"/>
      <c r="G73" s="105">
        <v>-481.95812999999998</v>
      </c>
      <c r="H73" s="107">
        <v>1517.1755000000012</v>
      </c>
      <c r="I73" s="106">
        <v>1999.1336300000012</v>
      </c>
      <c r="J73" s="57"/>
      <c r="K73" s="57"/>
      <c r="L73" s="57"/>
    </row>
    <row r="74" spans="1:12" s="16" customFormat="1" x14ac:dyDescent="0.25">
      <c r="A74" s="2" t="s">
        <v>18</v>
      </c>
      <c r="B74" s="103"/>
      <c r="C74" s="40">
        <v>1261.22821</v>
      </c>
      <c r="D74" s="40">
        <v>85.516000000000005</v>
      </c>
      <c r="E74" s="104">
        <v>1175.7122099999999</v>
      </c>
      <c r="F74" s="172"/>
      <c r="G74" s="105">
        <v>1175.7122099999999</v>
      </c>
      <c r="H74" s="107">
        <v>2045.3247999999992</v>
      </c>
      <c r="I74" s="106">
        <v>869.61258999999927</v>
      </c>
      <c r="J74" s="57"/>
      <c r="K74" s="57"/>
      <c r="L74" s="57"/>
    </row>
    <row r="75" spans="1:12" s="16" customFormat="1" x14ac:dyDescent="0.25">
      <c r="A75" s="2" t="s">
        <v>83</v>
      </c>
      <c r="B75" s="103"/>
      <c r="C75" s="40">
        <v>2022.19442</v>
      </c>
      <c r="D75" s="40">
        <v>454.95299999999997</v>
      </c>
      <c r="E75" s="104">
        <v>1567.2414200000001</v>
      </c>
      <c r="F75" s="172"/>
      <c r="G75" s="105">
        <v>1567.2414200000001</v>
      </c>
      <c r="H75" s="107">
        <v>2678.6869099999994</v>
      </c>
      <c r="I75" s="106">
        <v>1111.4454899999994</v>
      </c>
      <c r="J75" s="57"/>
      <c r="K75" s="57"/>
      <c r="L75" s="57"/>
    </row>
    <row r="76" spans="1:12" s="16" customFormat="1" x14ac:dyDescent="0.25">
      <c r="A76" s="2" t="s">
        <v>19</v>
      </c>
      <c r="B76" s="103"/>
      <c r="C76" s="40">
        <v>1221.3663000000001</v>
      </c>
      <c r="D76" s="40">
        <v>312.73604999999998</v>
      </c>
      <c r="E76" s="104">
        <v>908.63025000000016</v>
      </c>
      <c r="F76" s="172"/>
      <c r="G76" s="105">
        <v>908.63025000000016</v>
      </c>
      <c r="H76" s="107">
        <v>1337.720600000001</v>
      </c>
      <c r="I76" s="106">
        <v>429.09035000000085</v>
      </c>
      <c r="J76" s="57"/>
      <c r="K76" s="57"/>
      <c r="L76" s="57"/>
    </row>
    <row r="77" spans="1:12" s="16" customFormat="1" x14ac:dyDescent="0.25">
      <c r="A77" s="2" t="s">
        <v>84</v>
      </c>
      <c r="B77" s="103"/>
      <c r="C77" s="40">
        <v>920.06938000000002</v>
      </c>
      <c r="D77" s="40">
        <v>85.974600000000009</v>
      </c>
      <c r="E77" s="104">
        <v>834.09478000000001</v>
      </c>
      <c r="F77" s="172"/>
      <c r="G77" s="105">
        <v>834.09478000000001</v>
      </c>
      <c r="H77" s="107">
        <v>504.93381999999991</v>
      </c>
      <c r="I77" s="106">
        <v>-329.1609600000001</v>
      </c>
      <c r="J77" s="57"/>
      <c r="K77" s="57"/>
      <c r="L77" s="57"/>
    </row>
    <row r="78" spans="1:12" s="16" customFormat="1" x14ac:dyDescent="0.25">
      <c r="A78" s="2" t="s">
        <v>85</v>
      </c>
      <c r="B78" s="103"/>
      <c r="C78" s="40">
        <v>1735.6341499999999</v>
      </c>
      <c r="D78" s="40">
        <v>496.48599999999999</v>
      </c>
      <c r="E78" s="104">
        <v>1239.14815</v>
      </c>
      <c r="F78" s="172"/>
      <c r="G78" s="105">
        <v>1239.14815</v>
      </c>
      <c r="H78" s="107">
        <v>96.518580000000128</v>
      </c>
      <c r="I78" s="106">
        <v>-1142.6295699999998</v>
      </c>
      <c r="J78" s="57"/>
      <c r="K78" s="57"/>
      <c r="L78" s="57"/>
    </row>
    <row r="79" spans="1:12" s="16" customFormat="1" x14ac:dyDescent="0.25">
      <c r="A79" s="2" t="s">
        <v>86</v>
      </c>
      <c r="B79" s="103"/>
      <c r="C79" s="40">
        <v>521.18061</v>
      </c>
      <c r="D79" s="40">
        <v>0</v>
      </c>
      <c r="E79" s="104">
        <v>521.18061</v>
      </c>
      <c r="F79" s="172"/>
      <c r="G79" s="105">
        <v>521.18061</v>
      </c>
      <c r="H79" s="107">
        <v>262.25249999999954</v>
      </c>
      <c r="I79" s="106">
        <v>-258.92811000000046</v>
      </c>
      <c r="J79" s="57"/>
      <c r="K79" s="57"/>
      <c r="L79" s="57"/>
    </row>
    <row r="80" spans="1:12" s="16" customFormat="1" x14ac:dyDescent="0.25">
      <c r="A80" s="2" t="s">
        <v>20</v>
      </c>
      <c r="B80" s="103"/>
      <c r="C80" s="40">
        <v>2131.93235</v>
      </c>
      <c r="D80" s="40">
        <v>199.63598000000002</v>
      </c>
      <c r="E80" s="104">
        <v>1932.29637</v>
      </c>
      <c r="F80" s="172"/>
      <c r="G80" s="105">
        <v>1932.29637</v>
      </c>
      <c r="H80" s="107">
        <v>1328.8395300000007</v>
      </c>
      <c r="I80" s="106">
        <v>-603.45683999999937</v>
      </c>
      <c r="J80" s="57"/>
      <c r="K80" s="57"/>
      <c r="L80" s="57"/>
    </row>
    <row r="81" spans="1:12" s="16" customFormat="1" x14ac:dyDescent="0.25">
      <c r="A81" s="2" t="s">
        <v>87</v>
      </c>
      <c r="B81" s="103"/>
      <c r="C81" s="40">
        <v>505.78890999999999</v>
      </c>
      <c r="D81" s="40">
        <v>80.990139999999997</v>
      </c>
      <c r="E81" s="104">
        <v>424.79876999999999</v>
      </c>
      <c r="F81" s="172"/>
      <c r="G81" s="105">
        <v>424.79876999999999</v>
      </c>
      <c r="H81" s="107">
        <v>573.78134000000057</v>
      </c>
      <c r="I81" s="106">
        <v>148.98257000000058</v>
      </c>
      <c r="J81" s="57"/>
      <c r="K81" s="57"/>
      <c r="L81" s="57"/>
    </row>
    <row r="82" spans="1:12" s="16" customFormat="1" x14ac:dyDescent="0.25">
      <c r="A82" s="2" t="s">
        <v>30</v>
      </c>
      <c r="B82" s="103"/>
      <c r="C82" s="40">
        <v>211.90325000000001</v>
      </c>
      <c r="D82" s="40">
        <v>20.05</v>
      </c>
      <c r="E82" s="104">
        <v>191.85325</v>
      </c>
      <c r="F82" s="172"/>
      <c r="G82" s="105">
        <v>191.85325</v>
      </c>
      <c r="H82" s="107">
        <v>428.94501000000031</v>
      </c>
      <c r="I82" s="106">
        <v>237.09176000000031</v>
      </c>
      <c r="J82" s="57"/>
      <c r="K82" s="57"/>
      <c r="L82" s="57"/>
    </row>
    <row r="83" spans="1:12" s="16" customFormat="1" x14ac:dyDescent="0.25">
      <c r="A83" s="2" t="s">
        <v>88</v>
      </c>
      <c r="B83" s="103"/>
      <c r="C83" s="40">
        <v>557.73019999999997</v>
      </c>
      <c r="D83" s="40">
        <v>179.42675</v>
      </c>
      <c r="E83" s="104">
        <v>378.30345</v>
      </c>
      <c r="F83" s="172"/>
      <c r="G83" s="105">
        <v>378.30345</v>
      </c>
      <c r="H83" s="107">
        <v>621.22504000000015</v>
      </c>
      <c r="I83" s="106">
        <v>242.92159000000015</v>
      </c>
      <c r="J83" s="57"/>
      <c r="K83" s="57"/>
      <c r="L83" s="57"/>
    </row>
    <row r="84" spans="1:12" s="16" customFormat="1" x14ac:dyDescent="0.25">
      <c r="A84" s="2" t="s">
        <v>89</v>
      </c>
      <c r="B84" s="103"/>
      <c r="C84" s="40">
        <v>8131.7684100000006</v>
      </c>
      <c r="D84" s="40">
        <v>64.257689999999997</v>
      </c>
      <c r="E84" s="104">
        <v>8067.5107200000002</v>
      </c>
      <c r="F84" s="172"/>
      <c r="G84" s="105">
        <v>8067.5107200000002</v>
      </c>
      <c r="H84" s="107">
        <v>7791.7077899999986</v>
      </c>
      <c r="I84" s="106">
        <v>-275.80293000000165</v>
      </c>
      <c r="J84" s="57"/>
      <c r="K84" s="57"/>
      <c r="L84" s="57"/>
    </row>
    <row r="85" spans="1:12" s="16" customFormat="1" x14ac:dyDescent="0.25">
      <c r="A85" s="2" t="s">
        <v>90</v>
      </c>
      <c r="B85" s="103"/>
      <c r="C85" s="40">
        <v>456.2801</v>
      </c>
      <c r="D85" s="40">
        <v>61.850250000000003</v>
      </c>
      <c r="E85" s="104">
        <v>394.42984999999999</v>
      </c>
      <c r="F85" s="172"/>
      <c r="G85" s="105">
        <v>394.42984999999999</v>
      </c>
      <c r="H85" s="107">
        <v>148.85872000000006</v>
      </c>
      <c r="I85" s="106">
        <v>-245.57112999999993</v>
      </c>
      <c r="J85" s="57"/>
      <c r="K85" s="57"/>
      <c r="L85" s="57"/>
    </row>
    <row r="86" spans="1:12" s="16" customFormat="1" x14ac:dyDescent="0.25">
      <c r="A86" s="2" t="s">
        <v>91</v>
      </c>
      <c r="B86" s="103"/>
      <c r="C86" s="40">
        <v>502.17766999999998</v>
      </c>
      <c r="D86" s="40">
        <v>36.5</v>
      </c>
      <c r="E86" s="104">
        <v>465.67766999999998</v>
      </c>
      <c r="F86" s="172"/>
      <c r="G86" s="105">
        <v>465.67766999999998</v>
      </c>
      <c r="H86" s="107">
        <v>66.805550000000594</v>
      </c>
      <c r="I86" s="106">
        <v>-398.87211999999937</v>
      </c>
      <c r="J86" s="57"/>
      <c r="K86" s="57"/>
      <c r="L86" s="57"/>
    </row>
    <row r="87" spans="1:12" s="16" customFormat="1" x14ac:dyDescent="0.25">
      <c r="A87" s="2" t="s">
        <v>92</v>
      </c>
      <c r="B87" s="103"/>
      <c r="C87" s="40">
        <v>1071.6856</v>
      </c>
      <c r="D87" s="40">
        <v>0</v>
      </c>
      <c r="E87" s="104">
        <v>1071.6856</v>
      </c>
      <c r="F87" s="172"/>
      <c r="G87" s="105">
        <v>1071.6856</v>
      </c>
      <c r="H87" s="107">
        <v>430.05114000000003</v>
      </c>
      <c r="I87" s="106">
        <v>-641.63445999999999</v>
      </c>
      <c r="J87" s="57"/>
      <c r="K87" s="57"/>
      <c r="L87" s="57"/>
    </row>
    <row r="88" spans="1:12" s="16" customFormat="1" x14ac:dyDescent="0.25">
      <c r="A88" s="2" t="s">
        <v>93</v>
      </c>
      <c r="B88" s="103"/>
      <c r="C88" s="40">
        <v>721.97007999999994</v>
      </c>
      <c r="D88" s="40">
        <v>21.11505</v>
      </c>
      <c r="E88" s="104">
        <v>700.85502999999994</v>
      </c>
      <c r="F88" s="172"/>
      <c r="G88" s="105">
        <v>700.85502999999994</v>
      </c>
      <c r="H88" s="107">
        <v>431.46428000000117</v>
      </c>
      <c r="I88" s="106">
        <v>-269.39074999999877</v>
      </c>
      <c r="J88" s="57"/>
      <c r="K88" s="57"/>
      <c r="L88" s="57"/>
    </row>
    <row r="89" spans="1:12" s="16" customFormat="1" x14ac:dyDescent="0.25">
      <c r="A89" s="2" t="s">
        <v>94</v>
      </c>
      <c r="B89" s="103"/>
      <c r="C89" s="40">
        <v>201.19364999999999</v>
      </c>
      <c r="D89" s="40">
        <v>184.34120000000001</v>
      </c>
      <c r="E89" s="104">
        <v>16.852449999999976</v>
      </c>
      <c r="F89" s="172"/>
      <c r="G89" s="105">
        <v>16.852449999999976</v>
      </c>
      <c r="H89" s="107">
        <v>206.64077999999961</v>
      </c>
      <c r="I89" s="106">
        <v>189.78832999999963</v>
      </c>
      <c r="J89" s="57"/>
      <c r="K89" s="57"/>
      <c r="L89" s="57"/>
    </row>
    <row r="90" spans="1:12" s="16" customFormat="1" x14ac:dyDescent="0.25">
      <c r="A90" s="2" t="s">
        <v>95</v>
      </c>
      <c r="B90" s="103"/>
      <c r="C90" s="40">
        <v>1161.71002</v>
      </c>
      <c r="D90" s="40">
        <v>69.514920000000004</v>
      </c>
      <c r="E90" s="104">
        <v>1092.1950999999999</v>
      </c>
      <c r="F90" s="172"/>
      <c r="G90" s="105">
        <v>1092.1950999999999</v>
      </c>
      <c r="H90" s="107">
        <v>438.13991000000124</v>
      </c>
      <c r="I90" s="106">
        <v>-654.05518999999867</v>
      </c>
      <c r="J90" s="57"/>
      <c r="K90" s="57"/>
      <c r="L90" s="57"/>
    </row>
    <row r="91" spans="1:12" s="16" customFormat="1" x14ac:dyDescent="0.25">
      <c r="A91" s="2" t="s">
        <v>96</v>
      </c>
      <c r="B91" s="103"/>
      <c r="C91" s="40">
        <v>1429.76784</v>
      </c>
      <c r="D91" s="40">
        <v>320.94524999999999</v>
      </c>
      <c r="E91" s="104">
        <v>1108.82259</v>
      </c>
      <c r="F91" s="172"/>
      <c r="G91" s="105">
        <v>1108.82259</v>
      </c>
      <c r="H91" s="107">
        <v>784.81297999999981</v>
      </c>
      <c r="I91" s="106">
        <v>-324.00961000000018</v>
      </c>
      <c r="J91" s="57"/>
      <c r="K91" s="57"/>
      <c r="L91" s="57"/>
    </row>
    <row r="92" spans="1:12" s="16" customFormat="1" x14ac:dyDescent="0.25">
      <c r="A92" s="2" t="s">
        <v>97</v>
      </c>
      <c r="B92" s="103"/>
      <c r="C92" s="40">
        <v>2084.6400699999999</v>
      </c>
      <c r="D92" s="40">
        <v>196.72534999999999</v>
      </c>
      <c r="E92" s="104">
        <v>1887.91472</v>
      </c>
      <c r="F92" s="172"/>
      <c r="G92" s="105">
        <v>1887.91472</v>
      </c>
      <c r="H92" s="107">
        <v>929.12772000000109</v>
      </c>
      <c r="I92" s="106">
        <v>-958.7869999999989</v>
      </c>
      <c r="J92" s="57"/>
      <c r="K92" s="57"/>
      <c r="L92" s="57"/>
    </row>
    <row r="93" spans="1:12" s="16" customFormat="1" x14ac:dyDescent="0.25">
      <c r="A93" s="2" t="s">
        <v>98</v>
      </c>
      <c r="B93" s="103"/>
      <c r="C93" s="40">
        <v>2650.1479300000001</v>
      </c>
      <c r="D93" s="40">
        <v>1091.0299299999999</v>
      </c>
      <c r="E93" s="104">
        <v>1559.1180000000002</v>
      </c>
      <c r="F93" s="172"/>
      <c r="G93" s="105">
        <v>1559.1180000000002</v>
      </c>
      <c r="H93" s="107">
        <v>931.85882000000163</v>
      </c>
      <c r="I93" s="106">
        <v>-627.25917999999854</v>
      </c>
      <c r="J93" s="57"/>
      <c r="K93" s="57"/>
      <c r="L93" s="57"/>
    </row>
    <row r="94" spans="1:12" s="16" customFormat="1" x14ac:dyDescent="0.25">
      <c r="A94" s="2" t="s">
        <v>99</v>
      </c>
      <c r="B94" s="103"/>
      <c r="C94" s="40">
        <v>1329.0194199999999</v>
      </c>
      <c r="D94" s="40">
        <v>53.660650000000004</v>
      </c>
      <c r="E94" s="104">
        <v>1275.3587699999998</v>
      </c>
      <c r="F94" s="172"/>
      <c r="G94" s="105">
        <v>1275.3587699999998</v>
      </c>
      <c r="H94" s="107">
        <v>233.15712000000138</v>
      </c>
      <c r="I94" s="106">
        <v>-1042.2016499999984</v>
      </c>
      <c r="J94" s="57"/>
      <c r="K94" s="57"/>
      <c r="L94" s="57"/>
    </row>
    <row r="95" spans="1:12" s="16" customFormat="1" ht="12.75" customHeight="1" x14ac:dyDescent="0.25">
      <c r="A95" s="2" t="s">
        <v>590</v>
      </c>
      <c r="B95" s="103"/>
      <c r="C95" s="40">
        <v>2328.8728799999999</v>
      </c>
      <c r="D95" s="40">
        <v>63.770499999999998</v>
      </c>
      <c r="E95" s="104">
        <v>2265.1023799999998</v>
      </c>
      <c r="F95" s="172"/>
      <c r="G95" s="105">
        <v>2265.1023799999998</v>
      </c>
      <c r="H95" s="107">
        <v>152.98609000000127</v>
      </c>
      <c r="I95" s="106">
        <v>-2112.1162899999986</v>
      </c>
      <c r="J95" s="57"/>
      <c r="K95" s="57"/>
      <c r="L95" s="57"/>
    </row>
    <row r="96" spans="1:12" s="16" customFormat="1" x14ac:dyDescent="0.25">
      <c r="A96" s="4" t="s">
        <v>22</v>
      </c>
      <c r="B96" s="103"/>
      <c r="C96" s="40">
        <v>2345.4748</v>
      </c>
      <c r="D96" s="40">
        <v>804.73019999999997</v>
      </c>
      <c r="E96" s="104">
        <v>1540.7446</v>
      </c>
      <c r="F96" s="172"/>
      <c r="G96" s="105">
        <v>1540.7446</v>
      </c>
      <c r="H96" s="107">
        <v>2110.2695499999986</v>
      </c>
      <c r="I96" s="106">
        <v>569.52494999999863</v>
      </c>
      <c r="J96" s="57"/>
      <c r="K96" s="57"/>
      <c r="L96" s="57"/>
    </row>
    <row r="97" spans="1:12" s="16" customFormat="1" x14ac:dyDescent="0.25">
      <c r="A97" s="2" t="s">
        <v>100</v>
      </c>
      <c r="B97" s="108"/>
      <c r="C97" s="107">
        <v>4341.2459800000006</v>
      </c>
      <c r="D97" s="107">
        <v>598.76061000000004</v>
      </c>
      <c r="E97" s="104">
        <v>3742.4853700000003</v>
      </c>
      <c r="F97" s="172"/>
      <c r="G97" s="105">
        <v>3742.4853700000003</v>
      </c>
      <c r="H97" s="107">
        <v>1119.32275</v>
      </c>
      <c r="I97" s="106">
        <v>-2623.1626200000001</v>
      </c>
      <c r="J97" s="57"/>
      <c r="K97" s="57"/>
      <c r="L97" s="57"/>
    </row>
    <row r="98" spans="1:12" s="16" customFormat="1" x14ac:dyDescent="0.25">
      <c r="A98" s="2" t="s">
        <v>101</v>
      </c>
      <c r="B98" s="108"/>
      <c r="C98" s="107">
        <v>1005.54237</v>
      </c>
      <c r="D98" s="107">
        <v>133.28945000000002</v>
      </c>
      <c r="E98" s="104">
        <v>872.25292000000002</v>
      </c>
      <c r="F98" s="172"/>
      <c r="G98" s="105">
        <v>872.25292000000002</v>
      </c>
      <c r="H98" s="107">
        <v>1562.9082299999993</v>
      </c>
      <c r="I98" s="106">
        <v>690.6553099999993</v>
      </c>
      <c r="J98" s="57"/>
      <c r="K98" s="57"/>
      <c r="L98" s="57"/>
    </row>
    <row r="99" spans="1:12" s="16" customFormat="1" x14ac:dyDescent="0.25">
      <c r="A99" s="2" t="s">
        <v>23</v>
      </c>
      <c r="B99" s="108"/>
      <c r="C99" s="107">
        <v>6255.59274</v>
      </c>
      <c r="D99" s="107">
        <v>530.13490000000002</v>
      </c>
      <c r="E99" s="104">
        <v>5725.45784</v>
      </c>
      <c r="F99" s="172"/>
      <c r="G99" s="105">
        <v>5725.45784</v>
      </c>
      <c r="H99" s="107">
        <v>5083.9434500000016</v>
      </c>
      <c r="I99" s="106">
        <v>-641.51438999999846</v>
      </c>
      <c r="J99" s="57"/>
      <c r="K99" s="57"/>
      <c r="L99" s="57"/>
    </row>
    <row r="100" spans="1:12" s="16" customFormat="1" x14ac:dyDescent="0.25">
      <c r="A100" s="2" t="s">
        <v>102</v>
      </c>
      <c r="B100" s="108"/>
      <c r="C100" s="107">
        <v>5824.4535199999991</v>
      </c>
      <c r="D100" s="107">
        <v>900.6866</v>
      </c>
      <c r="E100" s="104">
        <v>4923.7669199999991</v>
      </c>
      <c r="F100" s="172"/>
      <c r="G100" s="105">
        <v>4923.7669199999991</v>
      </c>
      <c r="H100" s="107">
        <v>1557.5940499999974</v>
      </c>
      <c r="I100" s="106">
        <v>-3366.1728700000017</v>
      </c>
      <c r="J100" s="57"/>
      <c r="K100" s="57"/>
      <c r="L100" s="57"/>
    </row>
    <row r="101" spans="1:12" s="16" customFormat="1" x14ac:dyDescent="0.25">
      <c r="A101" s="2" t="s">
        <v>24</v>
      </c>
      <c r="B101" s="108"/>
      <c r="C101" s="107">
        <v>5876.1060700000007</v>
      </c>
      <c r="D101" s="107">
        <v>418.4325</v>
      </c>
      <c r="E101" s="104">
        <v>5457.6735700000008</v>
      </c>
      <c r="F101" s="172"/>
      <c r="G101" s="105">
        <v>5457.6735700000008</v>
      </c>
      <c r="H101" s="107">
        <v>119.56611000000025</v>
      </c>
      <c r="I101" s="106">
        <v>-5338.1074600000002</v>
      </c>
      <c r="J101" s="57"/>
      <c r="K101" s="57"/>
      <c r="L101" s="57"/>
    </row>
    <row r="102" spans="1:12" s="16" customFormat="1" x14ac:dyDescent="0.25">
      <c r="A102" s="3" t="s">
        <v>103</v>
      </c>
      <c r="B102" s="103"/>
      <c r="C102" s="40">
        <v>894.28963999999996</v>
      </c>
      <c r="D102" s="40">
        <v>1033.7251100000001</v>
      </c>
      <c r="E102" s="104">
        <v>-139.43547000000012</v>
      </c>
      <c r="F102" s="172"/>
      <c r="G102" s="105">
        <v>-139.43547000000012</v>
      </c>
      <c r="H102" s="107">
        <v>1149.3009299999997</v>
      </c>
      <c r="I102" s="106">
        <v>1288.7363999999998</v>
      </c>
      <c r="J102" s="57"/>
      <c r="K102" s="57"/>
      <c r="L102" s="57"/>
    </row>
    <row r="103" spans="1:12" s="16" customFormat="1" x14ac:dyDescent="0.25">
      <c r="A103" s="4" t="s">
        <v>104</v>
      </c>
      <c r="B103" s="103"/>
      <c r="C103" s="40">
        <v>2304.89698</v>
      </c>
      <c r="D103" s="40">
        <v>102.15944999999999</v>
      </c>
      <c r="E103" s="104">
        <v>2202.7375299999999</v>
      </c>
      <c r="F103" s="172"/>
      <c r="G103" s="105">
        <v>2202.7375299999999</v>
      </c>
      <c r="H103" s="107">
        <v>549.37219000000505</v>
      </c>
      <c r="I103" s="106">
        <v>-1653.3653399999948</v>
      </c>
      <c r="J103" s="57"/>
      <c r="K103" s="57"/>
      <c r="L103" s="57"/>
    </row>
    <row r="104" spans="1:12" s="16" customFormat="1" x14ac:dyDescent="0.25">
      <c r="A104" s="2" t="s">
        <v>25</v>
      </c>
      <c r="B104" s="109"/>
      <c r="C104" s="40">
        <v>1231.30376</v>
      </c>
      <c r="D104" s="40">
        <v>441.82569999999998</v>
      </c>
      <c r="E104" s="104">
        <v>789.47806000000003</v>
      </c>
      <c r="F104" s="172"/>
      <c r="G104" s="105">
        <v>789.47806000000003</v>
      </c>
      <c r="H104" s="107">
        <v>5252.8335299999999</v>
      </c>
      <c r="I104" s="106">
        <v>4463.3554699999995</v>
      </c>
      <c r="J104" s="57"/>
      <c r="K104" s="57"/>
      <c r="L104" s="57"/>
    </row>
    <row r="105" spans="1:12" s="16" customFormat="1" x14ac:dyDescent="0.25">
      <c r="A105" s="2" t="s">
        <v>105</v>
      </c>
      <c r="B105" s="108"/>
      <c r="C105" s="107">
        <v>4381.8915900000002</v>
      </c>
      <c r="D105" s="107">
        <v>344.80295000000001</v>
      </c>
      <c r="E105" s="104">
        <v>4037.0886399999999</v>
      </c>
      <c r="F105" s="172"/>
      <c r="G105" s="105">
        <v>4037.0886399999999</v>
      </c>
      <c r="H105" s="107">
        <v>7783.461949999999</v>
      </c>
      <c r="I105" s="106">
        <v>3746.373309999999</v>
      </c>
      <c r="J105" s="57"/>
      <c r="K105" s="57"/>
      <c r="L105" s="57"/>
    </row>
    <row r="106" spans="1:12" s="16" customFormat="1" x14ac:dyDescent="0.25">
      <c r="A106" s="2" t="s">
        <v>106</v>
      </c>
      <c r="B106" s="103"/>
      <c r="C106" s="40">
        <v>1859.81882</v>
      </c>
      <c r="D106" s="40">
        <v>270.42804999999998</v>
      </c>
      <c r="E106" s="104">
        <v>1589.39077</v>
      </c>
      <c r="F106" s="172"/>
      <c r="G106" s="105">
        <v>1589.39077</v>
      </c>
      <c r="H106" s="107">
        <v>272.14810999999935</v>
      </c>
      <c r="I106" s="106">
        <v>-1317.2426600000006</v>
      </c>
      <c r="J106" s="57"/>
      <c r="K106" s="57"/>
      <c r="L106" s="57"/>
    </row>
    <row r="107" spans="1:12" s="16" customFormat="1" x14ac:dyDescent="0.25">
      <c r="A107" s="2" t="s">
        <v>107</v>
      </c>
      <c r="B107" s="103"/>
      <c r="C107" s="40">
        <v>3040.24305</v>
      </c>
      <c r="D107" s="40">
        <v>436.51245</v>
      </c>
      <c r="E107" s="104">
        <v>2603.7305999999999</v>
      </c>
      <c r="F107" s="172"/>
      <c r="G107" s="105">
        <v>2603.7305999999999</v>
      </c>
      <c r="H107" s="107">
        <v>-9.0174499999994993</v>
      </c>
      <c r="I107" s="106">
        <v>-2612.7480499999992</v>
      </c>
      <c r="J107" s="57"/>
      <c r="K107" s="57"/>
      <c r="L107" s="57"/>
    </row>
    <row r="108" spans="1:12" s="16" customFormat="1" x14ac:dyDescent="0.25">
      <c r="A108" s="2" t="s">
        <v>108</v>
      </c>
      <c r="B108" s="103"/>
      <c r="C108" s="40">
        <v>4040.7221800000002</v>
      </c>
      <c r="D108" s="40">
        <v>58.113599999999998</v>
      </c>
      <c r="E108" s="104">
        <v>3982.6085800000001</v>
      </c>
      <c r="F108" s="172"/>
      <c r="G108" s="105">
        <v>3982.6085800000001</v>
      </c>
      <c r="H108" s="107">
        <v>44.462240000000349</v>
      </c>
      <c r="I108" s="106">
        <v>-3938.1463399999998</v>
      </c>
      <c r="J108" s="57"/>
      <c r="K108" s="57"/>
    </row>
    <row r="109" spans="1:12" s="16" customFormat="1" x14ac:dyDescent="0.25">
      <c r="A109" s="2" t="s">
        <v>109</v>
      </c>
      <c r="B109" s="103"/>
      <c r="C109" s="40">
        <v>1126.4436000000001</v>
      </c>
      <c r="D109" s="40">
        <v>7.7408999999999999</v>
      </c>
      <c r="E109" s="104">
        <v>1118.7027</v>
      </c>
      <c r="F109" s="170"/>
      <c r="G109" s="105">
        <v>1118.7027</v>
      </c>
      <c r="H109" s="40">
        <v>854.67621000000031</v>
      </c>
      <c r="I109" s="106">
        <v>-264.02648999999974</v>
      </c>
      <c r="J109" s="57"/>
      <c r="K109" s="57"/>
      <c r="L109" s="57"/>
    </row>
    <row r="110" spans="1:12" s="114" customFormat="1" ht="18" customHeight="1" x14ac:dyDescent="0.25">
      <c r="A110" s="17" t="s">
        <v>224</v>
      </c>
      <c r="B110" s="43"/>
      <c r="C110" s="110">
        <v>364363.86915999989</v>
      </c>
      <c r="D110" s="110">
        <v>75242.566520000022</v>
      </c>
      <c r="E110" s="110">
        <v>289121.30263999983</v>
      </c>
      <c r="F110" s="110"/>
      <c r="G110" s="110">
        <v>289121.30263999983</v>
      </c>
      <c r="H110" s="110">
        <v>162150.86789999984</v>
      </c>
      <c r="I110" s="110">
        <v>-126970.43474000006</v>
      </c>
      <c r="J110" s="111"/>
      <c r="K110" s="112"/>
      <c r="L110" s="113"/>
    </row>
    <row r="111" spans="1:12" s="23" customFormat="1" ht="15" customHeight="1" x14ac:dyDescent="0.15">
      <c r="A111" s="23" t="s">
        <v>225</v>
      </c>
      <c r="E111" s="115"/>
      <c r="I111" s="115"/>
      <c r="K111" s="116"/>
    </row>
  </sheetData>
  <mergeCells count="2">
    <mergeCell ref="C2:E2"/>
    <mergeCell ref="G2:I2"/>
  </mergeCells>
  <printOptions horizontalCentered="1"/>
  <pageMargins left="0.70866141732283472" right="0.70866141732283472" top="0.55118110236220474" bottom="0.35433070866141736" header="0.31496062992125984" footer="3.937007874015748E-2"/>
  <pageSetup paperSize="9" firstPageNumber="45" orientation="portrait" useFirstPageNumber="1" horizontalDpi="1200" verticalDpi="1200" r:id="rId1"/>
  <headerFooter>
    <oddFooter>&amp;C&amp;"Arial Narrow,Corsivo"&amp;7- pagina &amp;P -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10"/>
  <sheetViews>
    <sheetView zoomScale="150" zoomScaleNormal="150" workbookViewId="0">
      <pane ySplit="2" topLeftCell="A96" activePane="bottomLeft" state="frozenSplit"/>
      <selection pane="bottomLeft" activeCell="A109" sqref="A109"/>
    </sheetView>
  </sheetViews>
  <sheetFormatPr defaultRowHeight="15" x14ac:dyDescent="0.25"/>
  <cols>
    <col min="1" max="1" width="12.7109375" customWidth="1"/>
    <col min="2" max="7" width="7.28515625" customWidth="1"/>
    <col min="8" max="8" width="9.140625" customWidth="1"/>
    <col min="9" max="15" width="7.28515625" customWidth="1"/>
  </cols>
  <sheetData>
    <row r="1" spans="1:16" ht="21" customHeight="1" x14ac:dyDescent="0.25">
      <c r="A1" s="29" t="s">
        <v>622</v>
      </c>
      <c r="B1" s="48"/>
      <c r="C1" s="48"/>
      <c r="D1" s="48"/>
      <c r="E1" s="49"/>
      <c r="F1" s="48"/>
      <c r="G1" s="48"/>
      <c r="H1" s="50"/>
      <c r="I1" s="50"/>
      <c r="J1" s="50"/>
      <c r="K1" s="50"/>
      <c r="L1" s="48"/>
      <c r="M1" s="48"/>
      <c r="N1" s="48"/>
      <c r="O1" s="48"/>
      <c r="P1" s="50"/>
    </row>
    <row r="2" spans="1:16" ht="57.75" customHeight="1" x14ac:dyDescent="0.25">
      <c r="A2" s="52"/>
      <c r="B2" s="53" t="s">
        <v>467</v>
      </c>
      <c r="C2" s="53" t="s">
        <v>468</v>
      </c>
      <c r="D2" s="53" t="s">
        <v>469</v>
      </c>
      <c r="E2" s="53" t="s">
        <v>470</v>
      </c>
      <c r="F2" s="53" t="s">
        <v>471</v>
      </c>
      <c r="G2" s="53" t="s">
        <v>472</v>
      </c>
      <c r="H2" s="54" t="s">
        <v>465</v>
      </c>
      <c r="I2" s="53" t="s">
        <v>476</v>
      </c>
      <c r="J2" s="53" t="s">
        <v>504</v>
      </c>
      <c r="K2" s="53" t="s">
        <v>477</v>
      </c>
      <c r="L2" s="53" t="s">
        <v>473</v>
      </c>
      <c r="M2" s="53" t="s">
        <v>474</v>
      </c>
      <c r="N2" s="53" t="s">
        <v>478</v>
      </c>
      <c r="O2" s="53" t="s">
        <v>475</v>
      </c>
      <c r="P2" s="54" t="s">
        <v>466</v>
      </c>
    </row>
    <row r="3" spans="1:16" x14ac:dyDescent="0.25">
      <c r="A3" s="2" t="s">
        <v>31</v>
      </c>
      <c r="B3" s="40">
        <v>1665.00144</v>
      </c>
      <c r="C3" s="40">
        <v>0</v>
      </c>
      <c r="D3" s="40">
        <v>80.764449999999997</v>
      </c>
      <c r="E3" s="40">
        <v>0</v>
      </c>
      <c r="F3" s="40">
        <v>0</v>
      </c>
      <c r="G3" s="40">
        <v>132.1934</v>
      </c>
      <c r="H3" s="41">
        <f t="shared" ref="H3:H34" si="0">SUM(B3:G3)</f>
        <v>1877.9592899999998</v>
      </c>
      <c r="I3" s="40">
        <v>2.1539999999999999</v>
      </c>
      <c r="J3" s="40">
        <v>36.925379999999997</v>
      </c>
      <c r="K3" s="40">
        <v>0</v>
      </c>
      <c r="L3" s="40">
        <v>881.44624999999996</v>
      </c>
      <c r="M3" s="40">
        <v>0</v>
      </c>
      <c r="N3" s="40">
        <v>0</v>
      </c>
      <c r="O3" s="40">
        <v>0</v>
      </c>
      <c r="P3" s="41">
        <f>SUM(I3:O3)</f>
        <v>920.52562999999998</v>
      </c>
    </row>
    <row r="4" spans="1:16" x14ac:dyDescent="0.25">
      <c r="A4" s="2" t="s">
        <v>32</v>
      </c>
      <c r="B4" s="40">
        <v>1381.1438999999998</v>
      </c>
      <c r="C4" s="40">
        <v>0</v>
      </c>
      <c r="D4" s="40">
        <v>18.896699999999999</v>
      </c>
      <c r="E4" s="40">
        <v>0</v>
      </c>
      <c r="F4" s="40">
        <v>0</v>
      </c>
      <c r="G4" s="40">
        <v>878.63440000000003</v>
      </c>
      <c r="H4" s="41">
        <f t="shared" si="0"/>
        <v>2278.6749999999997</v>
      </c>
      <c r="I4" s="40">
        <v>0</v>
      </c>
      <c r="J4" s="40">
        <v>46.034999999999997</v>
      </c>
      <c r="K4" s="40">
        <v>0</v>
      </c>
      <c r="L4" s="40">
        <v>176.9376</v>
      </c>
      <c r="M4" s="40">
        <v>8</v>
      </c>
      <c r="N4" s="40">
        <v>0</v>
      </c>
      <c r="O4" s="40">
        <v>0</v>
      </c>
      <c r="P4" s="41">
        <f t="shared" ref="P4:P67" si="1">SUM(I4:O4)</f>
        <v>230.9726</v>
      </c>
    </row>
    <row r="5" spans="1:16" x14ac:dyDescent="0.25">
      <c r="A5" s="2" t="s">
        <v>4</v>
      </c>
      <c r="B5" s="40">
        <v>2337.26379</v>
      </c>
      <c r="C5" s="40">
        <v>0</v>
      </c>
      <c r="D5" s="40">
        <v>35.129800000000003</v>
      </c>
      <c r="E5" s="40">
        <v>0</v>
      </c>
      <c r="F5" s="40">
        <v>0</v>
      </c>
      <c r="G5" s="40">
        <v>0</v>
      </c>
      <c r="H5" s="41">
        <f t="shared" si="0"/>
        <v>2372.3935900000001</v>
      </c>
      <c r="I5" s="40">
        <v>0</v>
      </c>
      <c r="J5" s="40">
        <v>0</v>
      </c>
      <c r="K5" s="40">
        <v>0</v>
      </c>
      <c r="L5" s="40">
        <v>1773.95975</v>
      </c>
      <c r="M5" s="40">
        <v>0</v>
      </c>
      <c r="N5" s="40">
        <v>0</v>
      </c>
      <c r="O5" s="40">
        <v>0</v>
      </c>
      <c r="P5" s="41">
        <f t="shared" si="1"/>
        <v>1773.95975</v>
      </c>
    </row>
    <row r="6" spans="1:16" x14ac:dyDescent="0.25">
      <c r="A6" s="2" t="s">
        <v>33</v>
      </c>
      <c r="B6" s="40">
        <v>684.57245999999998</v>
      </c>
      <c r="C6" s="40">
        <v>0</v>
      </c>
      <c r="D6" s="40">
        <v>76.231449999999995</v>
      </c>
      <c r="E6" s="40">
        <v>0</v>
      </c>
      <c r="F6" s="40">
        <v>0</v>
      </c>
      <c r="G6" s="40">
        <v>87.850100000000012</v>
      </c>
      <c r="H6" s="41">
        <f t="shared" si="0"/>
        <v>848.65400999999997</v>
      </c>
      <c r="I6" s="40">
        <v>0</v>
      </c>
      <c r="J6" s="40">
        <v>270.94540000000001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1">
        <f t="shared" si="1"/>
        <v>270.94540000000001</v>
      </c>
    </row>
    <row r="7" spans="1:16" x14ac:dyDescent="0.25">
      <c r="A7" s="2" t="s">
        <v>34</v>
      </c>
      <c r="B7" s="40">
        <v>205.88585</v>
      </c>
      <c r="C7" s="40">
        <v>0</v>
      </c>
      <c r="D7" s="40">
        <v>0</v>
      </c>
      <c r="E7" s="40">
        <v>0</v>
      </c>
      <c r="F7" s="40">
        <v>0</v>
      </c>
      <c r="G7" s="40">
        <v>16.306999999999999</v>
      </c>
      <c r="H7" s="41">
        <f t="shared" si="0"/>
        <v>222.19284999999999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1">
        <f t="shared" si="1"/>
        <v>0</v>
      </c>
    </row>
    <row r="8" spans="1:16" x14ac:dyDescent="0.25">
      <c r="A8" s="2" t="s">
        <v>35</v>
      </c>
      <c r="B8" s="40">
        <v>2153.7172300000002</v>
      </c>
      <c r="C8" s="40">
        <v>0</v>
      </c>
      <c r="D8" s="40">
        <v>355.1354</v>
      </c>
      <c r="E8" s="40">
        <v>0</v>
      </c>
      <c r="F8" s="40">
        <v>0</v>
      </c>
      <c r="G8" s="40">
        <v>451.59075000000001</v>
      </c>
      <c r="H8" s="41">
        <f t="shared" si="0"/>
        <v>2960.4433800000002</v>
      </c>
      <c r="I8" s="40">
        <v>0</v>
      </c>
      <c r="J8" s="40">
        <v>0</v>
      </c>
      <c r="K8" s="40">
        <v>0</v>
      </c>
      <c r="L8" s="40">
        <v>466.88884999999999</v>
      </c>
      <c r="M8" s="40">
        <v>0</v>
      </c>
      <c r="N8" s="40">
        <v>0</v>
      </c>
      <c r="O8" s="40">
        <v>0</v>
      </c>
      <c r="P8" s="41">
        <f t="shared" si="1"/>
        <v>466.88884999999999</v>
      </c>
    </row>
    <row r="9" spans="1:16" x14ac:dyDescent="0.25">
      <c r="A9" s="2" t="s">
        <v>36</v>
      </c>
      <c r="B9" s="40">
        <v>692.50337000000002</v>
      </c>
      <c r="C9" s="40">
        <v>0</v>
      </c>
      <c r="D9" s="40">
        <v>13.3087</v>
      </c>
      <c r="E9" s="40">
        <v>0</v>
      </c>
      <c r="F9" s="40">
        <v>0</v>
      </c>
      <c r="G9" s="40">
        <v>0</v>
      </c>
      <c r="H9" s="41">
        <f t="shared" si="0"/>
        <v>705.81207000000006</v>
      </c>
      <c r="I9" s="40">
        <v>0</v>
      </c>
      <c r="J9" s="40">
        <v>66.5</v>
      </c>
      <c r="K9" s="40">
        <v>0</v>
      </c>
      <c r="L9" s="40">
        <v>329.20249000000001</v>
      </c>
      <c r="M9" s="40">
        <v>0</v>
      </c>
      <c r="N9" s="40">
        <v>0</v>
      </c>
      <c r="O9" s="40">
        <v>0</v>
      </c>
      <c r="P9" s="41">
        <f t="shared" si="1"/>
        <v>395.70249000000001</v>
      </c>
    </row>
    <row r="10" spans="1:16" x14ac:dyDescent="0.25">
      <c r="A10" s="2" t="s">
        <v>5</v>
      </c>
      <c r="B10" s="40">
        <v>6004.0706300000002</v>
      </c>
      <c r="C10" s="40">
        <v>0</v>
      </c>
      <c r="D10" s="40">
        <v>851.77748999999994</v>
      </c>
      <c r="E10" s="40">
        <v>0</v>
      </c>
      <c r="F10" s="40">
        <v>0</v>
      </c>
      <c r="G10" s="40">
        <v>718.24834999999996</v>
      </c>
      <c r="H10" s="41">
        <f t="shared" si="0"/>
        <v>7574.0964700000004</v>
      </c>
      <c r="I10" s="40">
        <v>0</v>
      </c>
      <c r="J10" s="40">
        <v>0</v>
      </c>
      <c r="K10" s="40">
        <v>0</v>
      </c>
      <c r="L10" s="40">
        <v>1670.92345</v>
      </c>
      <c r="M10" s="40">
        <v>12</v>
      </c>
      <c r="N10" s="40">
        <v>0</v>
      </c>
      <c r="O10" s="40">
        <v>0</v>
      </c>
      <c r="P10" s="41">
        <f t="shared" si="1"/>
        <v>1682.92345</v>
      </c>
    </row>
    <row r="11" spans="1:16" x14ac:dyDescent="0.25">
      <c r="A11" s="2" t="s">
        <v>37</v>
      </c>
      <c r="B11" s="40">
        <v>86.093350000000001</v>
      </c>
      <c r="C11" s="40">
        <v>0</v>
      </c>
      <c r="D11" s="40">
        <v>0.75139999999999996</v>
      </c>
      <c r="E11" s="40">
        <v>0</v>
      </c>
      <c r="F11" s="40">
        <v>0</v>
      </c>
      <c r="G11" s="40">
        <v>30.3</v>
      </c>
      <c r="H11" s="41">
        <f t="shared" si="0"/>
        <v>117.14475</v>
      </c>
      <c r="I11" s="40">
        <v>0</v>
      </c>
      <c r="J11" s="40">
        <v>0</v>
      </c>
      <c r="K11" s="40">
        <v>0</v>
      </c>
      <c r="L11" s="40">
        <v>97.862350000000006</v>
      </c>
      <c r="M11" s="40">
        <v>0</v>
      </c>
      <c r="N11" s="40">
        <v>0</v>
      </c>
      <c r="O11" s="40">
        <v>0</v>
      </c>
      <c r="P11" s="41">
        <f t="shared" si="1"/>
        <v>97.862350000000006</v>
      </c>
    </row>
    <row r="12" spans="1:16" x14ac:dyDescent="0.25">
      <c r="A12" s="2" t="s">
        <v>38</v>
      </c>
      <c r="B12" s="40">
        <v>697.6874499999999</v>
      </c>
      <c r="C12" s="40">
        <v>0</v>
      </c>
      <c r="D12" s="40">
        <v>77.910749999999993</v>
      </c>
      <c r="E12" s="40">
        <v>0</v>
      </c>
      <c r="F12" s="40">
        <v>0</v>
      </c>
      <c r="G12" s="40">
        <v>47.406849999999999</v>
      </c>
      <c r="H12" s="41">
        <f t="shared" si="0"/>
        <v>823.00504999999987</v>
      </c>
      <c r="I12" s="40">
        <v>0</v>
      </c>
      <c r="J12" s="40">
        <v>0</v>
      </c>
      <c r="K12" s="40">
        <v>0</v>
      </c>
      <c r="L12" s="40">
        <v>306.73470000000003</v>
      </c>
      <c r="M12" s="40">
        <v>0</v>
      </c>
      <c r="N12" s="40">
        <v>0</v>
      </c>
      <c r="O12" s="40">
        <v>0</v>
      </c>
      <c r="P12" s="41">
        <f t="shared" si="1"/>
        <v>306.73470000000003</v>
      </c>
    </row>
    <row r="13" spans="1:16" x14ac:dyDescent="0.25">
      <c r="A13" s="2" t="s">
        <v>6</v>
      </c>
      <c r="B13" s="40">
        <v>2335.7104800000002</v>
      </c>
      <c r="C13" s="40">
        <v>10.4826</v>
      </c>
      <c r="D13" s="40">
        <v>472.72604999999999</v>
      </c>
      <c r="E13" s="40">
        <v>11.04175</v>
      </c>
      <c r="F13" s="40">
        <v>0</v>
      </c>
      <c r="G13" s="40">
        <v>153.40539999999999</v>
      </c>
      <c r="H13" s="41">
        <f t="shared" si="0"/>
        <v>2983.3662800000002</v>
      </c>
      <c r="I13" s="40">
        <v>0</v>
      </c>
      <c r="J13" s="40">
        <v>10.4826</v>
      </c>
      <c r="K13" s="40">
        <v>0</v>
      </c>
      <c r="L13" s="40">
        <v>2464.1296299999999</v>
      </c>
      <c r="M13" s="40">
        <v>11.776350000000001</v>
      </c>
      <c r="N13" s="40">
        <v>60</v>
      </c>
      <c r="O13" s="40">
        <v>0</v>
      </c>
      <c r="P13" s="41">
        <f t="shared" si="1"/>
        <v>2546.3885799999998</v>
      </c>
    </row>
    <row r="14" spans="1:16" x14ac:dyDescent="0.25">
      <c r="A14" s="2" t="s">
        <v>39</v>
      </c>
      <c r="B14" s="40">
        <v>508.80326000000002</v>
      </c>
      <c r="C14" s="40">
        <v>116.77315</v>
      </c>
      <c r="D14" s="40">
        <v>14.7187</v>
      </c>
      <c r="E14" s="40">
        <v>42.496600000000001</v>
      </c>
      <c r="F14" s="40">
        <v>0</v>
      </c>
      <c r="G14" s="40">
        <v>234.81299999999999</v>
      </c>
      <c r="H14" s="41">
        <f t="shared" si="0"/>
        <v>917.60470999999995</v>
      </c>
      <c r="I14" s="40">
        <v>0</v>
      </c>
      <c r="J14" s="40">
        <v>116.77315</v>
      </c>
      <c r="K14" s="40">
        <v>0</v>
      </c>
      <c r="L14" s="40">
        <v>445.04935</v>
      </c>
      <c r="M14" s="40">
        <v>6.3820500000000004</v>
      </c>
      <c r="N14" s="40">
        <v>0</v>
      </c>
      <c r="O14" s="40">
        <v>0</v>
      </c>
      <c r="P14" s="41">
        <f t="shared" si="1"/>
        <v>568.20455000000004</v>
      </c>
    </row>
    <row r="15" spans="1:16" x14ac:dyDescent="0.25">
      <c r="A15" s="2" t="s">
        <v>40</v>
      </c>
      <c r="B15" s="40">
        <v>91.927499999999995</v>
      </c>
      <c r="C15" s="40">
        <v>0</v>
      </c>
      <c r="D15" s="40">
        <v>65.34648</v>
      </c>
      <c r="E15" s="40">
        <v>0</v>
      </c>
      <c r="F15" s="40">
        <v>0</v>
      </c>
      <c r="G15" s="40">
        <v>77.888899999999992</v>
      </c>
      <c r="H15" s="41">
        <f t="shared" si="0"/>
        <v>235.16287999999997</v>
      </c>
      <c r="I15" s="40">
        <v>13.5</v>
      </c>
      <c r="J15" s="40">
        <v>0</v>
      </c>
      <c r="K15" s="40">
        <v>0</v>
      </c>
      <c r="L15" s="40">
        <v>30.68815</v>
      </c>
      <c r="M15" s="40">
        <v>0</v>
      </c>
      <c r="N15" s="40">
        <v>0</v>
      </c>
      <c r="O15" s="40">
        <v>0</v>
      </c>
      <c r="P15" s="41">
        <f t="shared" si="1"/>
        <v>44.18815</v>
      </c>
    </row>
    <row r="16" spans="1:16" x14ac:dyDescent="0.25">
      <c r="A16" s="2" t="s">
        <v>41</v>
      </c>
      <c r="B16" s="40">
        <v>241.66804999999999</v>
      </c>
      <c r="C16" s="40">
        <v>0</v>
      </c>
      <c r="D16" s="40">
        <v>22.145099999999999</v>
      </c>
      <c r="E16" s="40">
        <v>0</v>
      </c>
      <c r="F16" s="40">
        <v>0</v>
      </c>
      <c r="G16" s="40">
        <v>0</v>
      </c>
      <c r="H16" s="41">
        <f t="shared" si="0"/>
        <v>263.81315000000001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1">
        <f t="shared" si="1"/>
        <v>0</v>
      </c>
    </row>
    <row r="17" spans="1:16" x14ac:dyDescent="0.25">
      <c r="A17" s="2" t="s">
        <v>27</v>
      </c>
      <c r="B17" s="40">
        <v>21123.593399999998</v>
      </c>
      <c r="C17" s="40">
        <v>0</v>
      </c>
      <c r="D17" s="40">
        <v>1681.4879900000001</v>
      </c>
      <c r="E17" s="40">
        <v>106.49130000000001</v>
      </c>
      <c r="F17" s="40">
        <v>75</v>
      </c>
      <c r="G17" s="40">
        <v>11039.08517</v>
      </c>
      <c r="H17" s="41">
        <f t="shared" si="0"/>
        <v>34025.657859999999</v>
      </c>
      <c r="I17" s="40">
        <v>0</v>
      </c>
      <c r="J17" s="40">
        <v>0</v>
      </c>
      <c r="K17" s="40">
        <v>0</v>
      </c>
      <c r="L17" s="40">
        <v>9734.7058000000015</v>
      </c>
      <c r="M17" s="40">
        <v>712.21759999999995</v>
      </c>
      <c r="N17" s="40">
        <v>0</v>
      </c>
      <c r="O17" s="40">
        <v>0</v>
      </c>
      <c r="P17" s="41">
        <f t="shared" si="1"/>
        <v>10446.923400000001</v>
      </c>
    </row>
    <row r="18" spans="1:16" x14ac:dyDescent="0.25">
      <c r="A18" s="2" t="s">
        <v>7</v>
      </c>
      <c r="B18" s="40">
        <v>8184.93995</v>
      </c>
      <c r="C18" s="40">
        <v>0</v>
      </c>
      <c r="D18" s="40">
        <v>1362.9047499999999</v>
      </c>
      <c r="E18" s="40">
        <v>0</v>
      </c>
      <c r="F18" s="40">
        <v>0</v>
      </c>
      <c r="G18" s="40">
        <v>200</v>
      </c>
      <c r="H18" s="41">
        <f t="shared" si="0"/>
        <v>9747.8446999999996</v>
      </c>
      <c r="I18" s="40">
        <v>0</v>
      </c>
      <c r="J18" s="40">
        <v>0</v>
      </c>
      <c r="K18" s="40">
        <v>0</v>
      </c>
      <c r="L18" s="40">
        <v>1825.4817499999999</v>
      </c>
      <c r="M18" s="40">
        <v>0</v>
      </c>
      <c r="N18" s="40">
        <v>0</v>
      </c>
      <c r="O18" s="40">
        <v>0</v>
      </c>
      <c r="P18" s="41">
        <f t="shared" si="1"/>
        <v>1825.4817499999999</v>
      </c>
    </row>
    <row r="19" spans="1:16" x14ac:dyDescent="0.25">
      <c r="A19" s="2" t="s">
        <v>42</v>
      </c>
      <c r="B19" s="40">
        <v>682.30818999999997</v>
      </c>
      <c r="C19" s="40">
        <v>0</v>
      </c>
      <c r="D19" s="40">
        <v>35.540900000000001</v>
      </c>
      <c r="E19" s="40">
        <v>-10</v>
      </c>
      <c r="F19" s="40">
        <v>0</v>
      </c>
      <c r="G19" s="40">
        <v>853.85194999999999</v>
      </c>
      <c r="H19" s="41">
        <f t="shared" si="0"/>
        <v>1561.7010399999999</v>
      </c>
      <c r="I19" s="40">
        <v>171</v>
      </c>
      <c r="J19" s="40">
        <v>0</v>
      </c>
      <c r="K19" s="40">
        <v>0</v>
      </c>
      <c r="L19" s="40">
        <v>60.4514</v>
      </c>
      <c r="M19" s="40">
        <v>7</v>
      </c>
      <c r="N19" s="40">
        <v>0</v>
      </c>
      <c r="O19" s="40">
        <v>0</v>
      </c>
      <c r="P19" s="41">
        <f t="shared" si="1"/>
        <v>238.45140000000001</v>
      </c>
    </row>
    <row r="20" spans="1:16" x14ac:dyDescent="0.25">
      <c r="A20" s="2" t="s">
        <v>43</v>
      </c>
      <c r="B20" s="40">
        <v>601.78300000000002</v>
      </c>
      <c r="C20" s="40">
        <v>0</v>
      </c>
      <c r="D20" s="40">
        <v>247.31586999999999</v>
      </c>
      <c r="E20" s="40">
        <v>0</v>
      </c>
      <c r="F20" s="40">
        <v>0</v>
      </c>
      <c r="G20" s="40">
        <v>0</v>
      </c>
      <c r="H20" s="41">
        <f t="shared" si="0"/>
        <v>849.09887000000003</v>
      </c>
      <c r="I20" s="40">
        <v>0</v>
      </c>
      <c r="J20" s="40">
        <v>0</v>
      </c>
      <c r="K20" s="40">
        <v>0</v>
      </c>
      <c r="L20" s="40">
        <v>83.108399999999989</v>
      </c>
      <c r="M20" s="40">
        <v>0</v>
      </c>
      <c r="N20" s="40">
        <v>0</v>
      </c>
      <c r="O20" s="40">
        <v>0</v>
      </c>
      <c r="P20" s="41">
        <f t="shared" si="1"/>
        <v>83.108399999999989</v>
      </c>
    </row>
    <row r="21" spans="1:16" x14ac:dyDescent="0.25">
      <c r="A21" s="2" t="s">
        <v>44</v>
      </c>
      <c r="B21" s="40">
        <v>4993.9429299999993</v>
      </c>
      <c r="C21" s="40">
        <v>0</v>
      </c>
      <c r="D21" s="40">
        <v>6.8102999999999998</v>
      </c>
      <c r="E21" s="40">
        <v>0</v>
      </c>
      <c r="F21" s="40">
        <v>0</v>
      </c>
      <c r="G21" s="40">
        <v>162.97063</v>
      </c>
      <c r="H21" s="41">
        <f t="shared" si="0"/>
        <v>5163.7238599999991</v>
      </c>
      <c r="I21" s="40">
        <v>1.2</v>
      </c>
      <c r="J21" s="40">
        <v>0</v>
      </c>
      <c r="K21" s="40">
        <v>0</v>
      </c>
      <c r="L21" s="40">
        <v>3456.80413</v>
      </c>
      <c r="M21" s="40">
        <v>0</v>
      </c>
      <c r="N21" s="40">
        <v>0</v>
      </c>
      <c r="O21" s="40">
        <v>0</v>
      </c>
      <c r="P21" s="41">
        <f t="shared" si="1"/>
        <v>3458.0041299999998</v>
      </c>
    </row>
    <row r="22" spans="1:16" x14ac:dyDescent="0.25">
      <c r="A22" s="2" t="s">
        <v>8</v>
      </c>
      <c r="B22" s="40">
        <v>1137.1899699999999</v>
      </c>
      <c r="C22" s="40">
        <v>0</v>
      </c>
      <c r="D22" s="40">
        <v>27.004999999999999</v>
      </c>
      <c r="E22" s="40">
        <v>0</v>
      </c>
      <c r="F22" s="40">
        <v>0</v>
      </c>
      <c r="G22" s="40">
        <v>41.7883</v>
      </c>
      <c r="H22" s="41">
        <f t="shared" si="0"/>
        <v>1205.9832699999999</v>
      </c>
      <c r="I22" s="40">
        <v>0</v>
      </c>
      <c r="J22" s="40">
        <v>0</v>
      </c>
      <c r="K22" s="40">
        <v>0</v>
      </c>
      <c r="L22" s="40">
        <v>595.60067000000004</v>
      </c>
      <c r="M22" s="40">
        <v>0</v>
      </c>
      <c r="N22" s="40">
        <v>0</v>
      </c>
      <c r="O22" s="40">
        <v>0</v>
      </c>
      <c r="P22" s="41">
        <f t="shared" si="1"/>
        <v>595.60067000000004</v>
      </c>
    </row>
    <row r="23" spans="1:16" x14ac:dyDescent="0.25">
      <c r="A23" s="2" t="s">
        <v>45</v>
      </c>
      <c r="B23" s="40">
        <v>279.65259999999995</v>
      </c>
      <c r="C23" s="40">
        <v>0</v>
      </c>
      <c r="D23" s="40">
        <v>17.492249999999999</v>
      </c>
      <c r="E23" s="40">
        <v>0</v>
      </c>
      <c r="F23" s="40">
        <v>0</v>
      </c>
      <c r="G23" s="40">
        <v>0</v>
      </c>
      <c r="H23" s="41">
        <f t="shared" si="0"/>
        <v>297.14484999999996</v>
      </c>
      <c r="I23" s="40">
        <v>0</v>
      </c>
      <c r="J23" s="40">
        <v>0</v>
      </c>
      <c r="K23" s="40">
        <v>0</v>
      </c>
      <c r="L23" s="40">
        <v>56</v>
      </c>
      <c r="M23" s="40">
        <v>0</v>
      </c>
      <c r="N23" s="40">
        <v>0</v>
      </c>
      <c r="O23" s="40">
        <v>0</v>
      </c>
      <c r="P23" s="41">
        <f t="shared" si="1"/>
        <v>56</v>
      </c>
    </row>
    <row r="24" spans="1:16" x14ac:dyDescent="0.25">
      <c r="A24" s="2" t="s">
        <v>46</v>
      </c>
      <c r="B24" s="40">
        <v>3135.7497499999999</v>
      </c>
      <c r="C24" s="40">
        <v>0</v>
      </c>
      <c r="D24" s="40">
        <v>301.69754999999998</v>
      </c>
      <c r="E24" s="40">
        <v>0</v>
      </c>
      <c r="F24" s="40">
        <v>0</v>
      </c>
      <c r="G24" s="40">
        <v>301.6771</v>
      </c>
      <c r="H24" s="41">
        <f t="shared" si="0"/>
        <v>3739.1243999999997</v>
      </c>
      <c r="I24" s="40">
        <v>0</v>
      </c>
      <c r="J24" s="40">
        <v>0</v>
      </c>
      <c r="K24" s="40">
        <v>0</v>
      </c>
      <c r="L24" s="40">
        <v>1912.3655000000001</v>
      </c>
      <c r="M24" s="40">
        <v>0</v>
      </c>
      <c r="N24" s="40">
        <v>0</v>
      </c>
      <c r="O24" s="40">
        <v>0</v>
      </c>
      <c r="P24" s="41">
        <f t="shared" si="1"/>
        <v>1912.3655000000001</v>
      </c>
    </row>
    <row r="25" spans="1:16" x14ac:dyDescent="0.25">
      <c r="A25" s="2" t="s">
        <v>47</v>
      </c>
      <c r="B25" s="40">
        <v>315.54755</v>
      </c>
      <c r="C25" s="40">
        <v>0</v>
      </c>
      <c r="D25" s="40">
        <v>18.810599999999997</v>
      </c>
      <c r="E25" s="40">
        <v>0</v>
      </c>
      <c r="F25" s="40">
        <v>0</v>
      </c>
      <c r="G25" s="40">
        <v>40.592400000000005</v>
      </c>
      <c r="H25" s="41">
        <f t="shared" si="0"/>
        <v>374.95055000000002</v>
      </c>
      <c r="I25" s="40">
        <v>0</v>
      </c>
      <c r="J25" s="40">
        <v>0</v>
      </c>
      <c r="K25" s="40">
        <v>0</v>
      </c>
      <c r="L25" s="40">
        <v>139.56704999999999</v>
      </c>
      <c r="M25" s="40">
        <v>0</v>
      </c>
      <c r="N25" s="40">
        <v>23</v>
      </c>
      <c r="O25" s="40">
        <v>0</v>
      </c>
      <c r="P25" s="41">
        <f t="shared" si="1"/>
        <v>162.56704999999999</v>
      </c>
    </row>
    <row r="26" spans="1:16" x14ac:dyDescent="0.25">
      <c r="A26" s="2" t="s">
        <v>48</v>
      </c>
      <c r="B26" s="40">
        <v>3843.6485699999998</v>
      </c>
      <c r="C26" s="40">
        <v>0</v>
      </c>
      <c r="D26" s="40">
        <v>363.59555</v>
      </c>
      <c r="E26" s="40">
        <v>0</v>
      </c>
      <c r="F26" s="40">
        <v>0</v>
      </c>
      <c r="G26" s="40">
        <v>174.41920000000002</v>
      </c>
      <c r="H26" s="41">
        <f t="shared" si="0"/>
        <v>4381.6633199999997</v>
      </c>
      <c r="I26" s="40">
        <v>0</v>
      </c>
      <c r="J26" s="40">
        <v>0</v>
      </c>
      <c r="K26" s="40">
        <v>0</v>
      </c>
      <c r="L26" s="40">
        <v>104.49969999999999</v>
      </c>
      <c r="M26" s="40">
        <v>0</v>
      </c>
      <c r="N26" s="40">
        <v>0</v>
      </c>
      <c r="O26" s="40">
        <v>0</v>
      </c>
      <c r="P26" s="41">
        <f t="shared" si="1"/>
        <v>104.49969999999999</v>
      </c>
    </row>
    <row r="27" spans="1:16" x14ac:dyDescent="0.25">
      <c r="A27" s="2" t="s">
        <v>49</v>
      </c>
      <c r="B27" s="40">
        <v>1634.67698</v>
      </c>
      <c r="C27" s="40">
        <v>0</v>
      </c>
      <c r="D27" s="40">
        <v>43.902500000000003</v>
      </c>
      <c r="E27" s="40">
        <v>0</v>
      </c>
      <c r="F27" s="40">
        <v>0</v>
      </c>
      <c r="G27" s="40">
        <v>0</v>
      </c>
      <c r="H27" s="41">
        <f t="shared" si="0"/>
        <v>1678.5794799999999</v>
      </c>
      <c r="I27" s="40">
        <v>0</v>
      </c>
      <c r="J27" s="40">
        <v>0</v>
      </c>
      <c r="K27" s="40">
        <v>0</v>
      </c>
      <c r="L27" s="40">
        <v>580.91665</v>
      </c>
      <c r="M27" s="40">
        <v>0</v>
      </c>
      <c r="N27" s="40">
        <v>0</v>
      </c>
      <c r="O27" s="40">
        <v>0</v>
      </c>
      <c r="P27" s="41">
        <f t="shared" si="1"/>
        <v>580.91665</v>
      </c>
    </row>
    <row r="28" spans="1:16" x14ac:dyDescent="0.25">
      <c r="A28" s="2" t="s">
        <v>50</v>
      </c>
      <c r="B28" s="40">
        <v>1082.9341999999999</v>
      </c>
      <c r="C28" s="40">
        <v>0</v>
      </c>
      <c r="D28" s="40">
        <v>179.44139999999999</v>
      </c>
      <c r="E28" s="40">
        <v>0</v>
      </c>
      <c r="F28" s="40">
        <v>0</v>
      </c>
      <c r="G28" s="40">
        <v>106.58805000000001</v>
      </c>
      <c r="H28" s="41">
        <f t="shared" si="0"/>
        <v>1368.9636499999999</v>
      </c>
      <c r="I28" s="40">
        <v>0</v>
      </c>
      <c r="J28" s="40">
        <v>0</v>
      </c>
      <c r="K28" s="40">
        <v>0</v>
      </c>
      <c r="L28" s="40">
        <v>368</v>
      </c>
      <c r="M28" s="40">
        <v>12.5</v>
      </c>
      <c r="N28" s="40">
        <v>0</v>
      </c>
      <c r="O28" s="40">
        <v>0</v>
      </c>
      <c r="P28" s="41">
        <f t="shared" si="1"/>
        <v>380.5</v>
      </c>
    </row>
    <row r="29" spans="1:16" x14ac:dyDescent="0.25">
      <c r="A29" s="2" t="s">
        <v>51</v>
      </c>
      <c r="B29" s="40">
        <v>749.21437000000003</v>
      </c>
      <c r="C29" s="40">
        <v>0</v>
      </c>
      <c r="D29" s="40">
        <v>0</v>
      </c>
      <c r="E29" s="40">
        <v>0</v>
      </c>
      <c r="F29" s="40">
        <v>0</v>
      </c>
      <c r="G29" s="40">
        <v>263.93369999999999</v>
      </c>
      <c r="H29" s="41">
        <f t="shared" si="0"/>
        <v>1013.14807</v>
      </c>
      <c r="I29" s="40">
        <v>0</v>
      </c>
      <c r="J29" s="40">
        <v>0</v>
      </c>
      <c r="K29" s="40">
        <v>0</v>
      </c>
      <c r="L29" s="40">
        <v>301.24629999999996</v>
      </c>
      <c r="M29" s="40">
        <v>0</v>
      </c>
      <c r="N29" s="40">
        <v>0</v>
      </c>
      <c r="O29" s="40">
        <v>0</v>
      </c>
      <c r="P29" s="41">
        <f t="shared" si="1"/>
        <v>301.24629999999996</v>
      </c>
    </row>
    <row r="30" spans="1:16" x14ac:dyDescent="0.25">
      <c r="A30" s="2" t="s">
        <v>52</v>
      </c>
      <c r="B30" s="40">
        <v>2283.3527999999997</v>
      </c>
      <c r="C30" s="40">
        <v>0</v>
      </c>
      <c r="D30" s="40">
        <v>162.73554999999999</v>
      </c>
      <c r="E30" s="40">
        <v>0</v>
      </c>
      <c r="F30" s="40">
        <v>0</v>
      </c>
      <c r="G30" s="40">
        <v>98.003249999999994</v>
      </c>
      <c r="H30" s="41">
        <f t="shared" si="0"/>
        <v>2544.0915999999997</v>
      </c>
      <c r="I30" s="40">
        <v>0</v>
      </c>
      <c r="J30" s="40">
        <v>0</v>
      </c>
      <c r="K30" s="40">
        <v>0</v>
      </c>
      <c r="L30" s="40">
        <v>238.75560000000002</v>
      </c>
      <c r="M30" s="40">
        <v>0</v>
      </c>
      <c r="N30" s="40">
        <v>0</v>
      </c>
      <c r="O30" s="40">
        <v>0</v>
      </c>
      <c r="P30" s="41">
        <f t="shared" si="1"/>
        <v>238.75560000000002</v>
      </c>
    </row>
    <row r="31" spans="1:16" x14ac:dyDescent="0.25">
      <c r="A31" s="2" t="s">
        <v>9</v>
      </c>
      <c r="B31" s="40">
        <v>169.44614999999999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1">
        <f t="shared" si="0"/>
        <v>169.44614999999999</v>
      </c>
      <c r="I31" s="40">
        <v>0</v>
      </c>
      <c r="J31" s="40">
        <v>0</v>
      </c>
      <c r="K31" s="40">
        <v>0</v>
      </c>
      <c r="L31" s="40">
        <v>54.358150000000002</v>
      </c>
      <c r="M31" s="40">
        <v>0</v>
      </c>
      <c r="N31" s="40">
        <v>0</v>
      </c>
      <c r="O31" s="40">
        <v>0</v>
      </c>
      <c r="P31" s="41">
        <f t="shared" si="1"/>
        <v>54.358150000000002</v>
      </c>
    </row>
    <row r="32" spans="1:16" x14ac:dyDescent="0.25">
      <c r="A32" s="2" t="s">
        <v>10</v>
      </c>
      <c r="B32" s="40">
        <v>193.8228</v>
      </c>
      <c r="C32" s="40">
        <v>0</v>
      </c>
      <c r="D32" s="40">
        <v>20.81</v>
      </c>
      <c r="E32" s="40">
        <v>0</v>
      </c>
      <c r="F32" s="40">
        <v>0</v>
      </c>
      <c r="G32" s="40">
        <v>414.40959999999995</v>
      </c>
      <c r="H32" s="41">
        <f t="shared" si="0"/>
        <v>629.04239999999993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1">
        <f t="shared" si="1"/>
        <v>0</v>
      </c>
    </row>
    <row r="33" spans="1:16" x14ac:dyDescent="0.25">
      <c r="A33" s="2" t="s">
        <v>53</v>
      </c>
      <c r="B33" s="40">
        <v>7415.8153600000005</v>
      </c>
      <c r="C33" s="40">
        <v>0</v>
      </c>
      <c r="D33" s="40">
        <v>425.41654999999997</v>
      </c>
      <c r="E33" s="40">
        <v>0</v>
      </c>
      <c r="F33" s="40">
        <v>0</v>
      </c>
      <c r="G33" s="40">
        <v>559.9926999999999</v>
      </c>
      <c r="H33" s="41">
        <f t="shared" si="0"/>
        <v>8401.2246100000011</v>
      </c>
      <c r="I33" s="40">
        <v>0</v>
      </c>
      <c r="J33" s="40">
        <v>0</v>
      </c>
      <c r="K33" s="40">
        <v>0</v>
      </c>
      <c r="L33" s="40">
        <v>5574.5523899999998</v>
      </c>
      <c r="M33" s="40">
        <v>5</v>
      </c>
      <c r="N33" s="40">
        <v>0</v>
      </c>
      <c r="O33" s="40">
        <v>0</v>
      </c>
      <c r="P33" s="41">
        <f t="shared" si="1"/>
        <v>5579.5523899999998</v>
      </c>
    </row>
    <row r="34" spans="1:16" x14ac:dyDescent="0.25">
      <c r="A34" s="2" t="s">
        <v>54</v>
      </c>
      <c r="B34" s="40">
        <v>3983.65065</v>
      </c>
      <c r="C34" s="40">
        <v>0</v>
      </c>
      <c r="D34" s="40">
        <v>223.20664000000002</v>
      </c>
      <c r="E34" s="40">
        <v>0</v>
      </c>
      <c r="F34" s="40">
        <v>0</v>
      </c>
      <c r="G34" s="40">
        <v>359.71805999999998</v>
      </c>
      <c r="H34" s="41">
        <f t="shared" si="0"/>
        <v>4566.5753500000001</v>
      </c>
      <c r="I34" s="40">
        <v>0</v>
      </c>
      <c r="J34" s="40">
        <v>0</v>
      </c>
      <c r="K34" s="40">
        <v>0</v>
      </c>
      <c r="L34" s="40">
        <v>-1118.7231999999999</v>
      </c>
      <c r="M34" s="40">
        <v>4.7003000000000004</v>
      </c>
      <c r="N34" s="40">
        <v>0</v>
      </c>
      <c r="O34" s="40">
        <v>0</v>
      </c>
      <c r="P34" s="41">
        <f t="shared" si="1"/>
        <v>-1114.0228999999999</v>
      </c>
    </row>
    <row r="35" spans="1:16" x14ac:dyDescent="0.25">
      <c r="A35" s="2" t="s">
        <v>55</v>
      </c>
      <c r="B35" s="40">
        <v>2346.5689300000004</v>
      </c>
      <c r="C35" s="40">
        <v>0</v>
      </c>
      <c r="D35" s="40">
        <v>194.16818000000001</v>
      </c>
      <c r="E35" s="40">
        <v>21</v>
      </c>
      <c r="F35" s="40">
        <v>0</v>
      </c>
      <c r="G35" s="40">
        <v>290.44409999999999</v>
      </c>
      <c r="H35" s="41">
        <f t="shared" ref="H35:H66" si="2">SUM(B35:G35)</f>
        <v>2852.1812100000006</v>
      </c>
      <c r="I35" s="40">
        <v>0</v>
      </c>
      <c r="J35" s="40">
        <v>0</v>
      </c>
      <c r="K35" s="40">
        <v>0</v>
      </c>
      <c r="L35" s="40">
        <v>898.0328199999999</v>
      </c>
      <c r="M35" s="40">
        <v>7</v>
      </c>
      <c r="N35" s="40">
        <v>0</v>
      </c>
      <c r="O35" s="40">
        <v>0</v>
      </c>
      <c r="P35" s="41">
        <f t="shared" si="1"/>
        <v>905.0328199999999</v>
      </c>
    </row>
    <row r="36" spans="1:16" x14ac:dyDescent="0.25">
      <c r="A36" s="2" t="s">
        <v>56</v>
      </c>
      <c r="B36" s="40">
        <v>2495.8200999999999</v>
      </c>
      <c r="C36" s="40">
        <v>0</v>
      </c>
      <c r="D36" s="40">
        <v>20</v>
      </c>
      <c r="E36" s="40">
        <v>0</v>
      </c>
      <c r="F36" s="40">
        <v>0</v>
      </c>
      <c r="G36" s="40">
        <v>49.048830000000002</v>
      </c>
      <c r="H36" s="41">
        <f t="shared" si="2"/>
        <v>2564.8689300000001</v>
      </c>
      <c r="I36" s="40">
        <v>0</v>
      </c>
      <c r="J36" s="40">
        <v>0</v>
      </c>
      <c r="K36" s="40">
        <v>0</v>
      </c>
      <c r="L36" s="40">
        <v>1091.2674500000001</v>
      </c>
      <c r="M36" s="40">
        <v>0</v>
      </c>
      <c r="N36" s="40">
        <v>0</v>
      </c>
      <c r="O36" s="40">
        <v>0</v>
      </c>
      <c r="P36" s="41">
        <f t="shared" si="1"/>
        <v>1091.2674500000001</v>
      </c>
    </row>
    <row r="37" spans="1:16" x14ac:dyDescent="0.25">
      <c r="A37" s="2" t="s">
        <v>57</v>
      </c>
      <c r="B37" s="40">
        <v>437.0933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1">
        <f t="shared" si="2"/>
        <v>437.0933</v>
      </c>
      <c r="I37" s="40">
        <v>0</v>
      </c>
      <c r="J37" s="40">
        <v>0</v>
      </c>
      <c r="K37" s="40">
        <v>0</v>
      </c>
      <c r="L37" s="40">
        <v>257</v>
      </c>
      <c r="M37" s="40">
        <v>0</v>
      </c>
      <c r="N37" s="40">
        <v>0</v>
      </c>
      <c r="O37" s="40">
        <v>0</v>
      </c>
      <c r="P37" s="41">
        <f t="shared" si="1"/>
        <v>257</v>
      </c>
    </row>
    <row r="38" spans="1:16" x14ac:dyDescent="0.25">
      <c r="A38" s="2" t="s">
        <v>58</v>
      </c>
      <c r="B38" s="40">
        <v>619.99757</v>
      </c>
      <c r="C38" s="40">
        <v>0</v>
      </c>
      <c r="D38" s="40">
        <v>27.149349999999998</v>
      </c>
      <c r="E38" s="40">
        <v>0</v>
      </c>
      <c r="F38" s="40">
        <v>0</v>
      </c>
      <c r="G38" s="40">
        <v>104.41849999999999</v>
      </c>
      <c r="H38" s="41">
        <f t="shared" si="2"/>
        <v>751.56542000000002</v>
      </c>
      <c r="I38" s="40">
        <v>0</v>
      </c>
      <c r="J38" s="40">
        <v>0</v>
      </c>
      <c r="K38" s="40">
        <v>0</v>
      </c>
      <c r="L38" s="40">
        <v>248.08</v>
      </c>
      <c r="M38" s="40">
        <v>0</v>
      </c>
      <c r="N38" s="40">
        <v>0</v>
      </c>
      <c r="O38" s="40">
        <v>0</v>
      </c>
      <c r="P38" s="41">
        <f t="shared" si="1"/>
        <v>248.08</v>
      </c>
    </row>
    <row r="39" spans="1:16" x14ac:dyDescent="0.25">
      <c r="A39" s="2" t="s">
        <v>11</v>
      </c>
      <c r="B39" s="40">
        <v>7483.4612999999999</v>
      </c>
      <c r="C39" s="40">
        <v>0</v>
      </c>
      <c r="D39" s="40">
        <v>309.34409000000005</v>
      </c>
      <c r="E39" s="40">
        <v>0</v>
      </c>
      <c r="F39" s="40">
        <v>0</v>
      </c>
      <c r="G39" s="40">
        <v>212.72014999999999</v>
      </c>
      <c r="H39" s="41">
        <f t="shared" si="2"/>
        <v>8005.5255399999996</v>
      </c>
      <c r="I39" s="40">
        <v>0</v>
      </c>
      <c r="J39" s="40">
        <v>88.2</v>
      </c>
      <c r="K39" s="40">
        <v>0</v>
      </c>
      <c r="L39" s="40">
        <v>941.05134999999996</v>
      </c>
      <c r="M39" s="40">
        <v>180</v>
      </c>
      <c r="N39" s="40">
        <v>0</v>
      </c>
      <c r="O39" s="40">
        <v>0</v>
      </c>
      <c r="P39" s="41">
        <f t="shared" si="1"/>
        <v>1209.25135</v>
      </c>
    </row>
    <row r="40" spans="1:16" x14ac:dyDescent="0.25">
      <c r="A40" s="3" t="s">
        <v>59</v>
      </c>
      <c r="B40" s="40">
        <v>956.95752000000005</v>
      </c>
      <c r="C40" s="40">
        <v>0</v>
      </c>
      <c r="D40" s="40">
        <v>159.0719</v>
      </c>
      <c r="E40" s="40">
        <v>20</v>
      </c>
      <c r="F40" s="40">
        <v>0</v>
      </c>
      <c r="G40" s="40">
        <v>340.65904999999998</v>
      </c>
      <c r="H40" s="41">
        <f t="shared" si="2"/>
        <v>1476.6884700000001</v>
      </c>
      <c r="I40" s="40">
        <v>0</v>
      </c>
      <c r="J40" s="40">
        <v>85.837450000000004</v>
      </c>
      <c r="K40" s="40">
        <v>0</v>
      </c>
      <c r="L40" s="40">
        <v>141.69970000000001</v>
      </c>
      <c r="M40" s="40">
        <v>0</v>
      </c>
      <c r="N40" s="40">
        <v>0</v>
      </c>
      <c r="O40" s="40">
        <v>0</v>
      </c>
      <c r="P40" s="41">
        <f t="shared" si="1"/>
        <v>227.53715</v>
      </c>
    </row>
    <row r="41" spans="1:16" x14ac:dyDescent="0.25">
      <c r="A41" s="2" t="s">
        <v>60</v>
      </c>
      <c r="B41" s="40">
        <v>3468.0237099999999</v>
      </c>
      <c r="C41" s="40">
        <v>0</v>
      </c>
      <c r="D41" s="40">
        <v>491.72409000000005</v>
      </c>
      <c r="E41" s="40">
        <v>0</v>
      </c>
      <c r="F41" s="40">
        <v>0</v>
      </c>
      <c r="G41" s="40">
        <v>897.9606</v>
      </c>
      <c r="H41" s="41">
        <f t="shared" si="2"/>
        <v>4857.7084000000004</v>
      </c>
      <c r="I41" s="40">
        <v>0</v>
      </c>
      <c r="J41" s="40">
        <v>0</v>
      </c>
      <c r="K41" s="40">
        <v>0</v>
      </c>
      <c r="L41" s="40">
        <v>302.92157000000003</v>
      </c>
      <c r="M41" s="40">
        <v>0</v>
      </c>
      <c r="N41" s="40">
        <v>0</v>
      </c>
      <c r="O41" s="40">
        <v>0</v>
      </c>
      <c r="P41" s="41">
        <f t="shared" si="1"/>
        <v>302.92157000000003</v>
      </c>
    </row>
    <row r="42" spans="1:16" x14ac:dyDescent="0.25">
      <c r="A42" s="2" t="s">
        <v>61</v>
      </c>
      <c r="B42" s="40">
        <v>364.89141999999998</v>
      </c>
      <c r="C42" s="40">
        <v>0</v>
      </c>
      <c r="D42" s="40">
        <v>414.46589</v>
      </c>
      <c r="E42" s="40">
        <v>0</v>
      </c>
      <c r="F42" s="40">
        <v>0</v>
      </c>
      <c r="G42" s="40">
        <v>262.56900000000002</v>
      </c>
      <c r="H42" s="41">
        <f t="shared" si="2"/>
        <v>1041.9263100000001</v>
      </c>
      <c r="I42" s="40">
        <v>1E-3</v>
      </c>
      <c r="J42" s="40">
        <v>0</v>
      </c>
      <c r="K42" s="40">
        <v>0</v>
      </c>
      <c r="L42" s="40">
        <v>105.0264</v>
      </c>
      <c r="M42" s="40">
        <v>0</v>
      </c>
      <c r="N42" s="40">
        <v>0</v>
      </c>
      <c r="O42" s="40">
        <v>0</v>
      </c>
      <c r="P42" s="41">
        <f t="shared" si="1"/>
        <v>105.0274</v>
      </c>
    </row>
    <row r="43" spans="1:16" x14ac:dyDescent="0.25">
      <c r="A43" s="2" t="s">
        <v>62</v>
      </c>
      <c r="B43" s="40">
        <v>1389.45875</v>
      </c>
      <c r="C43" s="40">
        <v>0</v>
      </c>
      <c r="D43" s="40">
        <v>94.69435</v>
      </c>
      <c r="E43" s="40">
        <v>0</v>
      </c>
      <c r="F43" s="40">
        <v>0</v>
      </c>
      <c r="G43" s="40">
        <v>138.59345000000002</v>
      </c>
      <c r="H43" s="41">
        <f t="shared" si="2"/>
        <v>1622.7465500000001</v>
      </c>
      <c r="I43" s="40">
        <v>0</v>
      </c>
      <c r="J43" s="40">
        <v>0</v>
      </c>
      <c r="K43" s="40">
        <v>0</v>
      </c>
      <c r="L43" s="40">
        <v>212.69274999999999</v>
      </c>
      <c r="M43" s="40">
        <v>0</v>
      </c>
      <c r="N43" s="40">
        <v>0</v>
      </c>
      <c r="O43" s="40">
        <v>0</v>
      </c>
      <c r="P43" s="41">
        <f t="shared" si="1"/>
        <v>212.69274999999999</v>
      </c>
    </row>
    <row r="44" spans="1:16" x14ac:dyDescent="0.25">
      <c r="A44" s="2" t="s">
        <v>63</v>
      </c>
      <c r="B44" s="40">
        <v>817.39720999999997</v>
      </c>
      <c r="C44" s="40">
        <v>0</v>
      </c>
      <c r="D44" s="40">
        <v>97.29</v>
      </c>
      <c r="E44" s="40">
        <v>0</v>
      </c>
      <c r="F44" s="40">
        <v>0</v>
      </c>
      <c r="G44" s="40">
        <v>221.84229999999999</v>
      </c>
      <c r="H44" s="41">
        <f t="shared" si="2"/>
        <v>1136.5295099999998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1">
        <f t="shared" si="1"/>
        <v>0</v>
      </c>
    </row>
    <row r="45" spans="1:16" x14ac:dyDescent="0.25">
      <c r="A45" s="2" t="s">
        <v>64</v>
      </c>
      <c r="B45" s="40">
        <v>334.81981000000002</v>
      </c>
      <c r="C45" s="40">
        <v>0</v>
      </c>
      <c r="D45" s="40">
        <v>103.9983</v>
      </c>
      <c r="E45" s="40">
        <v>0</v>
      </c>
      <c r="F45" s="40">
        <v>0</v>
      </c>
      <c r="G45" s="40">
        <v>37.865000000000002</v>
      </c>
      <c r="H45" s="41">
        <f t="shared" si="2"/>
        <v>476.68311000000006</v>
      </c>
      <c r="I45" s="40">
        <v>0</v>
      </c>
      <c r="J45" s="40">
        <v>140</v>
      </c>
      <c r="K45" s="40">
        <v>0</v>
      </c>
      <c r="L45" s="40">
        <v>181.36939999999998</v>
      </c>
      <c r="M45" s="40">
        <v>0</v>
      </c>
      <c r="N45" s="40">
        <v>0</v>
      </c>
      <c r="O45" s="40">
        <v>0</v>
      </c>
      <c r="P45" s="41">
        <f t="shared" si="1"/>
        <v>321.36939999999998</v>
      </c>
    </row>
    <row r="46" spans="1:16" x14ac:dyDescent="0.25">
      <c r="A46" s="2" t="s">
        <v>65</v>
      </c>
      <c r="B46" s="40">
        <v>28.293900000000001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1">
        <f t="shared" si="2"/>
        <v>28.293900000000001</v>
      </c>
      <c r="I46" s="40">
        <v>0</v>
      </c>
      <c r="J46" s="40">
        <v>0</v>
      </c>
      <c r="K46" s="40">
        <v>0</v>
      </c>
      <c r="L46" s="40">
        <v>35.484000000000002</v>
      </c>
      <c r="M46" s="40">
        <v>0</v>
      </c>
      <c r="N46" s="40">
        <v>0</v>
      </c>
      <c r="O46" s="40">
        <v>0</v>
      </c>
      <c r="P46" s="41">
        <f t="shared" si="1"/>
        <v>35.484000000000002</v>
      </c>
    </row>
    <row r="47" spans="1:16" x14ac:dyDescent="0.25">
      <c r="A47" s="2" t="s">
        <v>66</v>
      </c>
      <c r="B47" s="40">
        <v>1465.3736000000001</v>
      </c>
      <c r="C47" s="40">
        <v>0</v>
      </c>
      <c r="D47" s="40">
        <v>105.46486</v>
      </c>
      <c r="E47" s="40">
        <v>0</v>
      </c>
      <c r="F47" s="40">
        <v>0</v>
      </c>
      <c r="G47" s="40">
        <v>0</v>
      </c>
      <c r="H47" s="41">
        <f t="shared" si="2"/>
        <v>1570.8384600000002</v>
      </c>
      <c r="I47" s="40">
        <v>0</v>
      </c>
      <c r="J47" s="40">
        <v>0</v>
      </c>
      <c r="K47" s="40">
        <v>0</v>
      </c>
      <c r="L47" s="40">
        <v>539.35969999999998</v>
      </c>
      <c r="M47" s="40">
        <v>0</v>
      </c>
      <c r="N47" s="40">
        <v>0</v>
      </c>
      <c r="O47" s="40">
        <v>0</v>
      </c>
      <c r="P47" s="41">
        <f t="shared" si="1"/>
        <v>539.35969999999998</v>
      </c>
    </row>
    <row r="48" spans="1:16" x14ac:dyDescent="0.25">
      <c r="A48" s="2" t="s">
        <v>67</v>
      </c>
      <c r="B48" s="40">
        <v>5418.1337000000003</v>
      </c>
      <c r="C48" s="40">
        <v>1.7844500000000001</v>
      </c>
      <c r="D48" s="40">
        <v>497.4794</v>
      </c>
      <c r="E48" s="40">
        <v>50</v>
      </c>
      <c r="F48" s="40">
        <v>0</v>
      </c>
      <c r="G48" s="40">
        <v>315.06895000000003</v>
      </c>
      <c r="H48" s="41">
        <f t="shared" si="2"/>
        <v>6282.4665000000005</v>
      </c>
      <c r="I48" s="40">
        <v>0</v>
      </c>
      <c r="J48" s="40">
        <v>0</v>
      </c>
      <c r="K48" s="40">
        <v>0</v>
      </c>
      <c r="L48" s="40">
        <v>1290.59411</v>
      </c>
      <c r="M48" s="40">
        <v>0</v>
      </c>
      <c r="N48" s="40">
        <v>0</v>
      </c>
      <c r="O48" s="40">
        <v>0</v>
      </c>
      <c r="P48" s="41">
        <f t="shared" si="1"/>
        <v>1290.59411</v>
      </c>
    </row>
    <row r="49" spans="1:16" x14ac:dyDescent="0.25">
      <c r="A49" s="2" t="s">
        <v>68</v>
      </c>
      <c r="B49" s="40">
        <v>320.30788000000001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1">
        <f t="shared" si="2"/>
        <v>320.30788000000001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1">
        <f t="shared" si="1"/>
        <v>0</v>
      </c>
    </row>
    <row r="50" spans="1:16" x14ac:dyDescent="0.25">
      <c r="A50" s="2" t="s">
        <v>69</v>
      </c>
      <c r="B50" s="40">
        <v>4360.4065000000001</v>
      </c>
      <c r="C50" s="40">
        <v>0</v>
      </c>
      <c r="D50" s="40">
        <v>68.262350000000012</v>
      </c>
      <c r="E50" s="40">
        <v>109.6844</v>
      </c>
      <c r="F50" s="40">
        <v>0</v>
      </c>
      <c r="G50" s="40">
        <v>257.423</v>
      </c>
      <c r="H50" s="41">
        <f t="shared" si="2"/>
        <v>4795.7762499999999</v>
      </c>
      <c r="I50" s="40">
        <v>0</v>
      </c>
      <c r="J50" s="40">
        <v>0</v>
      </c>
      <c r="K50" s="40">
        <v>0</v>
      </c>
      <c r="L50" s="40">
        <v>349.8304</v>
      </c>
      <c r="M50" s="40">
        <v>22</v>
      </c>
      <c r="N50" s="40">
        <v>0</v>
      </c>
      <c r="O50" s="40">
        <v>0</v>
      </c>
      <c r="P50" s="41">
        <f t="shared" si="1"/>
        <v>371.8304</v>
      </c>
    </row>
    <row r="51" spans="1:16" x14ac:dyDescent="0.25">
      <c r="A51" s="2" t="s">
        <v>12</v>
      </c>
      <c r="B51" s="40">
        <v>4.53</v>
      </c>
      <c r="C51" s="40">
        <v>0</v>
      </c>
      <c r="D51" s="40">
        <v>57.8262</v>
      </c>
      <c r="E51" s="40">
        <v>0</v>
      </c>
      <c r="F51" s="40">
        <v>0</v>
      </c>
      <c r="G51" s="40">
        <v>144.0514</v>
      </c>
      <c r="H51" s="41">
        <f t="shared" si="2"/>
        <v>206.4076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1">
        <f t="shared" si="1"/>
        <v>0</v>
      </c>
    </row>
    <row r="52" spans="1:16" x14ac:dyDescent="0.25">
      <c r="A52" s="2" t="s">
        <v>70</v>
      </c>
      <c r="B52" s="40">
        <v>615.13744999999994</v>
      </c>
      <c r="C52" s="40">
        <v>0</v>
      </c>
      <c r="D52" s="40">
        <v>58.072600000000001</v>
      </c>
      <c r="E52" s="40">
        <v>0</v>
      </c>
      <c r="F52" s="40">
        <v>0</v>
      </c>
      <c r="G52" s="40">
        <v>198.61799999999999</v>
      </c>
      <c r="H52" s="41">
        <f t="shared" si="2"/>
        <v>871.82804999999985</v>
      </c>
      <c r="I52" s="40">
        <v>27.36</v>
      </c>
      <c r="J52" s="40">
        <v>0</v>
      </c>
      <c r="K52" s="40">
        <v>0</v>
      </c>
      <c r="L52" s="40">
        <v>19.812999999999999</v>
      </c>
      <c r="M52" s="40">
        <v>0</v>
      </c>
      <c r="N52" s="40">
        <v>0</v>
      </c>
      <c r="O52" s="40">
        <v>0</v>
      </c>
      <c r="P52" s="41">
        <f t="shared" si="1"/>
        <v>47.173000000000002</v>
      </c>
    </row>
    <row r="53" spans="1:16" x14ac:dyDescent="0.25">
      <c r="A53" s="2" t="s">
        <v>71</v>
      </c>
      <c r="B53" s="40">
        <v>767.15958999999998</v>
      </c>
      <c r="C53" s="40">
        <v>0</v>
      </c>
      <c r="D53" s="40">
        <v>0</v>
      </c>
      <c r="E53" s="40">
        <v>0</v>
      </c>
      <c r="F53" s="40">
        <v>0</v>
      </c>
      <c r="G53" s="40">
        <v>21.370999999999999</v>
      </c>
      <c r="H53" s="41">
        <f t="shared" si="2"/>
        <v>788.53058999999996</v>
      </c>
      <c r="I53" s="40">
        <v>0</v>
      </c>
      <c r="J53" s="40">
        <v>0</v>
      </c>
      <c r="K53" s="40">
        <v>0</v>
      </c>
      <c r="L53" s="40">
        <v>635.71910000000003</v>
      </c>
      <c r="M53" s="40">
        <v>0</v>
      </c>
      <c r="N53" s="40">
        <v>0</v>
      </c>
      <c r="O53" s="40">
        <v>0</v>
      </c>
      <c r="P53" s="41">
        <f t="shared" si="1"/>
        <v>635.71910000000003</v>
      </c>
    </row>
    <row r="54" spans="1:16" x14ac:dyDescent="0.25">
      <c r="A54" s="2" t="s">
        <v>72</v>
      </c>
      <c r="B54" s="40">
        <v>5341.9918399999997</v>
      </c>
      <c r="C54" s="40">
        <v>0</v>
      </c>
      <c r="D54" s="40">
        <v>140.99414999999999</v>
      </c>
      <c r="E54" s="40">
        <v>0</v>
      </c>
      <c r="F54" s="40">
        <v>0</v>
      </c>
      <c r="G54" s="40">
        <v>302.81415000000004</v>
      </c>
      <c r="H54" s="41">
        <f t="shared" si="2"/>
        <v>5785.8001399999994</v>
      </c>
      <c r="I54" s="40">
        <v>0</v>
      </c>
      <c r="J54" s="40">
        <v>0</v>
      </c>
      <c r="K54" s="40">
        <v>0</v>
      </c>
      <c r="L54" s="40">
        <v>608.6739</v>
      </c>
      <c r="M54" s="40">
        <v>0</v>
      </c>
      <c r="N54" s="40">
        <v>0</v>
      </c>
      <c r="O54" s="40">
        <v>0</v>
      </c>
      <c r="P54" s="41">
        <f t="shared" si="1"/>
        <v>608.6739</v>
      </c>
    </row>
    <row r="55" spans="1:16" x14ac:dyDescent="0.25">
      <c r="A55" s="2" t="s">
        <v>13</v>
      </c>
      <c r="B55" s="40">
        <v>581.399</v>
      </c>
      <c r="C55" s="40">
        <v>0</v>
      </c>
      <c r="D55" s="40">
        <v>18.557749999999999</v>
      </c>
      <c r="E55" s="40">
        <v>0</v>
      </c>
      <c r="F55" s="40">
        <v>0</v>
      </c>
      <c r="G55" s="40">
        <v>58.480899999999998</v>
      </c>
      <c r="H55" s="41">
        <f t="shared" si="2"/>
        <v>658.43765000000008</v>
      </c>
      <c r="I55" s="40">
        <v>0</v>
      </c>
      <c r="J55" s="40">
        <v>0</v>
      </c>
      <c r="K55" s="40">
        <v>0</v>
      </c>
      <c r="L55" s="40">
        <v>305.72762999999998</v>
      </c>
      <c r="M55" s="40">
        <v>0</v>
      </c>
      <c r="N55" s="40">
        <v>0</v>
      </c>
      <c r="O55" s="40">
        <v>0</v>
      </c>
      <c r="P55" s="41">
        <f t="shared" si="1"/>
        <v>305.72762999999998</v>
      </c>
    </row>
    <row r="56" spans="1:16" x14ac:dyDescent="0.25">
      <c r="A56" s="2" t="s">
        <v>26</v>
      </c>
      <c r="B56" s="40">
        <v>44.490089999999995</v>
      </c>
      <c r="C56" s="40">
        <v>0</v>
      </c>
      <c r="D56" s="40">
        <v>9.7289999999999992</v>
      </c>
      <c r="E56" s="40">
        <v>0</v>
      </c>
      <c r="F56" s="40">
        <v>0</v>
      </c>
      <c r="G56" s="40">
        <v>102.40955</v>
      </c>
      <c r="H56" s="41">
        <f t="shared" si="2"/>
        <v>156.62863999999999</v>
      </c>
      <c r="I56" s="40">
        <v>0</v>
      </c>
      <c r="J56" s="40">
        <v>0</v>
      </c>
      <c r="K56" s="40">
        <v>0</v>
      </c>
      <c r="L56" s="40">
        <v>391.44158000000004</v>
      </c>
      <c r="M56" s="40">
        <v>0</v>
      </c>
      <c r="N56" s="40">
        <v>0</v>
      </c>
      <c r="O56" s="40">
        <v>0</v>
      </c>
      <c r="P56" s="41">
        <f t="shared" si="1"/>
        <v>391.44158000000004</v>
      </c>
    </row>
    <row r="57" spans="1:16" x14ac:dyDescent="0.25">
      <c r="A57" s="2" t="s">
        <v>73</v>
      </c>
      <c r="B57" s="40">
        <v>106.16085000000001</v>
      </c>
      <c r="C57" s="40">
        <v>0</v>
      </c>
      <c r="D57" s="40">
        <v>9.1884999999999994</v>
      </c>
      <c r="E57" s="40">
        <v>0</v>
      </c>
      <c r="F57" s="40">
        <v>0</v>
      </c>
      <c r="G57" s="40">
        <v>0</v>
      </c>
      <c r="H57" s="41">
        <f t="shared" si="2"/>
        <v>115.34935000000002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1">
        <f t="shared" si="1"/>
        <v>0</v>
      </c>
    </row>
    <row r="58" spans="1:16" x14ac:dyDescent="0.25">
      <c r="A58" s="2" t="s">
        <v>14</v>
      </c>
      <c r="B58" s="40">
        <v>12771.72466</v>
      </c>
      <c r="C58" s="40">
        <v>0</v>
      </c>
      <c r="D58" s="40">
        <v>2374.32816</v>
      </c>
      <c r="E58" s="40">
        <v>0</v>
      </c>
      <c r="F58" s="40">
        <v>134.75399999999999</v>
      </c>
      <c r="G58" s="40">
        <v>956.66099999999994</v>
      </c>
      <c r="H58" s="41">
        <f t="shared" si="2"/>
        <v>16237.467820000002</v>
      </c>
      <c r="I58" s="40">
        <v>0</v>
      </c>
      <c r="J58" s="40">
        <v>0</v>
      </c>
      <c r="K58" s="40">
        <v>0</v>
      </c>
      <c r="L58" s="40">
        <v>4453.7924499999999</v>
      </c>
      <c r="M58" s="40">
        <v>32.607999999999997</v>
      </c>
      <c r="N58" s="40">
        <v>0</v>
      </c>
      <c r="O58" s="40">
        <v>0</v>
      </c>
      <c r="P58" s="41">
        <f t="shared" si="1"/>
        <v>4486.4004500000001</v>
      </c>
    </row>
    <row r="59" spans="1:16" x14ac:dyDescent="0.25">
      <c r="A59" s="2" t="s">
        <v>28</v>
      </c>
      <c r="B59" s="40">
        <v>6005.0386100000005</v>
      </c>
      <c r="C59" s="40">
        <v>0</v>
      </c>
      <c r="D59" s="40">
        <v>69.641100000000009</v>
      </c>
      <c r="E59" s="40">
        <v>0</v>
      </c>
      <c r="F59" s="40">
        <v>0</v>
      </c>
      <c r="G59" s="40">
        <v>498.94565</v>
      </c>
      <c r="H59" s="41">
        <f t="shared" si="2"/>
        <v>6573.62536</v>
      </c>
      <c r="I59" s="40">
        <v>0</v>
      </c>
      <c r="J59" s="40">
        <v>0</v>
      </c>
      <c r="K59" s="40">
        <v>0</v>
      </c>
      <c r="L59" s="40">
        <v>2256.5539800000001</v>
      </c>
      <c r="M59" s="40">
        <v>0</v>
      </c>
      <c r="N59" s="40">
        <v>0</v>
      </c>
      <c r="O59" s="40">
        <v>0</v>
      </c>
      <c r="P59" s="41">
        <f t="shared" si="1"/>
        <v>2256.5539800000001</v>
      </c>
    </row>
    <row r="60" spans="1:16" x14ac:dyDescent="0.25">
      <c r="A60" s="2" t="s">
        <v>29</v>
      </c>
      <c r="B60" s="40">
        <v>64341.575619999996</v>
      </c>
      <c r="C60" s="40">
        <v>0</v>
      </c>
      <c r="D60" s="40">
        <v>1838.7559899999999</v>
      </c>
      <c r="E60" s="40">
        <v>0</v>
      </c>
      <c r="F60" s="40">
        <v>0</v>
      </c>
      <c r="G60" s="40">
        <v>13356.14085</v>
      </c>
      <c r="H60" s="41">
        <f t="shared" si="2"/>
        <v>79536.47245999999</v>
      </c>
      <c r="I60" s="40">
        <v>0</v>
      </c>
      <c r="J60" s="40">
        <v>841.07030000000009</v>
      </c>
      <c r="K60" s="40">
        <v>0</v>
      </c>
      <c r="L60" s="40">
        <v>3137.0207999999998</v>
      </c>
      <c r="M60" s="40">
        <v>75</v>
      </c>
      <c r="N60" s="40">
        <v>0</v>
      </c>
      <c r="O60" s="40">
        <v>0</v>
      </c>
      <c r="P60" s="41">
        <f t="shared" si="1"/>
        <v>4053.0910999999996</v>
      </c>
    </row>
    <row r="61" spans="1:16" x14ac:dyDescent="0.25">
      <c r="A61" s="2" t="s">
        <v>74</v>
      </c>
      <c r="B61" s="40">
        <v>2046.9489799999999</v>
      </c>
      <c r="C61" s="40">
        <v>0</v>
      </c>
      <c r="D61" s="40">
        <v>107.65228999999999</v>
      </c>
      <c r="E61" s="40">
        <v>0</v>
      </c>
      <c r="F61" s="40">
        <v>0</v>
      </c>
      <c r="G61" s="40">
        <v>160.05799999999999</v>
      </c>
      <c r="H61" s="41">
        <f t="shared" si="2"/>
        <v>2314.6592700000001</v>
      </c>
      <c r="I61" s="40">
        <v>0</v>
      </c>
      <c r="J61" s="40">
        <v>0</v>
      </c>
      <c r="K61" s="40">
        <v>0</v>
      </c>
      <c r="L61" s="40">
        <v>326.99799999999999</v>
      </c>
      <c r="M61" s="40">
        <v>0</v>
      </c>
      <c r="N61" s="40">
        <v>0</v>
      </c>
      <c r="O61" s="40">
        <v>0</v>
      </c>
      <c r="P61" s="41">
        <f t="shared" si="1"/>
        <v>326.99799999999999</v>
      </c>
    </row>
    <row r="62" spans="1:16" x14ac:dyDescent="0.25">
      <c r="A62" s="2" t="s">
        <v>75</v>
      </c>
      <c r="B62" s="40">
        <v>4054.5199600000001</v>
      </c>
      <c r="C62" s="40">
        <v>0</v>
      </c>
      <c r="D62" s="40">
        <v>351.25015000000002</v>
      </c>
      <c r="E62" s="40">
        <v>0</v>
      </c>
      <c r="F62" s="40">
        <v>0</v>
      </c>
      <c r="G62" s="40">
        <v>0</v>
      </c>
      <c r="H62" s="41">
        <f t="shared" si="2"/>
        <v>4405.7701100000004</v>
      </c>
      <c r="I62" s="40">
        <v>0</v>
      </c>
      <c r="J62" s="40">
        <v>0</v>
      </c>
      <c r="K62" s="40">
        <v>0</v>
      </c>
      <c r="L62" s="40">
        <v>2821.5969100000002</v>
      </c>
      <c r="M62" s="40">
        <v>0</v>
      </c>
      <c r="N62" s="40">
        <v>0</v>
      </c>
      <c r="O62" s="40">
        <v>0</v>
      </c>
      <c r="P62" s="41">
        <f t="shared" si="1"/>
        <v>2821.5969100000002</v>
      </c>
    </row>
    <row r="63" spans="1:16" x14ac:dyDescent="0.25">
      <c r="A63" s="2" t="s">
        <v>76</v>
      </c>
      <c r="B63" s="40">
        <v>821.85334</v>
      </c>
      <c r="C63" s="40">
        <v>0</v>
      </c>
      <c r="D63" s="40">
        <v>37.854999999999997</v>
      </c>
      <c r="E63" s="40">
        <v>0</v>
      </c>
      <c r="F63" s="40">
        <v>0</v>
      </c>
      <c r="G63" s="40">
        <v>95.070999999999998</v>
      </c>
      <c r="H63" s="41">
        <f t="shared" si="2"/>
        <v>954.77934000000005</v>
      </c>
      <c r="I63" s="40">
        <v>789</v>
      </c>
      <c r="J63" s="40">
        <v>11.579499999999999</v>
      </c>
      <c r="K63" s="40">
        <v>0</v>
      </c>
      <c r="L63" s="40">
        <v>214.03925000000001</v>
      </c>
      <c r="M63" s="40">
        <v>0</v>
      </c>
      <c r="N63" s="40">
        <v>0</v>
      </c>
      <c r="O63" s="40">
        <v>0</v>
      </c>
      <c r="P63" s="41">
        <f t="shared" si="1"/>
        <v>1014.6187500000001</v>
      </c>
    </row>
    <row r="64" spans="1:16" x14ac:dyDescent="0.25">
      <c r="A64" s="2" t="s">
        <v>77</v>
      </c>
      <c r="B64" s="40">
        <v>848.62035000000003</v>
      </c>
      <c r="C64" s="40">
        <v>0</v>
      </c>
      <c r="D64" s="40">
        <v>0</v>
      </c>
      <c r="E64" s="40">
        <v>0</v>
      </c>
      <c r="F64" s="40">
        <v>0</v>
      </c>
      <c r="G64" s="40">
        <v>727.63519999999994</v>
      </c>
      <c r="H64" s="41">
        <f t="shared" si="2"/>
        <v>1576.2555499999999</v>
      </c>
      <c r="I64" s="40">
        <v>0</v>
      </c>
      <c r="J64" s="40">
        <v>0</v>
      </c>
      <c r="K64" s="40">
        <v>0</v>
      </c>
      <c r="L64" s="40">
        <v>150</v>
      </c>
      <c r="M64" s="40">
        <v>0</v>
      </c>
      <c r="N64" s="40">
        <v>0</v>
      </c>
      <c r="O64" s="40">
        <v>0</v>
      </c>
      <c r="P64" s="41">
        <f t="shared" si="1"/>
        <v>150</v>
      </c>
    </row>
    <row r="65" spans="1:16" x14ac:dyDescent="0.25">
      <c r="A65" s="2" t="s">
        <v>15</v>
      </c>
      <c r="B65" s="40">
        <v>2202.2022000000002</v>
      </c>
      <c r="C65" s="40">
        <v>0</v>
      </c>
      <c r="D65" s="40">
        <v>173.38595000000001</v>
      </c>
      <c r="E65" s="40">
        <v>0</v>
      </c>
      <c r="F65" s="40">
        <v>0</v>
      </c>
      <c r="G65" s="40">
        <v>716.34069999999997</v>
      </c>
      <c r="H65" s="41">
        <f t="shared" si="2"/>
        <v>3091.9288500000002</v>
      </c>
      <c r="I65" s="40">
        <v>0</v>
      </c>
      <c r="J65" s="40">
        <v>0</v>
      </c>
      <c r="K65" s="40">
        <v>0</v>
      </c>
      <c r="L65" s="40">
        <v>994.12950000000001</v>
      </c>
      <c r="M65" s="40">
        <v>0</v>
      </c>
      <c r="N65" s="40">
        <v>0</v>
      </c>
      <c r="O65" s="40">
        <v>0</v>
      </c>
      <c r="P65" s="41">
        <f t="shared" si="1"/>
        <v>994.12950000000001</v>
      </c>
    </row>
    <row r="66" spans="1:16" x14ac:dyDescent="0.25">
      <c r="A66" s="2" t="s">
        <v>78</v>
      </c>
      <c r="B66" s="40">
        <v>1662.95568</v>
      </c>
      <c r="C66" s="40">
        <v>0</v>
      </c>
      <c r="D66" s="40">
        <v>24.99624</v>
      </c>
      <c r="E66" s="40">
        <v>0</v>
      </c>
      <c r="F66" s="40">
        <v>0</v>
      </c>
      <c r="G66" s="40">
        <v>252.80699999999999</v>
      </c>
      <c r="H66" s="41">
        <f t="shared" si="2"/>
        <v>1940.75892</v>
      </c>
      <c r="I66" s="40">
        <v>0</v>
      </c>
      <c r="J66" s="40">
        <v>0</v>
      </c>
      <c r="K66" s="40">
        <v>0</v>
      </c>
      <c r="L66" s="40">
        <v>747.86480000000006</v>
      </c>
      <c r="M66" s="40">
        <v>48.478499999999997</v>
      </c>
      <c r="N66" s="40">
        <v>0</v>
      </c>
      <c r="O66" s="40">
        <v>1</v>
      </c>
      <c r="P66" s="41">
        <f t="shared" si="1"/>
        <v>797.3433</v>
      </c>
    </row>
    <row r="67" spans="1:16" x14ac:dyDescent="0.25">
      <c r="A67" s="2" t="s">
        <v>16</v>
      </c>
      <c r="B67" s="40">
        <v>7718.1339800000005</v>
      </c>
      <c r="C67" s="40">
        <v>0</v>
      </c>
      <c r="D67" s="40">
        <v>870.29707999999994</v>
      </c>
      <c r="E67" s="40">
        <v>0</v>
      </c>
      <c r="F67" s="40">
        <v>0</v>
      </c>
      <c r="G67" s="40">
        <v>204.78190000000001</v>
      </c>
      <c r="H67" s="41">
        <f t="shared" ref="H67:H98" si="3">SUM(B67:G67)</f>
        <v>8793.2129600000007</v>
      </c>
      <c r="I67" s="40">
        <v>0</v>
      </c>
      <c r="J67" s="40">
        <v>0</v>
      </c>
      <c r="K67" s="40">
        <v>0</v>
      </c>
      <c r="L67" s="40">
        <v>1911.4475500000001</v>
      </c>
      <c r="M67" s="40">
        <v>0</v>
      </c>
      <c r="N67" s="40">
        <v>0</v>
      </c>
      <c r="O67" s="40">
        <v>0</v>
      </c>
      <c r="P67" s="41">
        <f t="shared" si="1"/>
        <v>1911.4475500000001</v>
      </c>
    </row>
    <row r="68" spans="1:16" x14ac:dyDescent="0.25">
      <c r="A68" s="2" t="s">
        <v>79</v>
      </c>
      <c r="B68" s="40">
        <v>184.38248000000002</v>
      </c>
      <c r="C68" s="40">
        <v>0</v>
      </c>
      <c r="D68" s="40">
        <v>79.759699999999995</v>
      </c>
      <c r="E68" s="40">
        <v>0</v>
      </c>
      <c r="F68" s="40">
        <v>0</v>
      </c>
      <c r="G68" s="40">
        <v>0</v>
      </c>
      <c r="H68" s="41">
        <f t="shared" si="3"/>
        <v>264.14218</v>
      </c>
      <c r="I68" s="40">
        <v>0</v>
      </c>
      <c r="J68" s="40">
        <v>0</v>
      </c>
      <c r="K68" s="40">
        <v>0</v>
      </c>
      <c r="L68" s="40">
        <v>50.349139999999998</v>
      </c>
      <c r="M68" s="40">
        <v>0</v>
      </c>
      <c r="N68" s="40">
        <v>0</v>
      </c>
      <c r="O68" s="40">
        <v>0</v>
      </c>
      <c r="P68" s="41">
        <f t="shared" ref="P68:P108" si="4">SUM(I68:O68)</f>
        <v>50.349139999999998</v>
      </c>
    </row>
    <row r="69" spans="1:16" x14ac:dyDescent="0.25">
      <c r="A69" s="2" t="s">
        <v>80</v>
      </c>
      <c r="B69" s="40">
        <v>1547.3543400000001</v>
      </c>
      <c r="C69" s="40">
        <v>0</v>
      </c>
      <c r="D69" s="40">
        <v>129.8152</v>
      </c>
      <c r="E69" s="40">
        <v>0</v>
      </c>
      <c r="F69" s="40">
        <v>0</v>
      </c>
      <c r="G69" s="40">
        <v>366.80180000000001</v>
      </c>
      <c r="H69" s="41">
        <f t="shared" si="3"/>
        <v>2043.9713400000001</v>
      </c>
      <c r="I69" s="40">
        <v>0</v>
      </c>
      <c r="J69" s="40">
        <v>0</v>
      </c>
      <c r="K69" s="40">
        <v>0</v>
      </c>
      <c r="L69" s="40">
        <v>660.22394999999995</v>
      </c>
      <c r="M69" s="40">
        <v>0</v>
      </c>
      <c r="N69" s="40">
        <v>0</v>
      </c>
      <c r="O69" s="40">
        <v>0</v>
      </c>
      <c r="P69" s="41">
        <f t="shared" si="4"/>
        <v>660.22394999999995</v>
      </c>
    </row>
    <row r="70" spans="1:16" x14ac:dyDescent="0.25">
      <c r="A70" s="2" t="s">
        <v>81</v>
      </c>
      <c r="B70" s="40">
        <v>427.5326</v>
      </c>
      <c r="C70" s="40">
        <v>0</v>
      </c>
      <c r="D70" s="40">
        <v>0</v>
      </c>
      <c r="E70" s="40">
        <v>0</v>
      </c>
      <c r="F70" s="40">
        <v>0</v>
      </c>
      <c r="G70" s="40">
        <v>14.622</v>
      </c>
      <c r="H70" s="41">
        <f t="shared" si="3"/>
        <v>442.15460000000002</v>
      </c>
      <c r="I70" s="40">
        <v>0</v>
      </c>
      <c r="J70" s="40">
        <v>0</v>
      </c>
      <c r="K70" s="40">
        <v>0</v>
      </c>
      <c r="L70" s="40">
        <v>264.23925000000003</v>
      </c>
      <c r="M70" s="40">
        <v>0</v>
      </c>
      <c r="N70" s="40">
        <v>0</v>
      </c>
      <c r="O70" s="40">
        <v>0</v>
      </c>
      <c r="P70" s="41">
        <f t="shared" si="4"/>
        <v>264.23925000000003</v>
      </c>
    </row>
    <row r="71" spans="1:16" x14ac:dyDescent="0.25">
      <c r="A71" s="2" t="s">
        <v>17</v>
      </c>
      <c r="B71" s="40">
        <v>3664.77405</v>
      </c>
      <c r="C71" s="40">
        <v>0</v>
      </c>
      <c r="D71" s="40">
        <v>93.5471</v>
      </c>
      <c r="E71" s="40">
        <v>0</v>
      </c>
      <c r="F71" s="40">
        <v>0</v>
      </c>
      <c r="G71" s="40">
        <v>578.24265000000003</v>
      </c>
      <c r="H71" s="41">
        <f t="shared" si="3"/>
        <v>4336.5637999999999</v>
      </c>
      <c r="I71" s="40">
        <v>0</v>
      </c>
      <c r="J71" s="40">
        <v>0</v>
      </c>
      <c r="K71" s="40">
        <v>0</v>
      </c>
      <c r="L71" s="40">
        <v>33.655949999999997</v>
      </c>
      <c r="M71" s="40">
        <v>0</v>
      </c>
      <c r="N71" s="40">
        <v>0</v>
      </c>
      <c r="O71" s="40">
        <v>0</v>
      </c>
      <c r="P71" s="41">
        <f t="shared" si="4"/>
        <v>33.655949999999997</v>
      </c>
    </row>
    <row r="72" spans="1:16" x14ac:dyDescent="0.25">
      <c r="A72" s="2" t="s">
        <v>82</v>
      </c>
      <c r="B72" s="40">
        <v>525.14062999999999</v>
      </c>
      <c r="C72" s="40">
        <v>112.44835</v>
      </c>
      <c r="D72" s="40">
        <v>146.8579</v>
      </c>
      <c r="E72" s="40">
        <v>0</v>
      </c>
      <c r="F72" s="40">
        <v>0</v>
      </c>
      <c r="G72" s="40">
        <v>678.90390000000002</v>
      </c>
      <c r="H72" s="41">
        <f t="shared" si="3"/>
        <v>1463.35078</v>
      </c>
      <c r="I72" s="40">
        <v>0</v>
      </c>
      <c r="J72" s="40">
        <v>0</v>
      </c>
      <c r="K72" s="40">
        <v>0</v>
      </c>
      <c r="L72" s="40">
        <v>1936.50891</v>
      </c>
      <c r="M72" s="40">
        <v>8.8000000000000007</v>
      </c>
      <c r="N72" s="40">
        <v>0</v>
      </c>
      <c r="O72" s="40">
        <v>0</v>
      </c>
      <c r="P72" s="41">
        <f t="shared" si="4"/>
        <v>1945.30891</v>
      </c>
    </row>
    <row r="73" spans="1:16" x14ac:dyDescent="0.25">
      <c r="A73" s="2" t="s">
        <v>18</v>
      </c>
      <c r="B73" s="40">
        <v>1130.83636</v>
      </c>
      <c r="C73" s="40">
        <v>0</v>
      </c>
      <c r="D73" s="40">
        <v>1.3620000000000001</v>
      </c>
      <c r="E73" s="40">
        <v>0</v>
      </c>
      <c r="F73" s="40">
        <v>0</v>
      </c>
      <c r="G73" s="40">
        <v>129.02985000000001</v>
      </c>
      <c r="H73" s="41">
        <f t="shared" si="3"/>
        <v>1261.2282100000002</v>
      </c>
      <c r="I73" s="40">
        <v>0</v>
      </c>
      <c r="J73" s="40">
        <v>0</v>
      </c>
      <c r="K73" s="40">
        <v>0</v>
      </c>
      <c r="L73" s="40">
        <v>85.516000000000005</v>
      </c>
      <c r="M73" s="40">
        <v>0</v>
      </c>
      <c r="N73" s="40">
        <v>0</v>
      </c>
      <c r="O73" s="40">
        <v>0</v>
      </c>
      <c r="P73" s="41">
        <f t="shared" si="4"/>
        <v>85.516000000000005</v>
      </c>
    </row>
    <row r="74" spans="1:16" x14ac:dyDescent="0.25">
      <c r="A74" s="2" t="s">
        <v>83</v>
      </c>
      <c r="B74" s="40">
        <v>1764.4474700000001</v>
      </c>
      <c r="C74" s="40">
        <v>0</v>
      </c>
      <c r="D74" s="40">
        <v>98.664850000000001</v>
      </c>
      <c r="E74" s="40">
        <v>0</v>
      </c>
      <c r="F74" s="40">
        <v>0</v>
      </c>
      <c r="G74" s="40">
        <v>159.0821</v>
      </c>
      <c r="H74" s="41">
        <f t="shared" si="3"/>
        <v>2022.1944200000003</v>
      </c>
      <c r="I74" s="40">
        <v>0</v>
      </c>
      <c r="J74" s="40">
        <v>0</v>
      </c>
      <c r="K74" s="40">
        <v>0</v>
      </c>
      <c r="L74" s="40">
        <v>454.95299999999997</v>
      </c>
      <c r="M74" s="40">
        <v>0</v>
      </c>
      <c r="N74" s="40">
        <v>0</v>
      </c>
      <c r="O74" s="40">
        <v>0</v>
      </c>
      <c r="P74" s="41">
        <f t="shared" si="4"/>
        <v>454.95299999999997</v>
      </c>
    </row>
    <row r="75" spans="1:16" x14ac:dyDescent="0.25">
      <c r="A75" s="2" t="s">
        <v>19</v>
      </c>
      <c r="B75" s="40">
        <v>875.91994999999997</v>
      </c>
      <c r="C75" s="40">
        <v>0</v>
      </c>
      <c r="D75" s="40">
        <v>123.4939</v>
      </c>
      <c r="E75" s="40">
        <v>0</v>
      </c>
      <c r="F75" s="40">
        <v>0</v>
      </c>
      <c r="G75" s="40">
        <v>221.95245</v>
      </c>
      <c r="H75" s="41">
        <f t="shared" si="3"/>
        <v>1221.3662999999999</v>
      </c>
      <c r="I75" s="40">
        <v>0</v>
      </c>
      <c r="J75" s="40">
        <v>0</v>
      </c>
      <c r="K75" s="40">
        <v>0</v>
      </c>
      <c r="L75" s="40">
        <v>312.73604999999998</v>
      </c>
      <c r="M75" s="40">
        <v>0</v>
      </c>
      <c r="N75" s="40">
        <v>0</v>
      </c>
      <c r="O75" s="40">
        <v>0</v>
      </c>
      <c r="P75" s="41">
        <f t="shared" si="4"/>
        <v>312.73604999999998</v>
      </c>
    </row>
    <row r="76" spans="1:16" x14ac:dyDescent="0.25">
      <c r="A76" s="2" t="s">
        <v>84</v>
      </c>
      <c r="B76" s="40">
        <v>536.80180000000007</v>
      </c>
      <c r="C76" s="40">
        <v>0</v>
      </c>
      <c r="D76" s="40">
        <v>90.173380000000009</v>
      </c>
      <c r="E76" s="40">
        <v>0</v>
      </c>
      <c r="F76" s="40">
        <v>0</v>
      </c>
      <c r="G76" s="40">
        <v>293.0942</v>
      </c>
      <c r="H76" s="41">
        <f t="shared" si="3"/>
        <v>920.06938000000014</v>
      </c>
      <c r="I76" s="40">
        <v>0</v>
      </c>
      <c r="J76" s="40">
        <v>0</v>
      </c>
      <c r="K76" s="40">
        <v>0</v>
      </c>
      <c r="L76" s="40">
        <v>85.974600000000009</v>
      </c>
      <c r="M76" s="40">
        <v>0</v>
      </c>
      <c r="N76" s="40">
        <v>0</v>
      </c>
      <c r="O76" s="40">
        <v>0</v>
      </c>
      <c r="P76" s="41">
        <f t="shared" si="4"/>
        <v>85.974600000000009</v>
      </c>
    </row>
    <row r="77" spans="1:16" x14ac:dyDescent="0.25">
      <c r="A77" s="2" t="s">
        <v>85</v>
      </c>
      <c r="B77" s="40">
        <v>819.32245</v>
      </c>
      <c r="C77" s="40">
        <v>0</v>
      </c>
      <c r="D77" s="40">
        <v>55.872150000000005</v>
      </c>
      <c r="E77" s="40">
        <v>0</v>
      </c>
      <c r="F77" s="40">
        <v>0</v>
      </c>
      <c r="G77" s="40">
        <v>860.43955000000005</v>
      </c>
      <c r="H77" s="41">
        <f t="shared" si="3"/>
        <v>1735.6341500000001</v>
      </c>
      <c r="I77" s="40">
        <v>0</v>
      </c>
      <c r="J77" s="40">
        <v>0</v>
      </c>
      <c r="K77" s="40">
        <v>0</v>
      </c>
      <c r="L77" s="40">
        <v>496.48599999999999</v>
      </c>
      <c r="M77" s="40">
        <v>0</v>
      </c>
      <c r="N77" s="40">
        <v>0</v>
      </c>
      <c r="O77" s="40">
        <v>0</v>
      </c>
      <c r="P77" s="41">
        <f t="shared" si="4"/>
        <v>496.48599999999999</v>
      </c>
    </row>
    <row r="78" spans="1:16" x14ac:dyDescent="0.25">
      <c r="A78" s="2" t="s">
        <v>86</v>
      </c>
      <c r="B78" s="40">
        <v>551.01985999999999</v>
      </c>
      <c r="C78" s="40">
        <v>0</v>
      </c>
      <c r="D78" s="40">
        <v>-29.83925</v>
      </c>
      <c r="E78" s="40">
        <v>0</v>
      </c>
      <c r="F78" s="40">
        <v>0</v>
      </c>
      <c r="G78" s="40">
        <v>0</v>
      </c>
      <c r="H78" s="41">
        <f t="shared" si="3"/>
        <v>521.18061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1">
        <f t="shared" si="4"/>
        <v>0</v>
      </c>
    </row>
    <row r="79" spans="1:16" x14ac:dyDescent="0.25">
      <c r="A79" s="2" t="s">
        <v>20</v>
      </c>
      <c r="B79" s="40">
        <v>1897.45625</v>
      </c>
      <c r="C79" s="40">
        <v>0</v>
      </c>
      <c r="D79" s="40">
        <v>217.9674</v>
      </c>
      <c r="E79" s="40">
        <v>0</v>
      </c>
      <c r="F79" s="40">
        <v>0</v>
      </c>
      <c r="G79" s="40">
        <v>16.508700000000001</v>
      </c>
      <c r="H79" s="41">
        <f t="shared" si="3"/>
        <v>2131.9323499999996</v>
      </c>
      <c r="I79" s="40">
        <v>0</v>
      </c>
      <c r="J79" s="40">
        <v>0</v>
      </c>
      <c r="K79" s="40">
        <v>0</v>
      </c>
      <c r="L79" s="40">
        <v>199.63598000000002</v>
      </c>
      <c r="M79" s="40">
        <v>0</v>
      </c>
      <c r="N79" s="40">
        <v>0</v>
      </c>
      <c r="O79" s="40">
        <v>0</v>
      </c>
      <c r="P79" s="41">
        <f t="shared" si="4"/>
        <v>199.63598000000002</v>
      </c>
    </row>
    <row r="80" spans="1:16" x14ac:dyDescent="0.25">
      <c r="A80" s="2" t="s">
        <v>87</v>
      </c>
      <c r="B80" s="40">
        <v>359.66410999999999</v>
      </c>
      <c r="C80" s="40">
        <v>0</v>
      </c>
      <c r="D80" s="40">
        <v>146.12479999999999</v>
      </c>
      <c r="E80" s="40">
        <v>0</v>
      </c>
      <c r="F80" s="40">
        <v>0</v>
      </c>
      <c r="G80" s="40">
        <v>0</v>
      </c>
      <c r="H80" s="41">
        <f t="shared" si="3"/>
        <v>505.78890999999999</v>
      </c>
      <c r="I80" s="40">
        <v>0</v>
      </c>
      <c r="J80" s="40">
        <v>0</v>
      </c>
      <c r="K80" s="40">
        <v>0</v>
      </c>
      <c r="L80" s="40">
        <v>80.990139999999997</v>
      </c>
      <c r="M80" s="40">
        <v>0</v>
      </c>
      <c r="N80" s="40">
        <v>0</v>
      </c>
      <c r="O80" s="40">
        <v>0</v>
      </c>
      <c r="P80" s="41">
        <f t="shared" si="4"/>
        <v>80.990139999999997</v>
      </c>
    </row>
    <row r="81" spans="1:16" x14ac:dyDescent="0.25">
      <c r="A81" s="2" t="s">
        <v>30</v>
      </c>
      <c r="B81" s="40">
        <v>77.114350000000002</v>
      </c>
      <c r="C81" s="40">
        <v>0</v>
      </c>
      <c r="D81" s="40">
        <v>0</v>
      </c>
      <c r="E81" s="40">
        <v>0</v>
      </c>
      <c r="F81" s="40">
        <v>0</v>
      </c>
      <c r="G81" s="40">
        <v>134.78889999999998</v>
      </c>
      <c r="H81" s="41">
        <f t="shared" si="3"/>
        <v>211.90324999999999</v>
      </c>
      <c r="I81" s="40">
        <v>0</v>
      </c>
      <c r="J81" s="40">
        <v>0</v>
      </c>
      <c r="K81" s="40">
        <v>0</v>
      </c>
      <c r="L81" s="40">
        <v>20.05</v>
      </c>
      <c r="M81" s="40">
        <v>0</v>
      </c>
      <c r="N81" s="40">
        <v>0</v>
      </c>
      <c r="O81" s="40">
        <v>0</v>
      </c>
      <c r="P81" s="41">
        <f t="shared" si="4"/>
        <v>20.05</v>
      </c>
    </row>
    <row r="82" spans="1:16" x14ac:dyDescent="0.25">
      <c r="A82" s="2" t="s">
        <v>88</v>
      </c>
      <c r="B82" s="40">
        <v>425.2561</v>
      </c>
      <c r="C82" s="40">
        <v>0</v>
      </c>
      <c r="D82" s="40">
        <v>35.878099999999996</v>
      </c>
      <c r="E82" s="40">
        <v>0</v>
      </c>
      <c r="F82" s="40">
        <v>0</v>
      </c>
      <c r="G82" s="40">
        <v>96.596000000000004</v>
      </c>
      <c r="H82" s="41">
        <f t="shared" si="3"/>
        <v>557.73019999999997</v>
      </c>
      <c r="I82" s="40">
        <v>0</v>
      </c>
      <c r="J82" s="40">
        <v>0</v>
      </c>
      <c r="K82" s="40">
        <v>0</v>
      </c>
      <c r="L82" s="40">
        <v>179.42675</v>
      </c>
      <c r="M82" s="40">
        <v>0</v>
      </c>
      <c r="N82" s="40">
        <v>0</v>
      </c>
      <c r="O82" s="40">
        <v>0</v>
      </c>
      <c r="P82" s="41">
        <f t="shared" si="4"/>
        <v>179.42675</v>
      </c>
    </row>
    <row r="83" spans="1:16" x14ac:dyDescent="0.25">
      <c r="A83" s="2" t="s">
        <v>89</v>
      </c>
      <c r="B83" s="40">
        <v>6719.9119600000004</v>
      </c>
      <c r="C83" s="40">
        <v>0</v>
      </c>
      <c r="D83" s="40">
        <v>699.20869999999991</v>
      </c>
      <c r="E83" s="40">
        <v>0</v>
      </c>
      <c r="F83" s="40">
        <v>0</v>
      </c>
      <c r="G83" s="40">
        <v>712.64774999999997</v>
      </c>
      <c r="H83" s="41">
        <f t="shared" si="3"/>
        <v>8131.7684100000006</v>
      </c>
      <c r="I83" s="40">
        <v>0</v>
      </c>
      <c r="J83" s="40">
        <v>0</v>
      </c>
      <c r="K83" s="40">
        <v>0</v>
      </c>
      <c r="L83" s="40">
        <v>64.257689999999997</v>
      </c>
      <c r="M83" s="40">
        <v>0</v>
      </c>
      <c r="N83" s="40">
        <v>0</v>
      </c>
      <c r="O83" s="40">
        <v>0</v>
      </c>
      <c r="P83" s="41">
        <f t="shared" si="4"/>
        <v>64.257689999999997</v>
      </c>
    </row>
    <row r="84" spans="1:16" x14ac:dyDescent="0.25">
      <c r="A84" s="2" t="s">
        <v>90</v>
      </c>
      <c r="B84" s="40">
        <v>422.0181</v>
      </c>
      <c r="C84" s="40">
        <v>0</v>
      </c>
      <c r="D84" s="40">
        <v>34.262</v>
      </c>
      <c r="E84" s="40">
        <v>0</v>
      </c>
      <c r="F84" s="40">
        <v>0</v>
      </c>
      <c r="G84" s="40">
        <v>0</v>
      </c>
      <c r="H84" s="41">
        <f t="shared" si="3"/>
        <v>456.2801</v>
      </c>
      <c r="I84" s="40">
        <v>0</v>
      </c>
      <c r="J84" s="40">
        <v>0</v>
      </c>
      <c r="K84" s="40">
        <v>0</v>
      </c>
      <c r="L84" s="40">
        <v>61.850250000000003</v>
      </c>
      <c r="M84" s="40">
        <v>0</v>
      </c>
      <c r="N84" s="40">
        <v>0</v>
      </c>
      <c r="O84" s="40">
        <v>0</v>
      </c>
      <c r="P84" s="41">
        <f t="shared" si="4"/>
        <v>61.850250000000003</v>
      </c>
    </row>
    <row r="85" spans="1:16" x14ac:dyDescent="0.25">
      <c r="A85" s="2" t="s">
        <v>91</v>
      </c>
      <c r="B85" s="40">
        <v>458.28906999999998</v>
      </c>
      <c r="C85" s="40">
        <v>0</v>
      </c>
      <c r="D85" s="40">
        <v>43.888599999999997</v>
      </c>
      <c r="E85" s="40">
        <v>0</v>
      </c>
      <c r="F85" s="40">
        <v>0</v>
      </c>
      <c r="G85" s="40">
        <v>0</v>
      </c>
      <c r="H85" s="41">
        <f t="shared" si="3"/>
        <v>502.17766999999998</v>
      </c>
      <c r="I85" s="40">
        <v>0</v>
      </c>
      <c r="J85" s="40">
        <v>0</v>
      </c>
      <c r="K85" s="40">
        <v>0</v>
      </c>
      <c r="L85" s="40">
        <v>36.5</v>
      </c>
      <c r="M85" s="40">
        <v>0</v>
      </c>
      <c r="N85" s="40">
        <v>0</v>
      </c>
      <c r="O85" s="40">
        <v>0</v>
      </c>
      <c r="P85" s="41">
        <f t="shared" si="4"/>
        <v>36.5</v>
      </c>
    </row>
    <row r="86" spans="1:16" x14ac:dyDescent="0.25">
      <c r="A86" s="2" t="s">
        <v>92</v>
      </c>
      <c r="B86" s="40">
        <v>901.72755000000006</v>
      </c>
      <c r="C86" s="40">
        <v>0</v>
      </c>
      <c r="D86" s="40">
        <v>0</v>
      </c>
      <c r="E86" s="40">
        <v>0</v>
      </c>
      <c r="F86" s="40">
        <v>0</v>
      </c>
      <c r="G86" s="40">
        <v>169.95804999999999</v>
      </c>
      <c r="H86" s="41">
        <f t="shared" si="3"/>
        <v>1071.6856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1">
        <f t="shared" si="4"/>
        <v>0</v>
      </c>
    </row>
    <row r="87" spans="1:16" x14ac:dyDescent="0.25">
      <c r="A87" s="2" t="s">
        <v>93</v>
      </c>
      <c r="B87" s="40">
        <v>349.10449999999997</v>
      </c>
      <c r="C87" s="40">
        <v>0</v>
      </c>
      <c r="D87" s="40">
        <v>72.61103</v>
      </c>
      <c r="E87" s="40">
        <v>0</v>
      </c>
      <c r="F87" s="40">
        <v>0</v>
      </c>
      <c r="G87" s="40">
        <v>300.25454999999999</v>
      </c>
      <c r="H87" s="41">
        <f t="shared" si="3"/>
        <v>721.97007999999994</v>
      </c>
      <c r="I87" s="40">
        <v>0</v>
      </c>
      <c r="J87" s="40">
        <v>0</v>
      </c>
      <c r="K87" s="40">
        <v>0</v>
      </c>
      <c r="L87" s="40">
        <v>21.11505</v>
      </c>
      <c r="M87" s="40">
        <v>0</v>
      </c>
      <c r="N87" s="40">
        <v>0</v>
      </c>
      <c r="O87" s="40">
        <v>0</v>
      </c>
      <c r="P87" s="41">
        <f t="shared" si="4"/>
        <v>21.11505</v>
      </c>
    </row>
    <row r="88" spans="1:16" x14ac:dyDescent="0.25">
      <c r="A88" s="2" t="s">
        <v>94</v>
      </c>
      <c r="B88" s="40">
        <v>158.3194</v>
      </c>
      <c r="C88" s="40">
        <v>0</v>
      </c>
      <c r="D88" s="40">
        <v>42.874250000000004</v>
      </c>
      <c r="E88" s="40">
        <v>0</v>
      </c>
      <c r="F88" s="40">
        <v>0</v>
      </c>
      <c r="G88" s="40">
        <v>0</v>
      </c>
      <c r="H88" s="41">
        <f t="shared" si="3"/>
        <v>201.19364999999999</v>
      </c>
      <c r="I88" s="40">
        <v>0</v>
      </c>
      <c r="J88" s="40">
        <v>0</v>
      </c>
      <c r="K88" s="40">
        <v>0</v>
      </c>
      <c r="L88" s="40">
        <v>184.34120000000001</v>
      </c>
      <c r="M88" s="40">
        <v>0</v>
      </c>
      <c r="N88" s="40">
        <v>0</v>
      </c>
      <c r="O88" s="40">
        <v>0</v>
      </c>
      <c r="P88" s="41">
        <f t="shared" si="4"/>
        <v>184.34120000000001</v>
      </c>
    </row>
    <row r="89" spans="1:16" x14ac:dyDescent="0.25">
      <c r="A89" s="2" t="s">
        <v>95</v>
      </c>
      <c r="B89" s="40">
        <v>1109.3406200000002</v>
      </c>
      <c r="C89" s="40">
        <v>0</v>
      </c>
      <c r="D89" s="40">
        <v>2.3694000000000002</v>
      </c>
      <c r="E89" s="40">
        <v>50</v>
      </c>
      <c r="F89" s="40">
        <v>0</v>
      </c>
      <c r="G89" s="40">
        <v>0</v>
      </c>
      <c r="H89" s="41">
        <f t="shared" si="3"/>
        <v>1161.7100200000002</v>
      </c>
      <c r="I89" s="40">
        <v>0</v>
      </c>
      <c r="J89" s="40">
        <v>0</v>
      </c>
      <c r="K89" s="40">
        <v>0</v>
      </c>
      <c r="L89" s="40">
        <v>69.514920000000004</v>
      </c>
      <c r="M89" s="40">
        <v>0</v>
      </c>
      <c r="N89" s="40">
        <v>0</v>
      </c>
      <c r="O89" s="40">
        <v>0</v>
      </c>
      <c r="P89" s="41">
        <f t="shared" si="4"/>
        <v>69.514920000000004</v>
      </c>
    </row>
    <row r="90" spans="1:16" x14ac:dyDescent="0.25">
      <c r="A90" s="2" t="s">
        <v>96</v>
      </c>
      <c r="B90" s="40">
        <v>1279.76784</v>
      </c>
      <c r="C90" s="40">
        <v>0</v>
      </c>
      <c r="D90" s="40">
        <v>0</v>
      </c>
      <c r="E90" s="40">
        <v>25</v>
      </c>
      <c r="F90" s="40">
        <v>125</v>
      </c>
      <c r="G90" s="40">
        <v>0</v>
      </c>
      <c r="H90" s="41">
        <f t="shared" si="3"/>
        <v>1429.76784</v>
      </c>
      <c r="I90" s="40">
        <v>0</v>
      </c>
      <c r="J90" s="40">
        <v>0</v>
      </c>
      <c r="K90" s="40">
        <v>0</v>
      </c>
      <c r="L90" s="40">
        <v>320.94524999999999</v>
      </c>
      <c r="M90" s="40">
        <v>0</v>
      </c>
      <c r="N90" s="40">
        <v>0</v>
      </c>
      <c r="O90" s="40">
        <v>0</v>
      </c>
      <c r="P90" s="41">
        <f t="shared" si="4"/>
        <v>320.94524999999999</v>
      </c>
    </row>
    <row r="91" spans="1:16" x14ac:dyDescent="0.25">
      <c r="A91" s="2" t="s">
        <v>97</v>
      </c>
      <c r="B91" s="40">
        <v>1509.75757</v>
      </c>
      <c r="C91" s="40">
        <v>0</v>
      </c>
      <c r="D91" s="40">
        <v>158.40508</v>
      </c>
      <c r="E91" s="40">
        <v>0</v>
      </c>
      <c r="F91" s="40">
        <v>100</v>
      </c>
      <c r="G91" s="40">
        <v>316.47742</v>
      </c>
      <c r="H91" s="41">
        <f t="shared" si="3"/>
        <v>2084.6400699999999</v>
      </c>
      <c r="I91" s="40">
        <v>0</v>
      </c>
      <c r="J91" s="40">
        <v>0</v>
      </c>
      <c r="K91" s="40">
        <v>0</v>
      </c>
      <c r="L91" s="40">
        <v>196.72534999999999</v>
      </c>
      <c r="M91" s="40">
        <v>0</v>
      </c>
      <c r="N91" s="40">
        <v>0</v>
      </c>
      <c r="O91" s="40">
        <v>0</v>
      </c>
      <c r="P91" s="41">
        <f t="shared" si="4"/>
        <v>196.72534999999999</v>
      </c>
    </row>
    <row r="92" spans="1:16" x14ac:dyDescent="0.25">
      <c r="A92" s="2" t="s">
        <v>98</v>
      </c>
      <c r="B92" s="40">
        <v>2126.57618</v>
      </c>
      <c r="C92" s="40">
        <v>0</v>
      </c>
      <c r="D92" s="40">
        <v>289.91365000000002</v>
      </c>
      <c r="E92" s="40">
        <v>20</v>
      </c>
      <c r="F92" s="40">
        <v>0</v>
      </c>
      <c r="G92" s="40">
        <v>213.65810000000002</v>
      </c>
      <c r="H92" s="41">
        <f t="shared" si="3"/>
        <v>2650.1479300000001</v>
      </c>
      <c r="I92" s="40">
        <v>0</v>
      </c>
      <c r="J92" s="40">
        <v>0</v>
      </c>
      <c r="K92" s="40">
        <v>0</v>
      </c>
      <c r="L92" s="40">
        <v>1091.0299299999999</v>
      </c>
      <c r="M92" s="40">
        <v>0</v>
      </c>
      <c r="N92" s="40">
        <v>0</v>
      </c>
      <c r="O92" s="40">
        <v>0</v>
      </c>
      <c r="P92" s="41">
        <f t="shared" si="4"/>
        <v>1091.0299299999999</v>
      </c>
    </row>
    <row r="93" spans="1:16" x14ac:dyDescent="0.25">
      <c r="A93" s="2" t="s">
        <v>99</v>
      </c>
      <c r="B93" s="40">
        <v>1041.19371</v>
      </c>
      <c r="C93" s="40">
        <v>0</v>
      </c>
      <c r="D93" s="40">
        <v>227.12571</v>
      </c>
      <c r="E93" s="40">
        <v>0</v>
      </c>
      <c r="F93" s="40">
        <v>10.7</v>
      </c>
      <c r="G93" s="40">
        <v>50</v>
      </c>
      <c r="H93" s="41">
        <f t="shared" si="3"/>
        <v>1329.0194200000001</v>
      </c>
      <c r="I93" s="40">
        <v>0</v>
      </c>
      <c r="J93" s="40">
        <v>0</v>
      </c>
      <c r="K93" s="40">
        <v>0</v>
      </c>
      <c r="L93" s="40">
        <v>53.660650000000004</v>
      </c>
      <c r="M93" s="40">
        <v>0</v>
      </c>
      <c r="N93" s="40">
        <v>0</v>
      </c>
      <c r="O93" s="40">
        <v>0</v>
      </c>
      <c r="P93" s="41">
        <f t="shared" si="4"/>
        <v>53.660650000000004</v>
      </c>
    </row>
    <row r="94" spans="1:16" x14ac:dyDescent="0.25">
      <c r="A94" s="2" t="s">
        <v>590</v>
      </c>
      <c r="B94" s="40">
        <v>926.53962000000001</v>
      </c>
      <c r="C94" s="40">
        <v>0</v>
      </c>
      <c r="D94" s="40">
        <v>134.39351000000002</v>
      </c>
      <c r="E94" s="40">
        <v>0</v>
      </c>
      <c r="F94" s="40">
        <v>0</v>
      </c>
      <c r="G94" s="40">
        <v>1267.93975</v>
      </c>
      <c r="H94" s="41">
        <f t="shared" si="3"/>
        <v>2328.8728799999999</v>
      </c>
      <c r="I94" s="40">
        <v>0</v>
      </c>
      <c r="J94" s="40">
        <v>0</v>
      </c>
      <c r="K94" s="40">
        <v>0</v>
      </c>
      <c r="L94" s="40">
        <v>63.770499999999998</v>
      </c>
      <c r="M94" s="40">
        <v>0</v>
      </c>
      <c r="N94" s="40">
        <v>0</v>
      </c>
      <c r="O94" s="40">
        <v>0</v>
      </c>
      <c r="P94" s="41">
        <f t="shared" si="4"/>
        <v>63.770499999999998</v>
      </c>
    </row>
    <row r="95" spans="1:16" x14ac:dyDescent="0.25">
      <c r="A95" s="2" t="s">
        <v>22</v>
      </c>
      <c r="B95" s="40">
        <v>2103.2608500000001</v>
      </c>
      <c r="C95" s="40">
        <v>0</v>
      </c>
      <c r="D95" s="40">
        <v>0</v>
      </c>
      <c r="E95" s="40">
        <v>0</v>
      </c>
      <c r="F95" s="40">
        <v>0</v>
      </c>
      <c r="G95" s="40">
        <v>242.21395000000001</v>
      </c>
      <c r="H95" s="41">
        <f t="shared" si="3"/>
        <v>2345.4748</v>
      </c>
      <c r="I95" s="40">
        <v>0</v>
      </c>
      <c r="J95" s="40">
        <v>0</v>
      </c>
      <c r="K95" s="40">
        <v>0</v>
      </c>
      <c r="L95" s="40">
        <v>804.73019999999997</v>
      </c>
      <c r="M95" s="40">
        <v>0</v>
      </c>
      <c r="N95" s="40">
        <v>0</v>
      </c>
      <c r="O95" s="40">
        <v>0</v>
      </c>
      <c r="P95" s="41">
        <f t="shared" si="4"/>
        <v>804.73019999999997</v>
      </c>
    </row>
    <row r="96" spans="1:16" x14ac:dyDescent="0.25">
      <c r="A96" s="2" t="s">
        <v>100</v>
      </c>
      <c r="B96" s="40">
        <v>4061.6443300000001</v>
      </c>
      <c r="C96" s="40">
        <v>0</v>
      </c>
      <c r="D96" s="40">
        <v>84.601649999999992</v>
      </c>
      <c r="E96" s="40">
        <v>0</v>
      </c>
      <c r="F96" s="40">
        <v>0</v>
      </c>
      <c r="G96" s="40">
        <v>195</v>
      </c>
      <c r="H96" s="41">
        <f t="shared" si="3"/>
        <v>4341.2459799999997</v>
      </c>
      <c r="I96" s="40">
        <v>0</v>
      </c>
      <c r="J96" s="40">
        <v>0</v>
      </c>
      <c r="K96" s="40">
        <v>0</v>
      </c>
      <c r="L96" s="40">
        <v>598.76061000000004</v>
      </c>
      <c r="M96" s="40">
        <v>0</v>
      </c>
      <c r="N96" s="40">
        <v>0</v>
      </c>
      <c r="O96" s="40">
        <v>0</v>
      </c>
      <c r="P96" s="41">
        <f t="shared" si="4"/>
        <v>598.76061000000004</v>
      </c>
    </row>
    <row r="97" spans="1:16" x14ac:dyDescent="0.25">
      <c r="A97" s="2" t="s">
        <v>101</v>
      </c>
      <c r="B97" s="40">
        <v>732.24906999999996</v>
      </c>
      <c r="C97" s="40">
        <v>0</v>
      </c>
      <c r="D97" s="40">
        <v>17.961299999999998</v>
      </c>
      <c r="E97" s="40">
        <v>0</v>
      </c>
      <c r="F97" s="40">
        <v>0</v>
      </c>
      <c r="G97" s="40">
        <v>255.33199999999999</v>
      </c>
      <c r="H97" s="41">
        <f t="shared" si="3"/>
        <v>1005.54237</v>
      </c>
      <c r="I97" s="40">
        <v>0</v>
      </c>
      <c r="J97" s="40">
        <v>0</v>
      </c>
      <c r="K97" s="40">
        <v>0</v>
      </c>
      <c r="L97" s="40">
        <v>133.28945000000002</v>
      </c>
      <c r="M97" s="40">
        <v>0</v>
      </c>
      <c r="N97" s="40">
        <v>0</v>
      </c>
      <c r="O97" s="40">
        <v>0</v>
      </c>
      <c r="P97" s="41">
        <f t="shared" si="4"/>
        <v>133.28945000000002</v>
      </c>
    </row>
    <row r="98" spans="1:16" x14ac:dyDescent="0.25">
      <c r="A98" s="2" t="s">
        <v>23</v>
      </c>
      <c r="B98" s="40">
        <v>5757.35844</v>
      </c>
      <c r="C98" s="40">
        <v>0</v>
      </c>
      <c r="D98" s="40">
        <v>436.26491999999996</v>
      </c>
      <c r="E98" s="40">
        <v>0</v>
      </c>
      <c r="F98" s="40">
        <v>0</v>
      </c>
      <c r="G98" s="40">
        <v>61.969379999999994</v>
      </c>
      <c r="H98" s="41">
        <f t="shared" si="3"/>
        <v>6255.5927399999991</v>
      </c>
      <c r="I98" s="40">
        <v>0</v>
      </c>
      <c r="J98" s="40">
        <v>0</v>
      </c>
      <c r="K98" s="40">
        <v>0</v>
      </c>
      <c r="L98" s="40">
        <v>530.13490000000002</v>
      </c>
      <c r="M98" s="40">
        <v>0</v>
      </c>
      <c r="N98" s="40">
        <v>0</v>
      </c>
      <c r="O98" s="40">
        <v>0</v>
      </c>
      <c r="P98" s="41">
        <f t="shared" si="4"/>
        <v>530.13490000000002</v>
      </c>
    </row>
    <row r="99" spans="1:16" x14ac:dyDescent="0.25">
      <c r="A99" s="2" t="s">
        <v>102</v>
      </c>
      <c r="B99" s="40">
        <v>5505.4152199999999</v>
      </c>
      <c r="C99" s="40">
        <v>0</v>
      </c>
      <c r="D99" s="40">
        <v>152.50570000000002</v>
      </c>
      <c r="E99" s="40">
        <v>0</v>
      </c>
      <c r="F99" s="40">
        <v>0</v>
      </c>
      <c r="G99" s="40">
        <v>166.5326</v>
      </c>
      <c r="H99" s="41">
        <f t="shared" ref="H99:H108" si="5">SUM(B99:G99)</f>
        <v>5824.4535199999991</v>
      </c>
      <c r="I99" s="40">
        <v>0</v>
      </c>
      <c r="J99" s="40">
        <v>0</v>
      </c>
      <c r="K99" s="40">
        <v>0</v>
      </c>
      <c r="L99" s="40">
        <v>900.6866</v>
      </c>
      <c r="M99" s="40">
        <v>0</v>
      </c>
      <c r="N99" s="40">
        <v>0</v>
      </c>
      <c r="O99" s="40">
        <v>0</v>
      </c>
      <c r="P99" s="41">
        <f t="shared" si="4"/>
        <v>900.6866</v>
      </c>
    </row>
    <row r="100" spans="1:16" x14ac:dyDescent="0.25">
      <c r="A100" s="2" t="s">
        <v>24</v>
      </c>
      <c r="B100" s="40">
        <v>5670.6356699999997</v>
      </c>
      <c r="C100" s="40">
        <v>0</v>
      </c>
      <c r="D100" s="40">
        <v>42.718350000000001</v>
      </c>
      <c r="E100" s="40">
        <v>0</v>
      </c>
      <c r="F100" s="40">
        <v>0</v>
      </c>
      <c r="G100" s="40">
        <v>162.75205</v>
      </c>
      <c r="H100" s="41">
        <f t="shared" si="5"/>
        <v>5876.1060699999998</v>
      </c>
      <c r="I100" s="40">
        <v>0</v>
      </c>
      <c r="J100" s="40">
        <v>0</v>
      </c>
      <c r="K100" s="40">
        <v>0</v>
      </c>
      <c r="L100" s="40">
        <v>418.4325</v>
      </c>
      <c r="M100" s="40">
        <v>0</v>
      </c>
      <c r="N100" s="40">
        <v>0</v>
      </c>
      <c r="O100" s="40">
        <v>0</v>
      </c>
      <c r="P100" s="41">
        <f t="shared" si="4"/>
        <v>418.4325</v>
      </c>
    </row>
    <row r="101" spans="1:16" x14ac:dyDescent="0.25">
      <c r="A101" s="3" t="s">
        <v>103</v>
      </c>
      <c r="B101" s="40">
        <v>408.40459000000004</v>
      </c>
      <c r="C101" s="40">
        <v>0</v>
      </c>
      <c r="D101" s="40">
        <v>20.7547</v>
      </c>
      <c r="E101" s="40">
        <v>0</v>
      </c>
      <c r="F101" s="40">
        <v>0</v>
      </c>
      <c r="G101" s="40">
        <v>465.13034999999996</v>
      </c>
      <c r="H101" s="41">
        <f t="shared" si="5"/>
        <v>894.28963999999996</v>
      </c>
      <c r="I101" s="40">
        <v>0</v>
      </c>
      <c r="J101" s="40">
        <v>0</v>
      </c>
      <c r="K101" s="40">
        <v>0</v>
      </c>
      <c r="L101" s="40">
        <v>1030.84511</v>
      </c>
      <c r="M101" s="40">
        <v>2.88</v>
      </c>
      <c r="N101" s="40">
        <v>0</v>
      </c>
      <c r="O101" s="40">
        <v>0</v>
      </c>
      <c r="P101" s="41">
        <f t="shared" si="4"/>
        <v>1033.7251100000001</v>
      </c>
    </row>
    <row r="102" spans="1:16" x14ac:dyDescent="0.25">
      <c r="A102" s="2" t="s">
        <v>104</v>
      </c>
      <c r="B102" s="40">
        <v>1696.04693</v>
      </c>
      <c r="C102" s="40">
        <v>0</v>
      </c>
      <c r="D102" s="40">
        <v>375.68304999999998</v>
      </c>
      <c r="E102" s="40">
        <v>0</v>
      </c>
      <c r="F102" s="40">
        <v>0</v>
      </c>
      <c r="G102" s="40">
        <v>233.167</v>
      </c>
      <c r="H102" s="41">
        <f t="shared" si="5"/>
        <v>2304.89698</v>
      </c>
      <c r="I102" s="40">
        <v>0</v>
      </c>
      <c r="J102" s="40">
        <v>0</v>
      </c>
      <c r="K102" s="40">
        <v>0</v>
      </c>
      <c r="L102" s="40">
        <v>102.15944999999999</v>
      </c>
      <c r="M102" s="40">
        <v>0</v>
      </c>
      <c r="N102" s="40">
        <v>0</v>
      </c>
      <c r="O102" s="40">
        <v>0</v>
      </c>
      <c r="P102" s="41">
        <f t="shared" si="4"/>
        <v>102.15944999999999</v>
      </c>
    </row>
    <row r="103" spans="1:16" x14ac:dyDescent="0.25">
      <c r="A103" s="2" t="s">
        <v>25</v>
      </c>
      <c r="B103" s="40">
        <v>966.12546999999995</v>
      </c>
      <c r="C103" s="40">
        <v>0</v>
      </c>
      <c r="D103" s="40">
        <v>265.17829</v>
      </c>
      <c r="E103" s="40">
        <v>0</v>
      </c>
      <c r="F103" s="40">
        <v>0</v>
      </c>
      <c r="G103" s="40">
        <v>0</v>
      </c>
      <c r="H103" s="41">
        <f t="shared" si="5"/>
        <v>1231.30376</v>
      </c>
      <c r="I103" s="40">
        <v>0</v>
      </c>
      <c r="J103" s="40">
        <v>0</v>
      </c>
      <c r="K103" s="40">
        <v>0</v>
      </c>
      <c r="L103" s="40">
        <v>381.82569999999998</v>
      </c>
      <c r="M103" s="40">
        <v>0</v>
      </c>
      <c r="N103" s="40">
        <v>60</v>
      </c>
      <c r="O103" s="40">
        <v>0</v>
      </c>
      <c r="P103" s="41">
        <f t="shared" si="4"/>
        <v>441.82569999999998</v>
      </c>
    </row>
    <row r="104" spans="1:16" x14ac:dyDescent="0.25">
      <c r="A104" s="2" t="s">
        <v>105</v>
      </c>
      <c r="B104" s="40">
        <v>3952.2894500000002</v>
      </c>
      <c r="C104" s="40">
        <v>206.83904999999999</v>
      </c>
      <c r="D104" s="40">
        <v>242.58548999999999</v>
      </c>
      <c r="E104" s="40">
        <v>0</v>
      </c>
      <c r="F104" s="40">
        <v>0</v>
      </c>
      <c r="G104" s="40">
        <v>-19.822400000000002</v>
      </c>
      <c r="H104" s="41">
        <f t="shared" si="5"/>
        <v>4381.8915900000002</v>
      </c>
      <c r="I104" s="40">
        <v>0</v>
      </c>
      <c r="J104" s="40">
        <v>115.884</v>
      </c>
      <c r="K104" s="40">
        <v>0</v>
      </c>
      <c r="L104" s="40">
        <v>228.91895000000002</v>
      </c>
      <c r="M104" s="40">
        <v>0</v>
      </c>
      <c r="N104" s="40">
        <v>0</v>
      </c>
      <c r="O104" s="40">
        <v>0</v>
      </c>
      <c r="P104" s="41">
        <f t="shared" si="4"/>
        <v>344.80295000000001</v>
      </c>
    </row>
    <row r="105" spans="1:16" x14ac:dyDescent="0.25">
      <c r="A105" s="2" t="s">
        <v>106</v>
      </c>
      <c r="B105" s="40">
        <v>1831.62617</v>
      </c>
      <c r="C105" s="40">
        <v>0</v>
      </c>
      <c r="D105" s="40">
        <v>-3.7970000000000002</v>
      </c>
      <c r="E105" s="40">
        <v>0</v>
      </c>
      <c r="F105" s="40">
        <v>0</v>
      </c>
      <c r="G105" s="40">
        <v>31.989650000000001</v>
      </c>
      <c r="H105" s="41">
        <f t="shared" si="5"/>
        <v>1859.81882</v>
      </c>
      <c r="I105" s="40">
        <v>0</v>
      </c>
      <c r="J105" s="40">
        <v>0</v>
      </c>
      <c r="K105" s="40">
        <v>0</v>
      </c>
      <c r="L105" s="40">
        <v>270.42804999999998</v>
      </c>
      <c r="M105" s="40">
        <v>0</v>
      </c>
      <c r="N105" s="40">
        <v>0</v>
      </c>
      <c r="O105" s="40">
        <v>0</v>
      </c>
      <c r="P105" s="41">
        <f t="shared" si="4"/>
        <v>270.42804999999998</v>
      </c>
    </row>
    <row r="106" spans="1:16" x14ac:dyDescent="0.25">
      <c r="A106" s="2" t="s">
        <v>107</v>
      </c>
      <c r="B106" s="40">
        <v>2620.5920000000001</v>
      </c>
      <c r="C106" s="40">
        <v>0</v>
      </c>
      <c r="D106" s="40">
        <v>256.77985000000001</v>
      </c>
      <c r="E106" s="40">
        <v>0</v>
      </c>
      <c r="F106" s="40">
        <v>0</v>
      </c>
      <c r="G106" s="40">
        <v>162.87120000000002</v>
      </c>
      <c r="H106" s="41">
        <f t="shared" si="5"/>
        <v>3040.24305</v>
      </c>
      <c r="I106" s="40">
        <v>0</v>
      </c>
      <c r="J106" s="40">
        <v>0</v>
      </c>
      <c r="K106" s="40">
        <v>0</v>
      </c>
      <c r="L106" s="40">
        <v>436.51245</v>
      </c>
      <c r="M106" s="40">
        <v>0</v>
      </c>
      <c r="N106" s="40">
        <v>0</v>
      </c>
      <c r="O106" s="40">
        <v>0</v>
      </c>
      <c r="P106" s="41">
        <f t="shared" si="4"/>
        <v>436.51245</v>
      </c>
    </row>
    <row r="107" spans="1:16" x14ac:dyDescent="0.25">
      <c r="A107" s="2" t="s">
        <v>108</v>
      </c>
      <c r="B107" s="40">
        <v>3702.9796800000004</v>
      </c>
      <c r="C107" s="40">
        <v>0</v>
      </c>
      <c r="D107" s="40">
        <v>19.135099999999998</v>
      </c>
      <c r="E107" s="40">
        <v>0</v>
      </c>
      <c r="F107" s="40">
        <v>0</v>
      </c>
      <c r="G107" s="40">
        <v>318.60740000000004</v>
      </c>
      <c r="H107" s="41">
        <f t="shared" si="5"/>
        <v>4040.7221800000002</v>
      </c>
      <c r="I107" s="40">
        <v>0</v>
      </c>
      <c r="J107" s="40">
        <v>15.5909</v>
      </c>
      <c r="K107" s="40">
        <v>0</v>
      </c>
      <c r="L107" s="40">
        <v>42.5227</v>
      </c>
      <c r="M107" s="40">
        <v>0</v>
      </c>
      <c r="N107" s="40">
        <v>0</v>
      </c>
      <c r="O107" s="40">
        <v>0</v>
      </c>
      <c r="P107" s="41">
        <f t="shared" si="4"/>
        <v>58.113599999999998</v>
      </c>
    </row>
    <row r="108" spans="1:16" x14ac:dyDescent="0.25">
      <c r="A108" s="2" t="s">
        <v>109</v>
      </c>
      <c r="B108" s="40">
        <v>881.03715</v>
      </c>
      <c r="C108" s="40">
        <v>0</v>
      </c>
      <c r="D108" s="40">
        <v>167.20155</v>
      </c>
      <c r="E108" s="40">
        <v>0</v>
      </c>
      <c r="F108" s="40">
        <v>0</v>
      </c>
      <c r="G108" s="40">
        <v>78.204899999999995</v>
      </c>
      <c r="H108" s="41">
        <f t="shared" si="5"/>
        <v>1126.4435999999998</v>
      </c>
      <c r="I108" s="40">
        <v>0</v>
      </c>
      <c r="J108" s="40">
        <v>0</v>
      </c>
      <c r="K108" s="40">
        <v>0</v>
      </c>
      <c r="L108" s="40">
        <v>7.7408999999999999</v>
      </c>
      <c r="M108" s="40">
        <v>0</v>
      </c>
      <c r="N108" s="40">
        <v>0</v>
      </c>
      <c r="O108" s="40">
        <v>0</v>
      </c>
      <c r="P108" s="41">
        <f t="shared" si="4"/>
        <v>7.7408999999999999</v>
      </c>
    </row>
    <row r="109" spans="1:16" ht="18" customHeight="1" x14ac:dyDescent="0.25">
      <c r="A109" s="17" t="s">
        <v>224</v>
      </c>
      <c r="B109" s="130">
        <v>294817.99931999994</v>
      </c>
      <c r="C109" s="130">
        <v>448.32759999999996</v>
      </c>
      <c r="D109" s="130">
        <v>20900.960900000009</v>
      </c>
      <c r="E109" s="130">
        <v>445.71404999999999</v>
      </c>
      <c r="F109" s="130">
        <v>445.45400000000001</v>
      </c>
      <c r="G109" s="130">
        <v>47305.413289999997</v>
      </c>
      <c r="H109" s="130">
        <v>364363.86915999989</v>
      </c>
      <c r="I109" s="130">
        <v>1004.2149999999999</v>
      </c>
      <c r="J109" s="130">
        <v>1845.82368</v>
      </c>
      <c r="K109" s="130">
        <v>0</v>
      </c>
      <c r="L109" s="130">
        <v>71092.185040000011</v>
      </c>
      <c r="M109" s="130">
        <v>1156.3427999999999</v>
      </c>
      <c r="N109" s="130">
        <v>143</v>
      </c>
      <c r="O109" s="130">
        <v>1</v>
      </c>
      <c r="P109" s="130">
        <v>75242.566520000022</v>
      </c>
    </row>
    <row r="110" spans="1:16" ht="18" customHeight="1" x14ac:dyDescent="0.25">
      <c r="A110" s="23" t="s">
        <v>225</v>
      </c>
    </row>
  </sheetData>
  <printOptions horizontalCentered="1"/>
  <pageMargins left="0.31496062992125984" right="0.31496062992125984" top="0.74803149606299213" bottom="0.55118110236220474" header="0.31496062992125984" footer="3.937007874015748E-2"/>
  <pageSetup paperSize="9" firstPageNumber="47" orientation="landscape" useFirstPageNumber="1" horizontalDpi="1200" verticalDpi="1200" r:id="rId1"/>
  <headerFooter>
    <oddFooter>&amp;C&amp;"Arial Narrow,Corsivo"&amp;7- pagina &amp;P -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11"/>
  <sheetViews>
    <sheetView zoomScale="150" zoomScaleNormal="150" workbookViewId="0">
      <pane xSplit="1" ySplit="2" topLeftCell="B92" activePane="bottomRight" state="frozenSplit"/>
      <selection pane="topRight"/>
      <selection pane="bottomLeft"/>
      <selection pane="bottomRight" activeCell="A109" sqref="A109"/>
    </sheetView>
  </sheetViews>
  <sheetFormatPr defaultRowHeight="13.5" x14ac:dyDescent="0.25"/>
  <cols>
    <col min="1" max="1" width="14.85546875" style="16" customWidth="1"/>
    <col min="2" max="23" width="7.5703125" style="51" customWidth="1"/>
    <col min="24" max="28" width="7.5703125" style="61" customWidth="1"/>
    <col min="29" max="251" width="9.140625" style="51"/>
    <col min="252" max="252" width="14.85546875" style="51" customWidth="1"/>
    <col min="253" max="279" width="7.5703125" style="51" customWidth="1"/>
    <col min="280" max="280" width="13.140625" style="51" customWidth="1"/>
    <col min="281" max="507" width="9.140625" style="51"/>
    <col min="508" max="508" width="14.85546875" style="51" customWidth="1"/>
    <col min="509" max="535" width="7.5703125" style="51" customWidth="1"/>
    <col min="536" max="536" width="13.140625" style="51" customWidth="1"/>
    <col min="537" max="763" width="9.140625" style="51"/>
    <col min="764" max="764" width="14.85546875" style="51" customWidth="1"/>
    <col min="765" max="791" width="7.5703125" style="51" customWidth="1"/>
    <col min="792" max="792" width="13.140625" style="51" customWidth="1"/>
    <col min="793" max="1019" width="9.140625" style="51"/>
    <col min="1020" max="1020" width="14.85546875" style="51" customWidth="1"/>
    <col min="1021" max="1047" width="7.5703125" style="51" customWidth="1"/>
    <col min="1048" max="1048" width="13.140625" style="51" customWidth="1"/>
    <col min="1049" max="1275" width="9.140625" style="51"/>
    <col min="1276" max="1276" width="14.85546875" style="51" customWidth="1"/>
    <col min="1277" max="1303" width="7.5703125" style="51" customWidth="1"/>
    <col min="1304" max="1304" width="13.140625" style="51" customWidth="1"/>
    <col min="1305" max="1531" width="9.140625" style="51"/>
    <col min="1532" max="1532" width="14.85546875" style="51" customWidth="1"/>
    <col min="1533" max="1559" width="7.5703125" style="51" customWidth="1"/>
    <col min="1560" max="1560" width="13.140625" style="51" customWidth="1"/>
    <col min="1561" max="1787" width="9.140625" style="51"/>
    <col min="1788" max="1788" width="14.85546875" style="51" customWidth="1"/>
    <col min="1789" max="1815" width="7.5703125" style="51" customWidth="1"/>
    <col min="1816" max="1816" width="13.140625" style="51" customWidth="1"/>
    <col min="1817" max="2043" width="9.140625" style="51"/>
    <col min="2044" max="2044" width="14.85546875" style="51" customWidth="1"/>
    <col min="2045" max="2071" width="7.5703125" style="51" customWidth="1"/>
    <col min="2072" max="2072" width="13.140625" style="51" customWidth="1"/>
    <col min="2073" max="2299" width="9.140625" style="51"/>
    <col min="2300" max="2300" width="14.85546875" style="51" customWidth="1"/>
    <col min="2301" max="2327" width="7.5703125" style="51" customWidth="1"/>
    <col min="2328" max="2328" width="13.140625" style="51" customWidth="1"/>
    <col min="2329" max="2555" width="9.140625" style="51"/>
    <col min="2556" max="2556" width="14.85546875" style="51" customWidth="1"/>
    <col min="2557" max="2583" width="7.5703125" style="51" customWidth="1"/>
    <col min="2584" max="2584" width="13.140625" style="51" customWidth="1"/>
    <col min="2585" max="2811" width="9.140625" style="51"/>
    <col min="2812" max="2812" width="14.85546875" style="51" customWidth="1"/>
    <col min="2813" max="2839" width="7.5703125" style="51" customWidth="1"/>
    <col min="2840" max="2840" width="13.140625" style="51" customWidth="1"/>
    <col min="2841" max="3067" width="9.140625" style="51"/>
    <col min="3068" max="3068" width="14.85546875" style="51" customWidth="1"/>
    <col min="3069" max="3095" width="7.5703125" style="51" customWidth="1"/>
    <col min="3096" max="3096" width="13.140625" style="51" customWidth="1"/>
    <col min="3097" max="3323" width="9.140625" style="51"/>
    <col min="3324" max="3324" width="14.85546875" style="51" customWidth="1"/>
    <col min="3325" max="3351" width="7.5703125" style="51" customWidth="1"/>
    <col min="3352" max="3352" width="13.140625" style="51" customWidth="1"/>
    <col min="3353" max="3579" width="9.140625" style="51"/>
    <col min="3580" max="3580" width="14.85546875" style="51" customWidth="1"/>
    <col min="3581" max="3607" width="7.5703125" style="51" customWidth="1"/>
    <col min="3608" max="3608" width="13.140625" style="51" customWidth="1"/>
    <col min="3609" max="3835" width="9.140625" style="51"/>
    <col min="3836" max="3836" width="14.85546875" style="51" customWidth="1"/>
    <col min="3837" max="3863" width="7.5703125" style="51" customWidth="1"/>
    <col min="3864" max="3864" width="13.140625" style="51" customWidth="1"/>
    <col min="3865" max="4091" width="9.140625" style="51"/>
    <col min="4092" max="4092" width="14.85546875" style="51" customWidth="1"/>
    <col min="4093" max="4119" width="7.5703125" style="51" customWidth="1"/>
    <col min="4120" max="4120" width="13.140625" style="51" customWidth="1"/>
    <col min="4121" max="4347" width="9.140625" style="51"/>
    <col min="4348" max="4348" width="14.85546875" style="51" customWidth="1"/>
    <col min="4349" max="4375" width="7.5703125" style="51" customWidth="1"/>
    <col min="4376" max="4376" width="13.140625" style="51" customWidth="1"/>
    <col min="4377" max="4603" width="9.140625" style="51"/>
    <col min="4604" max="4604" width="14.85546875" style="51" customWidth="1"/>
    <col min="4605" max="4631" width="7.5703125" style="51" customWidth="1"/>
    <col min="4632" max="4632" width="13.140625" style="51" customWidth="1"/>
    <col min="4633" max="4859" width="9.140625" style="51"/>
    <col min="4860" max="4860" width="14.85546875" style="51" customWidth="1"/>
    <col min="4861" max="4887" width="7.5703125" style="51" customWidth="1"/>
    <col min="4888" max="4888" width="13.140625" style="51" customWidth="1"/>
    <col min="4889" max="5115" width="9.140625" style="51"/>
    <col min="5116" max="5116" width="14.85546875" style="51" customWidth="1"/>
    <col min="5117" max="5143" width="7.5703125" style="51" customWidth="1"/>
    <col min="5144" max="5144" width="13.140625" style="51" customWidth="1"/>
    <col min="5145" max="5371" width="9.140625" style="51"/>
    <col min="5372" max="5372" width="14.85546875" style="51" customWidth="1"/>
    <col min="5373" max="5399" width="7.5703125" style="51" customWidth="1"/>
    <col min="5400" max="5400" width="13.140625" style="51" customWidth="1"/>
    <col min="5401" max="5627" width="9.140625" style="51"/>
    <col min="5628" max="5628" width="14.85546875" style="51" customWidth="1"/>
    <col min="5629" max="5655" width="7.5703125" style="51" customWidth="1"/>
    <col min="5656" max="5656" width="13.140625" style="51" customWidth="1"/>
    <col min="5657" max="5883" width="9.140625" style="51"/>
    <col min="5884" max="5884" width="14.85546875" style="51" customWidth="1"/>
    <col min="5885" max="5911" width="7.5703125" style="51" customWidth="1"/>
    <col min="5912" max="5912" width="13.140625" style="51" customWidth="1"/>
    <col min="5913" max="6139" width="9.140625" style="51"/>
    <col min="6140" max="6140" width="14.85546875" style="51" customWidth="1"/>
    <col min="6141" max="6167" width="7.5703125" style="51" customWidth="1"/>
    <col min="6168" max="6168" width="13.140625" style="51" customWidth="1"/>
    <col min="6169" max="6395" width="9.140625" style="51"/>
    <col min="6396" max="6396" width="14.85546875" style="51" customWidth="1"/>
    <col min="6397" max="6423" width="7.5703125" style="51" customWidth="1"/>
    <col min="6424" max="6424" width="13.140625" style="51" customWidth="1"/>
    <col min="6425" max="6651" width="9.140625" style="51"/>
    <col min="6652" max="6652" width="14.85546875" style="51" customWidth="1"/>
    <col min="6653" max="6679" width="7.5703125" style="51" customWidth="1"/>
    <col min="6680" max="6680" width="13.140625" style="51" customWidth="1"/>
    <col min="6681" max="6907" width="9.140625" style="51"/>
    <col min="6908" max="6908" width="14.85546875" style="51" customWidth="1"/>
    <col min="6909" max="6935" width="7.5703125" style="51" customWidth="1"/>
    <col min="6936" max="6936" width="13.140625" style="51" customWidth="1"/>
    <col min="6937" max="7163" width="9.140625" style="51"/>
    <col min="7164" max="7164" width="14.85546875" style="51" customWidth="1"/>
    <col min="7165" max="7191" width="7.5703125" style="51" customWidth="1"/>
    <col min="7192" max="7192" width="13.140625" style="51" customWidth="1"/>
    <col min="7193" max="7419" width="9.140625" style="51"/>
    <col min="7420" max="7420" width="14.85546875" style="51" customWidth="1"/>
    <col min="7421" max="7447" width="7.5703125" style="51" customWidth="1"/>
    <col min="7448" max="7448" width="13.140625" style="51" customWidth="1"/>
    <col min="7449" max="7675" width="9.140625" style="51"/>
    <col min="7676" max="7676" width="14.85546875" style="51" customWidth="1"/>
    <col min="7677" max="7703" width="7.5703125" style="51" customWidth="1"/>
    <col min="7704" max="7704" width="13.140625" style="51" customWidth="1"/>
    <col min="7705" max="7931" width="9.140625" style="51"/>
    <col min="7932" max="7932" width="14.85546875" style="51" customWidth="1"/>
    <col min="7933" max="7959" width="7.5703125" style="51" customWidth="1"/>
    <col min="7960" max="7960" width="13.140625" style="51" customWidth="1"/>
    <col min="7961" max="8187" width="9.140625" style="51"/>
    <col min="8188" max="8188" width="14.85546875" style="51" customWidth="1"/>
    <col min="8189" max="8215" width="7.5703125" style="51" customWidth="1"/>
    <col min="8216" max="8216" width="13.140625" style="51" customWidth="1"/>
    <col min="8217" max="8443" width="9.140625" style="51"/>
    <col min="8444" max="8444" width="14.85546875" style="51" customWidth="1"/>
    <col min="8445" max="8471" width="7.5703125" style="51" customWidth="1"/>
    <col min="8472" max="8472" width="13.140625" style="51" customWidth="1"/>
    <col min="8473" max="8699" width="9.140625" style="51"/>
    <col min="8700" max="8700" width="14.85546875" style="51" customWidth="1"/>
    <col min="8701" max="8727" width="7.5703125" style="51" customWidth="1"/>
    <col min="8728" max="8728" width="13.140625" style="51" customWidth="1"/>
    <col min="8729" max="8955" width="9.140625" style="51"/>
    <col min="8956" max="8956" width="14.85546875" style="51" customWidth="1"/>
    <col min="8957" max="8983" width="7.5703125" style="51" customWidth="1"/>
    <col min="8984" max="8984" width="13.140625" style="51" customWidth="1"/>
    <col min="8985" max="9211" width="9.140625" style="51"/>
    <col min="9212" max="9212" width="14.85546875" style="51" customWidth="1"/>
    <col min="9213" max="9239" width="7.5703125" style="51" customWidth="1"/>
    <col min="9240" max="9240" width="13.140625" style="51" customWidth="1"/>
    <col min="9241" max="9467" width="9.140625" style="51"/>
    <col min="9468" max="9468" width="14.85546875" style="51" customWidth="1"/>
    <col min="9469" max="9495" width="7.5703125" style="51" customWidth="1"/>
    <col min="9496" max="9496" width="13.140625" style="51" customWidth="1"/>
    <col min="9497" max="9723" width="9.140625" style="51"/>
    <col min="9724" max="9724" width="14.85546875" style="51" customWidth="1"/>
    <col min="9725" max="9751" width="7.5703125" style="51" customWidth="1"/>
    <col min="9752" max="9752" width="13.140625" style="51" customWidth="1"/>
    <col min="9753" max="9979" width="9.140625" style="51"/>
    <col min="9980" max="9980" width="14.85546875" style="51" customWidth="1"/>
    <col min="9981" max="10007" width="7.5703125" style="51" customWidth="1"/>
    <col min="10008" max="10008" width="13.140625" style="51" customWidth="1"/>
    <col min="10009" max="10235" width="9.140625" style="51"/>
    <col min="10236" max="10236" width="14.85546875" style="51" customWidth="1"/>
    <col min="10237" max="10263" width="7.5703125" style="51" customWidth="1"/>
    <col min="10264" max="10264" width="13.140625" style="51" customWidth="1"/>
    <col min="10265" max="10491" width="9.140625" style="51"/>
    <col min="10492" max="10492" width="14.85546875" style="51" customWidth="1"/>
    <col min="10493" max="10519" width="7.5703125" style="51" customWidth="1"/>
    <col min="10520" max="10520" width="13.140625" style="51" customWidth="1"/>
    <col min="10521" max="10747" width="9.140625" style="51"/>
    <col min="10748" max="10748" width="14.85546875" style="51" customWidth="1"/>
    <col min="10749" max="10775" width="7.5703125" style="51" customWidth="1"/>
    <col min="10776" max="10776" width="13.140625" style="51" customWidth="1"/>
    <col min="10777" max="11003" width="9.140625" style="51"/>
    <col min="11004" max="11004" width="14.85546875" style="51" customWidth="1"/>
    <col min="11005" max="11031" width="7.5703125" style="51" customWidth="1"/>
    <col min="11032" max="11032" width="13.140625" style="51" customWidth="1"/>
    <col min="11033" max="11259" width="9.140625" style="51"/>
    <col min="11260" max="11260" width="14.85546875" style="51" customWidth="1"/>
    <col min="11261" max="11287" width="7.5703125" style="51" customWidth="1"/>
    <col min="11288" max="11288" width="13.140625" style="51" customWidth="1"/>
    <col min="11289" max="11515" width="9.140625" style="51"/>
    <col min="11516" max="11516" width="14.85546875" style="51" customWidth="1"/>
    <col min="11517" max="11543" width="7.5703125" style="51" customWidth="1"/>
    <col min="11544" max="11544" width="13.140625" style="51" customWidth="1"/>
    <col min="11545" max="11771" width="9.140625" style="51"/>
    <col min="11772" max="11772" width="14.85546875" style="51" customWidth="1"/>
    <col min="11773" max="11799" width="7.5703125" style="51" customWidth="1"/>
    <col min="11800" max="11800" width="13.140625" style="51" customWidth="1"/>
    <col min="11801" max="12027" width="9.140625" style="51"/>
    <col min="12028" max="12028" width="14.85546875" style="51" customWidth="1"/>
    <col min="12029" max="12055" width="7.5703125" style="51" customWidth="1"/>
    <col min="12056" max="12056" width="13.140625" style="51" customWidth="1"/>
    <col min="12057" max="12283" width="9.140625" style="51"/>
    <col min="12284" max="12284" width="14.85546875" style="51" customWidth="1"/>
    <col min="12285" max="12311" width="7.5703125" style="51" customWidth="1"/>
    <col min="12312" max="12312" width="13.140625" style="51" customWidth="1"/>
    <col min="12313" max="12539" width="9.140625" style="51"/>
    <col min="12540" max="12540" width="14.85546875" style="51" customWidth="1"/>
    <col min="12541" max="12567" width="7.5703125" style="51" customWidth="1"/>
    <col min="12568" max="12568" width="13.140625" style="51" customWidth="1"/>
    <col min="12569" max="12795" width="9.140625" style="51"/>
    <col min="12796" max="12796" width="14.85546875" style="51" customWidth="1"/>
    <col min="12797" max="12823" width="7.5703125" style="51" customWidth="1"/>
    <col min="12824" max="12824" width="13.140625" style="51" customWidth="1"/>
    <col min="12825" max="13051" width="9.140625" style="51"/>
    <col min="13052" max="13052" width="14.85546875" style="51" customWidth="1"/>
    <col min="13053" max="13079" width="7.5703125" style="51" customWidth="1"/>
    <col min="13080" max="13080" width="13.140625" style="51" customWidth="1"/>
    <col min="13081" max="13307" width="9.140625" style="51"/>
    <col min="13308" max="13308" width="14.85546875" style="51" customWidth="1"/>
    <col min="13309" max="13335" width="7.5703125" style="51" customWidth="1"/>
    <col min="13336" max="13336" width="13.140625" style="51" customWidth="1"/>
    <col min="13337" max="13563" width="9.140625" style="51"/>
    <col min="13564" max="13564" width="14.85546875" style="51" customWidth="1"/>
    <col min="13565" max="13591" width="7.5703125" style="51" customWidth="1"/>
    <col min="13592" max="13592" width="13.140625" style="51" customWidth="1"/>
    <col min="13593" max="13819" width="9.140625" style="51"/>
    <col min="13820" max="13820" width="14.85546875" style="51" customWidth="1"/>
    <col min="13821" max="13847" width="7.5703125" style="51" customWidth="1"/>
    <col min="13848" max="13848" width="13.140625" style="51" customWidth="1"/>
    <col min="13849" max="14075" width="9.140625" style="51"/>
    <col min="14076" max="14076" width="14.85546875" style="51" customWidth="1"/>
    <col min="14077" max="14103" width="7.5703125" style="51" customWidth="1"/>
    <col min="14104" max="14104" width="13.140625" style="51" customWidth="1"/>
    <col min="14105" max="14331" width="9.140625" style="51"/>
    <col min="14332" max="14332" width="14.85546875" style="51" customWidth="1"/>
    <col min="14333" max="14359" width="7.5703125" style="51" customWidth="1"/>
    <col min="14360" max="14360" width="13.140625" style="51" customWidth="1"/>
    <col min="14361" max="14587" width="9.140625" style="51"/>
    <col min="14588" max="14588" width="14.85546875" style="51" customWidth="1"/>
    <col min="14589" max="14615" width="7.5703125" style="51" customWidth="1"/>
    <col min="14616" max="14616" width="13.140625" style="51" customWidth="1"/>
    <col min="14617" max="14843" width="9.140625" style="51"/>
    <col min="14844" max="14844" width="14.85546875" style="51" customWidth="1"/>
    <col min="14845" max="14871" width="7.5703125" style="51" customWidth="1"/>
    <col min="14872" max="14872" width="13.140625" style="51" customWidth="1"/>
    <col min="14873" max="15099" width="9.140625" style="51"/>
    <col min="15100" max="15100" width="14.85546875" style="51" customWidth="1"/>
    <col min="15101" max="15127" width="7.5703125" style="51" customWidth="1"/>
    <col min="15128" max="15128" width="13.140625" style="51" customWidth="1"/>
    <col min="15129" max="15355" width="9.140625" style="51"/>
    <col min="15356" max="15356" width="14.85546875" style="51" customWidth="1"/>
    <col min="15357" max="15383" width="7.5703125" style="51" customWidth="1"/>
    <col min="15384" max="15384" width="13.140625" style="51" customWidth="1"/>
    <col min="15385" max="15611" width="9.140625" style="51"/>
    <col min="15612" max="15612" width="14.85546875" style="51" customWidth="1"/>
    <col min="15613" max="15639" width="7.5703125" style="51" customWidth="1"/>
    <col min="15640" max="15640" width="13.140625" style="51" customWidth="1"/>
    <col min="15641" max="15867" width="9.140625" style="51"/>
    <col min="15868" max="15868" width="14.85546875" style="51" customWidth="1"/>
    <col min="15869" max="15895" width="7.5703125" style="51" customWidth="1"/>
    <col min="15896" max="15896" width="13.140625" style="51" customWidth="1"/>
    <col min="15897" max="16123" width="9.140625" style="51"/>
    <col min="16124" max="16124" width="14.85546875" style="51" customWidth="1"/>
    <col min="16125" max="16151" width="7.5703125" style="51" customWidth="1"/>
    <col min="16152" max="16152" width="13.140625" style="51" customWidth="1"/>
    <col min="16153" max="16384" width="9.140625" style="51"/>
  </cols>
  <sheetData>
    <row r="1" spans="1:28" ht="21" customHeight="1" x14ac:dyDescent="0.2">
      <c r="A1" s="29" t="s">
        <v>621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9"/>
      <c r="Y1" s="49"/>
      <c r="Z1" s="49"/>
      <c r="AA1" s="49"/>
      <c r="AB1" s="49"/>
    </row>
    <row r="2" spans="1:28" s="55" customFormat="1" ht="39" customHeight="1" x14ac:dyDescent="0.25">
      <c r="A2" s="52"/>
      <c r="B2" s="53" t="s">
        <v>479</v>
      </c>
      <c r="C2" s="53" t="s">
        <v>480</v>
      </c>
      <c r="D2" s="53" t="s">
        <v>481</v>
      </c>
      <c r="E2" s="53" t="s">
        <v>482</v>
      </c>
      <c r="F2" s="53" t="s">
        <v>483</v>
      </c>
      <c r="G2" s="53" t="s">
        <v>484</v>
      </c>
      <c r="H2" s="53" t="s">
        <v>485</v>
      </c>
      <c r="I2" s="53" t="s">
        <v>486</v>
      </c>
      <c r="J2" s="53" t="s">
        <v>487</v>
      </c>
      <c r="K2" s="53" t="s">
        <v>488</v>
      </c>
      <c r="L2" s="53" t="s">
        <v>592</v>
      </c>
      <c r="M2" s="53" t="s">
        <v>593</v>
      </c>
      <c r="N2" s="53" t="s">
        <v>489</v>
      </c>
      <c r="O2" s="53" t="s">
        <v>490</v>
      </c>
      <c r="P2" s="53" t="s">
        <v>491</v>
      </c>
      <c r="Q2" s="53" t="s">
        <v>492</v>
      </c>
      <c r="R2" s="53" t="s">
        <v>493</v>
      </c>
      <c r="S2" s="53" t="s">
        <v>494</v>
      </c>
      <c r="T2" s="53" t="s">
        <v>495</v>
      </c>
      <c r="U2" s="53" t="s">
        <v>496</v>
      </c>
      <c r="V2" s="53" t="s">
        <v>497</v>
      </c>
      <c r="W2" s="53" t="s">
        <v>498</v>
      </c>
      <c r="X2" s="53" t="s">
        <v>499</v>
      </c>
      <c r="Y2" s="53" t="s">
        <v>500</v>
      </c>
      <c r="Z2" s="53" t="s">
        <v>501</v>
      </c>
      <c r="AA2" s="53" t="s">
        <v>502</v>
      </c>
      <c r="AB2" s="53" t="s">
        <v>503</v>
      </c>
    </row>
    <row r="3" spans="1:28" s="16" customFormat="1" x14ac:dyDescent="0.25">
      <c r="A3" s="2" t="s">
        <v>31</v>
      </c>
      <c r="B3" s="40">
        <v>0</v>
      </c>
      <c r="C3" s="40">
        <v>219.643</v>
      </c>
      <c r="D3" s="40">
        <v>0</v>
      </c>
      <c r="E3" s="40">
        <v>1103.0999999999999</v>
      </c>
      <c r="F3" s="40">
        <v>62.702800000000003</v>
      </c>
      <c r="G3" s="40">
        <v>0</v>
      </c>
      <c r="H3" s="40">
        <v>279.55564000000004</v>
      </c>
      <c r="I3" s="40">
        <v>0</v>
      </c>
      <c r="J3" s="40">
        <v>0</v>
      </c>
      <c r="K3" s="40">
        <v>0</v>
      </c>
      <c r="L3" s="40">
        <v>0</v>
      </c>
      <c r="M3" s="40">
        <v>0</v>
      </c>
      <c r="N3" s="40">
        <v>0</v>
      </c>
      <c r="O3" s="40">
        <v>80.764449999999997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40">
        <v>0</v>
      </c>
      <c r="W3" s="40">
        <v>35.274000000000001</v>
      </c>
      <c r="X3" s="40">
        <v>26.707650000000001</v>
      </c>
      <c r="Y3" s="40">
        <v>0</v>
      </c>
      <c r="Z3" s="40">
        <v>60.211750000000002</v>
      </c>
      <c r="AA3" s="40">
        <v>10</v>
      </c>
      <c r="AB3" s="40">
        <v>0</v>
      </c>
    </row>
    <row r="4" spans="1:28" s="16" customFormat="1" x14ac:dyDescent="0.25">
      <c r="A4" s="2" t="s">
        <v>32</v>
      </c>
      <c r="B4" s="40">
        <v>0</v>
      </c>
      <c r="C4" s="40">
        <v>107.86355</v>
      </c>
      <c r="D4" s="40">
        <v>0</v>
      </c>
      <c r="E4" s="40">
        <v>771.01274999999998</v>
      </c>
      <c r="F4" s="40">
        <v>502.26759999999996</v>
      </c>
      <c r="G4" s="40">
        <v>0</v>
      </c>
      <c r="H4" s="40">
        <v>0</v>
      </c>
      <c r="I4" s="40">
        <v>0</v>
      </c>
      <c r="J4" s="40">
        <v>0</v>
      </c>
      <c r="K4" s="40">
        <v>0</v>
      </c>
      <c r="L4" s="40">
        <v>0</v>
      </c>
      <c r="M4" s="40">
        <v>0</v>
      </c>
      <c r="N4" s="40">
        <v>0</v>
      </c>
      <c r="O4" s="40">
        <v>18.896699999999999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40">
        <v>0</v>
      </c>
      <c r="W4" s="40">
        <v>322.68299999999999</v>
      </c>
      <c r="X4" s="40">
        <v>488.04740000000004</v>
      </c>
      <c r="Y4" s="40">
        <v>0</v>
      </c>
      <c r="Z4" s="40">
        <v>0</v>
      </c>
      <c r="AA4" s="40">
        <v>0</v>
      </c>
      <c r="AB4" s="40">
        <v>67.903999999999996</v>
      </c>
    </row>
    <row r="5" spans="1:28" s="16" customFormat="1" x14ac:dyDescent="0.25">
      <c r="A5" s="2" t="s">
        <v>4</v>
      </c>
      <c r="B5" s="40">
        <v>17.14</v>
      </c>
      <c r="C5" s="40">
        <v>429.34868999999998</v>
      </c>
      <c r="D5" s="40">
        <v>0</v>
      </c>
      <c r="E5" s="40">
        <v>578.72431999999992</v>
      </c>
      <c r="F5" s="40">
        <v>542.29438000000005</v>
      </c>
      <c r="G5" s="40">
        <v>0</v>
      </c>
      <c r="H5" s="40">
        <v>769.75639999999999</v>
      </c>
      <c r="I5" s="40">
        <v>0</v>
      </c>
      <c r="J5" s="40">
        <v>0</v>
      </c>
      <c r="K5" s="40">
        <v>0</v>
      </c>
      <c r="L5" s="40">
        <v>0</v>
      </c>
      <c r="M5" s="40">
        <v>0</v>
      </c>
      <c r="N5" s="40">
        <v>0</v>
      </c>
      <c r="O5" s="40">
        <v>35.129800000000003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  <c r="AA5" s="40">
        <v>0</v>
      </c>
      <c r="AB5" s="40">
        <v>0</v>
      </c>
    </row>
    <row r="6" spans="1:28" s="16" customFormat="1" x14ac:dyDescent="0.25">
      <c r="A6" s="2" t="s">
        <v>33</v>
      </c>
      <c r="B6" s="40">
        <v>0</v>
      </c>
      <c r="C6" s="40">
        <v>473.84340000000003</v>
      </c>
      <c r="D6" s="40">
        <v>80.115300000000005</v>
      </c>
      <c r="E6" s="40">
        <v>76.263000000000005</v>
      </c>
      <c r="F6" s="40">
        <v>45.696349999999995</v>
      </c>
      <c r="G6" s="40">
        <v>6.4924099999999996</v>
      </c>
      <c r="H6" s="40">
        <v>2.1619999999999999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76.231449999999995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60.564</v>
      </c>
      <c r="X6" s="40">
        <v>27.286099999999998</v>
      </c>
      <c r="Y6" s="40">
        <v>0</v>
      </c>
      <c r="Z6" s="40">
        <v>0</v>
      </c>
      <c r="AA6" s="40">
        <v>0</v>
      </c>
      <c r="AB6" s="40">
        <v>0</v>
      </c>
    </row>
    <row r="7" spans="1:28" s="16" customFormat="1" x14ac:dyDescent="0.25">
      <c r="A7" s="2" t="s">
        <v>34</v>
      </c>
      <c r="B7" s="40">
        <v>0</v>
      </c>
      <c r="C7" s="40">
        <v>104.56605</v>
      </c>
      <c r="D7" s="40">
        <v>0</v>
      </c>
      <c r="E7" s="40">
        <v>101.3198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16.306999999999999</v>
      </c>
      <c r="X7" s="40">
        <v>0</v>
      </c>
      <c r="Y7" s="40">
        <v>0</v>
      </c>
      <c r="Z7" s="40">
        <v>0</v>
      </c>
      <c r="AA7" s="40">
        <v>0</v>
      </c>
      <c r="AB7" s="40">
        <v>0</v>
      </c>
    </row>
    <row r="8" spans="1:28" s="16" customFormat="1" x14ac:dyDescent="0.25">
      <c r="A8" s="2" t="s">
        <v>35</v>
      </c>
      <c r="B8" s="40">
        <v>0</v>
      </c>
      <c r="C8" s="40">
        <v>213.10160000000002</v>
      </c>
      <c r="D8" s="40">
        <v>37.880549999999999</v>
      </c>
      <c r="E8" s="40">
        <v>238.64519000000001</v>
      </c>
      <c r="F8" s="40">
        <v>1528.2511499999998</v>
      </c>
      <c r="G8" s="40">
        <v>131.56950000000001</v>
      </c>
      <c r="H8" s="40">
        <v>4.2692399999999999</v>
      </c>
      <c r="I8" s="40">
        <v>0</v>
      </c>
      <c r="J8" s="40">
        <v>0</v>
      </c>
      <c r="K8" s="40">
        <v>0</v>
      </c>
      <c r="L8" s="40">
        <v>0</v>
      </c>
      <c r="M8" s="40">
        <v>0</v>
      </c>
      <c r="N8" s="40">
        <v>0</v>
      </c>
      <c r="O8" s="40">
        <v>355.1354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151.31299999999999</v>
      </c>
      <c r="X8" s="40">
        <v>300.27775000000003</v>
      </c>
      <c r="Y8" s="40">
        <v>0</v>
      </c>
      <c r="Z8" s="40">
        <v>0</v>
      </c>
      <c r="AA8" s="40">
        <v>0</v>
      </c>
      <c r="AB8" s="40">
        <v>0</v>
      </c>
    </row>
    <row r="9" spans="1:28" s="16" customFormat="1" x14ac:dyDescent="0.25">
      <c r="A9" s="2" t="s">
        <v>36</v>
      </c>
      <c r="B9" s="40">
        <v>31.794499999999999</v>
      </c>
      <c r="C9" s="40">
        <v>204.12379999999999</v>
      </c>
      <c r="D9" s="40">
        <v>0</v>
      </c>
      <c r="E9" s="40">
        <v>352.06378999999998</v>
      </c>
      <c r="F9" s="40">
        <v>24.219249999999999</v>
      </c>
      <c r="G9" s="40">
        <v>0</v>
      </c>
      <c r="H9" s="40">
        <v>80.302030000000002</v>
      </c>
      <c r="I9" s="40">
        <v>0</v>
      </c>
      <c r="J9" s="40">
        <v>0</v>
      </c>
      <c r="K9" s="40">
        <v>0</v>
      </c>
      <c r="L9" s="40">
        <v>0</v>
      </c>
      <c r="M9" s="40">
        <v>0</v>
      </c>
      <c r="N9" s="40">
        <v>0</v>
      </c>
      <c r="O9" s="40">
        <v>13.3087</v>
      </c>
      <c r="P9" s="40">
        <v>0</v>
      </c>
      <c r="Q9" s="40">
        <v>0</v>
      </c>
      <c r="R9" s="40">
        <v>0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0</v>
      </c>
      <c r="AB9" s="40">
        <v>0</v>
      </c>
    </row>
    <row r="10" spans="1:28" s="16" customFormat="1" x14ac:dyDescent="0.25">
      <c r="A10" s="2" t="s">
        <v>5</v>
      </c>
      <c r="B10" s="40">
        <v>0</v>
      </c>
      <c r="C10" s="40">
        <v>707.17043000000001</v>
      </c>
      <c r="D10" s="40">
        <v>32.480159999999998</v>
      </c>
      <c r="E10" s="40">
        <v>404.09115000000003</v>
      </c>
      <c r="F10" s="40">
        <v>4829.6671900000001</v>
      </c>
      <c r="G10" s="40">
        <v>0</v>
      </c>
      <c r="H10" s="40">
        <v>30.6617</v>
      </c>
      <c r="I10" s="40">
        <v>0</v>
      </c>
      <c r="J10" s="40">
        <v>0</v>
      </c>
      <c r="K10" s="40">
        <v>0</v>
      </c>
      <c r="L10" s="40">
        <v>0</v>
      </c>
      <c r="M10" s="40">
        <v>0</v>
      </c>
      <c r="N10" s="40">
        <v>0</v>
      </c>
      <c r="O10" s="40">
        <v>851.77748999999994</v>
      </c>
      <c r="P10" s="40">
        <v>0</v>
      </c>
      <c r="Q10" s="40">
        <v>0</v>
      </c>
      <c r="R10" s="40">
        <v>0</v>
      </c>
      <c r="S10" s="40">
        <v>0</v>
      </c>
      <c r="T10" s="40">
        <v>0</v>
      </c>
      <c r="U10" s="40">
        <v>0</v>
      </c>
      <c r="V10" s="40">
        <v>0</v>
      </c>
      <c r="W10" s="40">
        <v>356.31229999999999</v>
      </c>
      <c r="X10" s="40">
        <v>361.93604999999997</v>
      </c>
      <c r="Y10" s="40">
        <v>0</v>
      </c>
      <c r="Z10" s="40">
        <v>0</v>
      </c>
      <c r="AA10" s="40">
        <v>0</v>
      </c>
      <c r="AB10" s="40">
        <v>0</v>
      </c>
    </row>
    <row r="11" spans="1:28" s="16" customFormat="1" x14ac:dyDescent="0.25">
      <c r="A11" s="2" t="s">
        <v>37</v>
      </c>
      <c r="B11" s="40">
        <v>0</v>
      </c>
      <c r="C11" s="40">
        <v>81.877449999999996</v>
      </c>
      <c r="D11" s="40">
        <v>0</v>
      </c>
      <c r="E11" s="40">
        <v>0</v>
      </c>
      <c r="F11" s="40">
        <v>0</v>
      </c>
      <c r="G11" s="40">
        <v>0</v>
      </c>
      <c r="H11" s="40">
        <v>4.2158999999999995</v>
      </c>
      <c r="I11" s="40">
        <v>0</v>
      </c>
      <c r="J11" s="40">
        <v>0</v>
      </c>
      <c r="K11" s="40">
        <v>0</v>
      </c>
      <c r="L11" s="40">
        <v>0</v>
      </c>
      <c r="M11" s="40">
        <v>0</v>
      </c>
      <c r="N11" s="40">
        <v>0</v>
      </c>
      <c r="O11" s="40">
        <v>0.75139999999999996</v>
      </c>
      <c r="P11" s="40">
        <v>0</v>
      </c>
      <c r="Q11" s="40">
        <v>0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30.3</v>
      </c>
      <c r="Y11" s="40">
        <v>0</v>
      </c>
      <c r="Z11" s="40">
        <v>0</v>
      </c>
      <c r="AA11" s="40">
        <v>0</v>
      </c>
      <c r="AB11" s="40">
        <v>0</v>
      </c>
    </row>
    <row r="12" spans="1:28" s="16" customFormat="1" x14ac:dyDescent="0.25">
      <c r="A12" s="2" t="s">
        <v>38</v>
      </c>
      <c r="B12" s="40">
        <v>0</v>
      </c>
      <c r="C12" s="40">
        <v>262.89924999999999</v>
      </c>
      <c r="D12" s="40">
        <v>0</v>
      </c>
      <c r="E12" s="40">
        <v>200.29379999999998</v>
      </c>
      <c r="F12" s="40">
        <v>2.8</v>
      </c>
      <c r="G12" s="40">
        <v>231.6944</v>
      </c>
      <c r="H12" s="40">
        <v>0</v>
      </c>
      <c r="I12" s="40">
        <v>0</v>
      </c>
      <c r="J12" s="40">
        <v>0</v>
      </c>
      <c r="K12" s="40">
        <v>0</v>
      </c>
      <c r="L12" s="40">
        <v>0</v>
      </c>
      <c r="M12" s="40">
        <v>0</v>
      </c>
      <c r="N12" s="40">
        <v>0</v>
      </c>
      <c r="O12" s="40">
        <v>77.910749999999993</v>
      </c>
      <c r="P12" s="40">
        <v>0</v>
      </c>
      <c r="Q12" s="40">
        <v>0</v>
      </c>
      <c r="R12" s="40">
        <v>0</v>
      </c>
      <c r="S12" s="40">
        <v>0</v>
      </c>
      <c r="T12" s="40">
        <v>0</v>
      </c>
      <c r="U12" s="40">
        <v>0</v>
      </c>
      <c r="V12" s="40">
        <v>0</v>
      </c>
      <c r="W12" s="40">
        <v>47.406849999999999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</row>
    <row r="13" spans="1:28" s="16" customFormat="1" x14ac:dyDescent="0.25">
      <c r="A13" s="2" t="s">
        <v>6</v>
      </c>
      <c r="B13" s="40">
        <v>0</v>
      </c>
      <c r="C13" s="40">
        <v>793.42240000000004</v>
      </c>
      <c r="D13" s="40">
        <v>181.6182</v>
      </c>
      <c r="E13" s="40">
        <v>916.76710000000003</v>
      </c>
      <c r="F13" s="40">
        <v>203.84745000000001</v>
      </c>
      <c r="G13" s="40">
        <v>0</v>
      </c>
      <c r="H13" s="40">
        <v>240.05533</v>
      </c>
      <c r="I13" s="40">
        <v>0</v>
      </c>
      <c r="J13" s="40">
        <v>0</v>
      </c>
      <c r="K13" s="40">
        <v>10.4826</v>
      </c>
      <c r="L13" s="40">
        <v>0</v>
      </c>
      <c r="M13" s="40">
        <v>0</v>
      </c>
      <c r="N13" s="40">
        <v>0</v>
      </c>
      <c r="O13" s="40">
        <v>472.72604999999999</v>
      </c>
      <c r="P13" s="40">
        <v>0</v>
      </c>
      <c r="Q13" s="40">
        <v>0</v>
      </c>
      <c r="R13" s="40">
        <v>0</v>
      </c>
      <c r="S13" s="40">
        <v>11.04175</v>
      </c>
      <c r="T13" s="40">
        <v>0</v>
      </c>
      <c r="U13" s="40">
        <v>0</v>
      </c>
      <c r="V13" s="40">
        <v>0</v>
      </c>
      <c r="W13" s="40">
        <v>12.40085</v>
      </c>
      <c r="X13" s="40">
        <v>90.559550000000002</v>
      </c>
      <c r="Y13" s="40">
        <v>0</v>
      </c>
      <c r="Z13" s="40">
        <v>0</v>
      </c>
      <c r="AA13" s="40">
        <v>50.445</v>
      </c>
      <c r="AB13" s="40">
        <v>0</v>
      </c>
    </row>
    <row r="14" spans="1:28" s="16" customFormat="1" x14ac:dyDescent="0.25">
      <c r="A14" s="2" t="s">
        <v>39</v>
      </c>
      <c r="B14" s="40">
        <v>0</v>
      </c>
      <c r="C14" s="40">
        <v>223.35585999999998</v>
      </c>
      <c r="D14" s="40">
        <v>39.10275</v>
      </c>
      <c r="E14" s="40">
        <v>162.2611</v>
      </c>
      <c r="F14" s="40">
        <v>57.058550000000004</v>
      </c>
      <c r="G14" s="40">
        <v>0</v>
      </c>
      <c r="H14" s="40">
        <v>27.024999999999999</v>
      </c>
      <c r="I14" s="40">
        <v>0</v>
      </c>
      <c r="J14" s="40">
        <v>116.77315</v>
      </c>
      <c r="K14" s="40">
        <v>0</v>
      </c>
      <c r="L14" s="40">
        <v>0</v>
      </c>
      <c r="M14" s="40">
        <v>0</v>
      </c>
      <c r="N14" s="40">
        <v>0</v>
      </c>
      <c r="O14" s="40">
        <v>14.7187</v>
      </c>
      <c r="P14" s="40">
        <v>0</v>
      </c>
      <c r="Q14" s="40">
        <v>0</v>
      </c>
      <c r="R14" s="40">
        <v>0</v>
      </c>
      <c r="S14" s="40">
        <v>42.496600000000001</v>
      </c>
      <c r="T14" s="40">
        <v>0</v>
      </c>
      <c r="U14" s="40">
        <v>0</v>
      </c>
      <c r="V14" s="40">
        <v>0</v>
      </c>
      <c r="W14" s="40">
        <v>171.91300000000001</v>
      </c>
      <c r="X14" s="40">
        <v>62.9</v>
      </c>
      <c r="Y14" s="40">
        <v>0</v>
      </c>
      <c r="Z14" s="40">
        <v>0</v>
      </c>
      <c r="AA14" s="40">
        <v>0</v>
      </c>
      <c r="AB14" s="40">
        <v>0</v>
      </c>
    </row>
    <row r="15" spans="1:28" s="16" customFormat="1" x14ac:dyDescent="0.25">
      <c r="A15" s="2" t="s">
        <v>40</v>
      </c>
      <c r="B15" s="40">
        <v>0</v>
      </c>
      <c r="C15" s="40">
        <v>0</v>
      </c>
      <c r="D15" s="40">
        <v>0</v>
      </c>
      <c r="E15" s="40">
        <v>91.927499999999995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0</v>
      </c>
      <c r="M15" s="40">
        <v>0</v>
      </c>
      <c r="N15" s="40">
        <v>0</v>
      </c>
      <c r="O15" s="40">
        <v>65.34648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31.242000000000001</v>
      </c>
      <c r="X15" s="40">
        <v>46.646900000000002</v>
      </c>
      <c r="Y15" s="40">
        <v>0</v>
      </c>
      <c r="Z15" s="40">
        <v>0</v>
      </c>
      <c r="AA15" s="40">
        <v>0</v>
      </c>
      <c r="AB15" s="40">
        <v>0</v>
      </c>
    </row>
    <row r="16" spans="1:28" s="16" customFormat="1" x14ac:dyDescent="0.25">
      <c r="A16" s="2" t="s">
        <v>41</v>
      </c>
      <c r="B16" s="40">
        <v>0</v>
      </c>
      <c r="C16" s="40">
        <v>0</v>
      </c>
      <c r="D16" s="40">
        <v>0</v>
      </c>
      <c r="E16" s="40">
        <v>91.838999999999999</v>
      </c>
      <c r="F16" s="40">
        <v>0</v>
      </c>
      <c r="G16" s="40">
        <v>0</v>
      </c>
      <c r="H16" s="40">
        <v>149.82905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22.145099999999999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  <c r="AA16" s="40">
        <v>0</v>
      </c>
      <c r="AB16" s="40">
        <v>0</v>
      </c>
    </row>
    <row r="17" spans="1:28" s="16" customFormat="1" x14ac:dyDescent="0.25">
      <c r="A17" s="2" t="s">
        <v>27</v>
      </c>
      <c r="B17" s="40">
        <v>0</v>
      </c>
      <c r="C17" s="40">
        <v>5284.0051599999997</v>
      </c>
      <c r="D17" s="40">
        <v>138.62864999999999</v>
      </c>
      <c r="E17" s="40">
        <v>3180.5276400000002</v>
      </c>
      <c r="F17" s="40">
        <v>10001.925220000001</v>
      </c>
      <c r="G17" s="40">
        <v>146.32804999999999</v>
      </c>
      <c r="H17" s="40">
        <v>1349.14563</v>
      </c>
      <c r="I17" s="40">
        <v>1023.03305</v>
      </c>
      <c r="J17" s="40">
        <v>0</v>
      </c>
      <c r="K17" s="40">
        <v>0</v>
      </c>
      <c r="L17" s="40">
        <v>0</v>
      </c>
      <c r="M17" s="40">
        <v>0</v>
      </c>
      <c r="N17" s="40">
        <v>0</v>
      </c>
      <c r="O17" s="40">
        <v>1681.4879900000001</v>
      </c>
      <c r="P17" s="40">
        <v>6.4912999999999998</v>
      </c>
      <c r="Q17" s="40">
        <v>0</v>
      </c>
      <c r="R17" s="40">
        <v>100</v>
      </c>
      <c r="S17" s="40">
        <v>0</v>
      </c>
      <c r="T17" s="40">
        <v>75</v>
      </c>
      <c r="U17" s="40">
        <v>0</v>
      </c>
      <c r="V17" s="40">
        <v>0</v>
      </c>
      <c r="W17" s="40">
        <v>8546.3638499999997</v>
      </c>
      <c r="X17" s="40">
        <v>1805.3188</v>
      </c>
      <c r="Y17" s="40">
        <v>386.1062</v>
      </c>
      <c r="Z17" s="40">
        <v>8.5</v>
      </c>
      <c r="AA17" s="40">
        <v>274.79631999999998</v>
      </c>
      <c r="AB17" s="40">
        <v>18</v>
      </c>
    </row>
    <row r="18" spans="1:28" s="16" customFormat="1" x14ac:dyDescent="0.25">
      <c r="A18" s="2" t="s">
        <v>7</v>
      </c>
      <c r="B18" s="40">
        <v>0</v>
      </c>
      <c r="C18" s="40">
        <v>731.21543000000008</v>
      </c>
      <c r="D18" s="40">
        <v>0</v>
      </c>
      <c r="E18" s="40">
        <v>1026.4986899999999</v>
      </c>
      <c r="F18" s="40">
        <v>5656.8767600000001</v>
      </c>
      <c r="G18" s="40">
        <v>0</v>
      </c>
      <c r="H18" s="40">
        <v>770.34906999999998</v>
      </c>
      <c r="I18" s="40">
        <v>0</v>
      </c>
      <c r="J18" s="40">
        <v>0</v>
      </c>
      <c r="K18" s="40">
        <v>0</v>
      </c>
      <c r="L18" s="40">
        <v>0</v>
      </c>
      <c r="M18" s="40">
        <v>0</v>
      </c>
      <c r="N18" s="40">
        <v>0</v>
      </c>
      <c r="O18" s="40">
        <v>1362.9047499999999</v>
      </c>
      <c r="P18" s="40">
        <v>0</v>
      </c>
      <c r="Q18" s="40">
        <v>0</v>
      </c>
      <c r="R18" s="40">
        <v>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  <c r="AA18" s="40">
        <v>200</v>
      </c>
      <c r="AB18" s="40">
        <v>0</v>
      </c>
    </row>
    <row r="19" spans="1:28" s="16" customFormat="1" x14ac:dyDescent="0.25">
      <c r="A19" s="2" t="s">
        <v>42</v>
      </c>
      <c r="B19" s="40">
        <v>0</v>
      </c>
      <c r="C19" s="40">
        <v>251.67699999999999</v>
      </c>
      <c r="D19" s="40">
        <v>0</v>
      </c>
      <c r="E19" s="40">
        <v>387.29455000000002</v>
      </c>
      <c r="F19" s="40">
        <v>27.339549999999999</v>
      </c>
      <c r="G19" s="40">
        <v>0</v>
      </c>
      <c r="H19" s="40">
        <v>15.99709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35.540900000000001</v>
      </c>
      <c r="P19" s="40">
        <v>0</v>
      </c>
      <c r="Q19" s="40">
        <v>-10</v>
      </c>
      <c r="R19" s="40">
        <v>0</v>
      </c>
      <c r="S19" s="40">
        <v>0</v>
      </c>
      <c r="T19" s="40">
        <v>0</v>
      </c>
      <c r="U19" s="40">
        <v>0</v>
      </c>
      <c r="V19" s="40">
        <v>0</v>
      </c>
      <c r="W19" s="40">
        <v>436.73599999999999</v>
      </c>
      <c r="X19" s="40">
        <v>417.11595</v>
      </c>
      <c r="Y19" s="40">
        <v>0</v>
      </c>
      <c r="Z19" s="40">
        <v>0</v>
      </c>
      <c r="AA19" s="40">
        <v>0</v>
      </c>
      <c r="AB19" s="40">
        <v>0</v>
      </c>
    </row>
    <row r="20" spans="1:28" s="16" customFormat="1" x14ac:dyDescent="0.25">
      <c r="A20" s="2" t="s">
        <v>43</v>
      </c>
      <c r="B20" s="40">
        <v>0</v>
      </c>
      <c r="C20" s="40">
        <v>44.023669999999996</v>
      </c>
      <c r="D20" s="40">
        <v>19.373650000000001</v>
      </c>
      <c r="E20" s="40">
        <v>283.97679999999997</v>
      </c>
      <c r="F20" s="40">
        <v>59.5</v>
      </c>
      <c r="G20" s="40">
        <v>22.65513</v>
      </c>
      <c r="H20" s="40">
        <v>172.25375</v>
      </c>
      <c r="I20" s="40">
        <v>0</v>
      </c>
      <c r="J20" s="40">
        <v>0</v>
      </c>
      <c r="K20" s="40">
        <v>0</v>
      </c>
      <c r="L20" s="40">
        <v>0</v>
      </c>
      <c r="M20" s="40">
        <v>0</v>
      </c>
      <c r="N20" s="40">
        <v>0</v>
      </c>
      <c r="O20" s="40">
        <v>247.31586999999999</v>
      </c>
      <c r="P20" s="40">
        <v>0</v>
      </c>
      <c r="Q20" s="40">
        <v>0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</row>
    <row r="21" spans="1:28" s="16" customFormat="1" x14ac:dyDescent="0.25">
      <c r="A21" s="2" t="s">
        <v>44</v>
      </c>
      <c r="B21" s="40">
        <v>11.175549999999999</v>
      </c>
      <c r="C21" s="40">
        <v>0</v>
      </c>
      <c r="D21" s="40">
        <v>0</v>
      </c>
      <c r="E21" s="40">
        <v>4789.5535799999998</v>
      </c>
      <c r="F21" s="40">
        <v>193.21379999999999</v>
      </c>
      <c r="G21" s="40">
        <v>0</v>
      </c>
      <c r="H21" s="40">
        <v>0</v>
      </c>
      <c r="I21" s="40">
        <v>0</v>
      </c>
      <c r="J21" s="40">
        <v>0</v>
      </c>
      <c r="K21" s="40">
        <v>0</v>
      </c>
      <c r="L21" s="40">
        <v>0</v>
      </c>
      <c r="M21" s="40">
        <v>0</v>
      </c>
      <c r="N21" s="40">
        <v>6.8102999999999998</v>
      </c>
      <c r="O21" s="40">
        <v>0</v>
      </c>
      <c r="P21" s="40">
        <v>0</v>
      </c>
      <c r="Q21" s="40">
        <v>0</v>
      </c>
      <c r="R21" s="40">
        <v>0</v>
      </c>
      <c r="S21" s="40">
        <v>0</v>
      </c>
      <c r="T21" s="40">
        <v>0</v>
      </c>
      <c r="U21" s="40">
        <v>0</v>
      </c>
      <c r="V21" s="40">
        <v>0</v>
      </c>
      <c r="W21" s="40">
        <v>82.97063</v>
      </c>
      <c r="X21" s="40">
        <v>0</v>
      </c>
      <c r="Y21" s="40">
        <v>30</v>
      </c>
      <c r="Z21" s="40">
        <v>0</v>
      </c>
      <c r="AA21" s="40">
        <v>50</v>
      </c>
      <c r="AB21" s="40">
        <v>0</v>
      </c>
    </row>
    <row r="22" spans="1:28" s="16" customFormat="1" x14ac:dyDescent="0.25">
      <c r="A22" s="2" t="s">
        <v>8</v>
      </c>
      <c r="B22" s="40">
        <v>0</v>
      </c>
      <c r="C22" s="40">
        <v>308.17070000000001</v>
      </c>
      <c r="D22" s="40">
        <v>0</v>
      </c>
      <c r="E22" s="40">
        <v>544.60956999999996</v>
      </c>
      <c r="F22" s="40">
        <v>196.33539999999999</v>
      </c>
      <c r="G22" s="40">
        <v>0</v>
      </c>
      <c r="H22" s="40">
        <v>88.074300000000008</v>
      </c>
      <c r="I22" s="40">
        <v>0</v>
      </c>
      <c r="J22" s="40">
        <v>0</v>
      </c>
      <c r="K22" s="40">
        <v>0</v>
      </c>
      <c r="L22" s="40">
        <v>0</v>
      </c>
      <c r="M22" s="40">
        <v>0</v>
      </c>
      <c r="N22" s="40">
        <v>0</v>
      </c>
      <c r="O22" s="40">
        <v>27.004999999999999</v>
      </c>
      <c r="P22" s="40">
        <v>0</v>
      </c>
      <c r="Q22" s="40">
        <v>0</v>
      </c>
      <c r="R22" s="40">
        <v>0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41.7883</v>
      </c>
      <c r="Y22" s="40">
        <v>0</v>
      </c>
      <c r="Z22" s="40">
        <v>0</v>
      </c>
      <c r="AA22" s="40">
        <v>0</v>
      </c>
      <c r="AB22" s="40">
        <v>0</v>
      </c>
    </row>
    <row r="23" spans="1:28" s="16" customFormat="1" x14ac:dyDescent="0.25">
      <c r="A23" s="2" t="s">
        <v>45</v>
      </c>
      <c r="B23" s="40">
        <v>0</v>
      </c>
      <c r="C23" s="40">
        <v>9.7212499999999995</v>
      </c>
      <c r="D23" s="40">
        <v>0</v>
      </c>
      <c r="E23" s="40">
        <v>232.7106</v>
      </c>
      <c r="F23" s="40">
        <v>15</v>
      </c>
      <c r="G23" s="40">
        <v>22.220749999999999</v>
      </c>
      <c r="H23" s="40">
        <v>0</v>
      </c>
      <c r="I23" s="40">
        <v>0</v>
      </c>
      <c r="J23" s="40">
        <v>0</v>
      </c>
      <c r="K23" s="40">
        <v>0</v>
      </c>
      <c r="L23" s="40">
        <v>0</v>
      </c>
      <c r="M23" s="40">
        <v>0</v>
      </c>
      <c r="N23" s="40">
        <v>0</v>
      </c>
      <c r="O23" s="40">
        <v>17.492249999999999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  <c r="AA23" s="40">
        <v>0</v>
      </c>
      <c r="AB23" s="40">
        <v>0</v>
      </c>
    </row>
    <row r="24" spans="1:28" s="16" customFormat="1" x14ac:dyDescent="0.25">
      <c r="A24" s="2" t="s">
        <v>46</v>
      </c>
      <c r="B24" s="40">
        <v>0</v>
      </c>
      <c r="C24" s="40">
        <v>306.26509999999996</v>
      </c>
      <c r="D24" s="40">
        <v>0</v>
      </c>
      <c r="E24" s="40">
        <v>2596.8694999999998</v>
      </c>
      <c r="F24" s="40">
        <v>2.7544</v>
      </c>
      <c r="G24" s="40">
        <v>192.07640000000001</v>
      </c>
      <c r="H24" s="40">
        <v>37.784349999999996</v>
      </c>
      <c r="I24" s="40">
        <v>0</v>
      </c>
      <c r="J24" s="40">
        <v>0</v>
      </c>
      <c r="K24" s="40">
        <v>0</v>
      </c>
      <c r="L24" s="40">
        <v>0</v>
      </c>
      <c r="M24" s="40">
        <v>0</v>
      </c>
      <c r="N24" s="40">
        <v>0</v>
      </c>
      <c r="O24" s="40">
        <v>301.69754999999998</v>
      </c>
      <c r="P24" s="40">
        <v>0</v>
      </c>
      <c r="Q24" s="40">
        <v>0</v>
      </c>
      <c r="R24" s="40">
        <v>0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301.6771</v>
      </c>
      <c r="Y24" s="40">
        <v>0</v>
      </c>
      <c r="Z24" s="40">
        <v>0</v>
      </c>
      <c r="AA24" s="40">
        <v>0</v>
      </c>
      <c r="AB24" s="40">
        <v>0</v>
      </c>
    </row>
    <row r="25" spans="1:28" s="16" customFormat="1" x14ac:dyDescent="0.25">
      <c r="A25" s="2" t="s">
        <v>47</v>
      </c>
      <c r="B25" s="40">
        <v>0</v>
      </c>
      <c r="C25" s="40">
        <v>63.164850000000001</v>
      </c>
      <c r="D25" s="40">
        <v>68.073399999999992</v>
      </c>
      <c r="E25" s="40">
        <v>84.57405</v>
      </c>
      <c r="F25" s="40">
        <v>36.229500000000002</v>
      </c>
      <c r="G25" s="40">
        <v>63.505749999999999</v>
      </c>
      <c r="H25" s="40">
        <v>0</v>
      </c>
      <c r="I25" s="40">
        <v>0</v>
      </c>
      <c r="J25" s="40">
        <v>0</v>
      </c>
      <c r="K25" s="40">
        <v>0</v>
      </c>
      <c r="L25" s="40">
        <v>0</v>
      </c>
      <c r="M25" s="40">
        <v>0</v>
      </c>
      <c r="N25" s="40">
        <v>0</v>
      </c>
      <c r="O25" s="40">
        <v>18.810599999999997</v>
      </c>
      <c r="P25" s="40">
        <v>0</v>
      </c>
      <c r="Q25" s="40">
        <v>0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20.592400000000001</v>
      </c>
      <c r="X25" s="40">
        <v>20</v>
      </c>
      <c r="Y25" s="40">
        <v>0</v>
      </c>
      <c r="Z25" s="40">
        <v>0</v>
      </c>
      <c r="AA25" s="40">
        <v>0</v>
      </c>
      <c r="AB25" s="40">
        <v>0</v>
      </c>
    </row>
    <row r="26" spans="1:28" s="16" customFormat="1" x14ac:dyDescent="0.25">
      <c r="A26" s="2" t="s">
        <v>48</v>
      </c>
      <c r="B26" s="40">
        <v>0</v>
      </c>
      <c r="C26" s="40">
        <v>542.01985000000002</v>
      </c>
      <c r="D26" s="40">
        <v>0</v>
      </c>
      <c r="E26" s="40">
        <v>600.90413000000001</v>
      </c>
      <c r="F26" s="40">
        <v>2591.05843</v>
      </c>
      <c r="G26" s="40">
        <v>0</v>
      </c>
      <c r="H26" s="40">
        <v>109.66616</v>
      </c>
      <c r="I26" s="40">
        <v>0</v>
      </c>
      <c r="J26" s="40">
        <v>0</v>
      </c>
      <c r="K26" s="40">
        <v>0</v>
      </c>
      <c r="L26" s="40">
        <v>0</v>
      </c>
      <c r="M26" s="40">
        <v>0</v>
      </c>
      <c r="N26" s="40">
        <v>42.842199999999998</v>
      </c>
      <c r="O26" s="40">
        <v>320.75334999999995</v>
      </c>
      <c r="P26" s="40">
        <v>0</v>
      </c>
      <c r="Q26" s="40">
        <v>0</v>
      </c>
      <c r="R26" s="40">
        <v>0</v>
      </c>
      <c r="S26" s="40">
        <v>0</v>
      </c>
      <c r="T26" s="40">
        <v>0</v>
      </c>
      <c r="U26" s="40">
        <v>0</v>
      </c>
      <c r="V26" s="40">
        <v>0</v>
      </c>
      <c r="W26" s="40">
        <v>101.82464999999999</v>
      </c>
      <c r="X26" s="40">
        <v>72.594549999999998</v>
      </c>
      <c r="Y26" s="40">
        <v>0</v>
      </c>
      <c r="Z26" s="40">
        <v>0</v>
      </c>
      <c r="AA26" s="40">
        <v>0</v>
      </c>
      <c r="AB26" s="40">
        <v>0</v>
      </c>
    </row>
    <row r="27" spans="1:28" s="16" customFormat="1" x14ac:dyDescent="0.25">
      <c r="A27" s="2" t="s">
        <v>49</v>
      </c>
      <c r="B27" s="40">
        <v>16.163250000000001</v>
      </c>
      <c r="C27" s="40">
        <v>78.216300000000004</v>
      </c>
      <c r="D27" s="40">
        <v>0</v>
      </c>
      <c r="E27" s="40">
        <v>934.54032999999993</v>
      </c>
      <c r="F27" s="40">
        <v>438.48</v>
      </c>
      <c r="G27" s="40">
        <v>167.27710000000002</v>
      </c>
      <c r="H27" s="40">
        <v>0</v>
      </c>
      <c r="I27" s="40">
        <v>0</v>
      </c>
      <c r="J27" s="40">
        <v>0</v>
      </c>
      <c r="K27" s="40">
        <v>0</v>
      </c>
      <c r="L27" s="40">
        <v>0</v>
      </c>
      <c r="M27" s="40">
        <v>0</v>
      </c>
      <c r="N27" s="40">
        <v>0</v>
      </c>
      <c r="O27" s="40">
        <v>43.902500000000003</v>
      </c>
      <c r="P27" s="40">
        <v>0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</row>
    <row r="28" spans="1:28" s="16" customFormat="1" x14ac:dyDescent="0.25">
      <c r="A28" s="2" t="s">
        <v>50</v>
      </c>
      <c r="B28" s="40">
        <v>0</v>
      </c>
      <c r="C28" s="40">
        <v>632.77234999999996</v>
      </c>
      <c r="D28" s="40">
        <v>0</v>
      </c>
      <c r="E28" s="40">
        <v>376.56184999999999</v>
      </c>
      <c r="F28" s="40">
        <v>0</v>
      </c>
      <c r="G28" s="40">
        <v>0</v>
      </c>
      <c r="H28" s="40">
        <v>73.599999999999994</v>
      </c>
      <c r="I28" s="40">
        <v>0</v>
      </c>
      <c r="J28" s="40">
        <v>0</v>
      </c>
      <c r="K28" s="40">
        <v>0</v>
      </c>
      <c r="L28" s="40">
        <v>0</v>
      </c>
      <c r="M28" s="40">
        <v>0</v>
      </c>
      <c r="N28" s="40">
        <v>0</v>
      </c>
      <c r="O28" s="40">
        <v>179.44139999999999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0</v>
      </c>
      <c r="W28" s="40">
        <v>36.470999999999997</v>
      </c>
      <c r="X28" s="40">
        <v>70.117050000000006</v>
      </c>
      <c r="Y28" s="40">
        <v>0</v>
      </c>
      <c r="Z28" s="40">
        <v>0</v>
      </c>
      <c r="AA28" s="40">
        <v>0</v>
      </c>
      <c r="AB28" s="40">
        <v>0</v>
      </c>
    </row>
    <row r="29" spans="1:28" s="16" customFormat="1" x14ac:dyDescent="0.25">
      <c r="A29" s="2" t="s">
        <v>51</v>
      </c>
      <c r="B29" s="40">
        <v>0</v>
      </c>
      <c r="C29" s="40">
        <v>144.49845000000002</v>
      </c>
      <c r="D29" s="40">
        <v>297.58632</v>
      </c>
      <c r="E29" s="40">
        <v>246.74089999999998</v>
      </c>
      <c r="F29" s="40">
        <v>57.5</v>
      </c>
      <c r="G29" s="40">
        <v>2.8886999999999996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174.553</v>
      </c>
      <c r="X29" s="40">
        <v>89.38069999999999</v>
      </c>
      <c r="Y29" s="40">
        <v>0</v>
      </c>
      <c r="Z29" s="40">
        <v>0</v>
      </c>
      <c r="AA29" s="40">
        <v>0</v>
      </c>
      <c r="AB29" s="40">
        <v>0</v>
      </c>
    </row>
    <row r="30" spans="1:28" s="16" customFormat="1" x14ac:dyDescent="0.25">
      <c r="A30" s="2" t="s">
        <v>52</v>
      </c>
      <c r="B30" s="40">
        <v>1081.2339999999999</v>
      </c>
      <c r="C30" s="40">
        <v>195.5179</v>
      </c>
      <c r="D30" s="40">
        <v>0</v>
      </c>
      <c r="E30" s="40">
        <v>0.1</v>
      </c>
      <c r="F30" s="40">
        <v>919.52300000000002</v>
      </c>
      <c r="G30" s="40">
        <v>0</v>
      </c>
      <c r="H30" s="40">
        <v>86.977899999999991</v>
      </c>
      <c r="I30" s="40">
        <v>0</v>
      </c>
      <c r="J30" s="40">
        <v>0</v>
      </c>
      <c r="K30" s="40">
        <v>0</v>
      </c>
      <c r="L30" s="40">
        <v>0</v>
      </c>
      <c r="M30" s="40">
        <v>0</v>
      </c>
      <c r="N30" s="40">
        <v>0</v>
      </c>
      <c r="O30" s="40">
        <v>162.73554999999999</v>
      </c>
      <c r="P30" s="40">
        <v>0</v>
      </c>
      <c r="Q30" s="40">
        <v>0</v>
      </c>
      <c r="R30" s="40">
        <v>0</v>
      </c>
      <c r="S30" s="40">
        <v>0</v>
      </c>
      <c r="T30" s="40">
        <v>0</v>
      </c>
      <c r="U30" s="40">
        <v>0</v>
      </c>
      <c r="V30" s="40">
        <v>0</v>
      </c>
      <c r="W30" s="40">
        <v>98.003249999999994</v>
      </c>
      <c r="X30" s="40">
        <v>0</v>
      </c>
      <c r="Y30" s="40">
        <v>0</v>
      </c>
      <c r="Z30" s="40">
        <v>0</v>
      </c>
      <c r="AA30" s="40">
        <v>0</v>
      </c>
      <c r="AB30" s="40">
        <v>0</v>
      </c>
    </row>
    <row r="31" spans="1:28" s="16" customFormat="1" x14ac:dyDescent="0.25">
      <c r="A31" s="2" t="s">
        <v>9</v>
      </c>
      <c r="B31" s="40">
        <v>0</v>
      </c>
      <c r="C31" s="40">
        <v>142.87439999999998</v>
      </c>
      <c r="D31" s="40">
        <v>5.4050000000000002</v>
      </c>
      <c r="E31" s="40">
        <v>20.0533</v>
      </c>
      <c r="F31" s="40">
        <v>0</v>
      </c>
      <c r="G31" s="40">
        <v>0</v>
      </c>
      <c r="H31" s="40">
        <v>1.1134500000000001</v>
      </c>
      <c r="I31" s="40">
        <v>0</v>
      </c>
      <c r="J31" s="40">
        <v>0</v>
      </c>
      <c r="K31" s="40">
        <v>0</v>
      </c>
      <c r="L31" s="40">
        <v>0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0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</row>
    <row r="32" spans="1:28" s="16" customFormat="1" x14ac:dyDescent="0.25">
      <c r="A32" s="2" t="s">
        <v>10</v>
      </c>
      <c r="B32" s="40">
        <v>0</v>
      </c>
      <c r="C32" s="40">
        <v>117.74885</v>
      </c>
      <c r="D32" s="40">
        <v>0</v>
      </c>
      <c r="E32" s="40">
        <v>0</v>
      </c>
      <c r="F32" s="40">
        <v>16.215</v>
      </c>
      <c r="G32" s="40">
        <v>59.85895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10.81</v>
      </c>
      <c r="O32" s="40">
        <v>10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155.72900000000001</v>
      </c>
      <c r="X32" s="40">
        <v>258.68060000000003</v>
      </c>
      <c r="Y32" s="40">
        <v>0</v>
      </c>
      <c r="Z32" s="40">
        <v>0</v>
      </c>
      <c r="AA32" s="40">
        <v>0</v>
      </c>
      <c r="AB32" s="40">
        <v>0</v>
      </c>
    </row>
    <row r="33" spans="1:28" s="16" customFormat="1" x14ac:dyDescent="0.25">
      <c r="A33" s="2" t="s">
        <v>53</v>
      </c>
      <c r="B33" s="40">
        <v>0</v>
      </c>
      <c r="C33" s="40">
        <v>752.19315000000006</v>
      </c>
      <c r="D33" s="40">
        <v>104.96325</v>
      </c>
      <c r="E33" s="40">
        <v>2118.4465</v>
      </c>
      <c r="F33" s="40">
        <v>4272.1967999999997</v>
      </c>
      <c r="G33" s="40">
        <v>0</v>
      </c>
      <c r="H33" s="40">
        <v>168.01566</v>
      </c>
      <c r="I33" s="40">
        <v>0</v>
      </c>
      <c r="J33" s="40">
        <v>0</v>
      </c>
      <c r="K33" s="40">
        <v>0</v>
      </c>
      <c r="L33" s="40">
        <v>0</v>
      </c>
      <c r="M33" s="40">
        <v>0</v>
      </c>
      <c r="N33" s="40">
        <v>0</v>
      </c>
      <c r="O33" s="40">
        <v>425.41654999999997</v>
      </c>
      <c r="P33" s="40">
        <v>0</v>
      </c>
      <c r="Q33" s="40">
        <v>0</v>
      </c>
      <c r="R33" s="40">
        <v>0</v>
      </c>
      <c r="S33" s="40">
        <v>0</v>
      </c>
      <c r="T33" s="40">
        <v>0</v>
      </c>
      <c r="U33" s="40">
        <v>0</v>
      </c>
      <c r="V33" s="40">
        <v>0</v>
      </c>
      <c r="W33" s="40">
        <v>272.66899999999998</v>
      </c>
      <c r="X33" s="40">
        <v>279.25579999999997</v>
      </c>
      <c r="Y33" s="40">
        <v>0</v>
      </c>
      <c r="Z33" s="40">
        <v>0</v>
      </c>
      <c r="AA33" s="40">
        <v>0</v>
      </c>
      <c r="AB33" s="40">
        <v>8.0678999999999998</v>
      </c>
    </row>
    <row r="34" spans="1:28" s="16" customFormat="1" x14ac:dyDescent="0.25">
      <c r="A34" s="2" t="s">
        <v>54</v>
      </c>
      <c r="B34" s="40">
        <v>0</v>
      </c>
      <c r="C34" s="40">
        <v>1381.57655</v>
      </c>
      <c r="D34" s="40">
        <v>20.560590000000001</v>
      </c>
      <c r="E34" s="40">
        <v>834.06885</v>
      </c>
      <c r="F34" s="40">
        <v>1165.7745600000001</v>
      </c>
      <c r="G34" s="40">
        <v>252.93475000000001</v>
      </c>
      <c r="H34" s="40">
        <v>328.73534999999998</v>
      </c>
      <c r="I34" s="40">
        <v>0</v>
      </c>
      <c r="J34" s="40">
        <v>0</v>
      </c>
      <c r="K34" s="40">
        <v>0</v>
      </c>
      <c r="L34" s="40">
        <v>0</v>
      </c>
      <c r="M34" s="40">
        <v>0</v>
      </c>
      <c r="N34" s="40">
        <v>40.139600000000002</v>
      </c>
      <c r="O34" s="40">
        <v>183.06704000000002</v>
      </c>
      <c r="P34" s="40">
        <v>0</v>
      </c>
      <c r="Q34" s="40">
        <v>0</v>
      </c>
      <c r="R34" s="40">
        <v>0</v>
      </c>
      <c r="S34" s="40">
        <v>0</v>
      </c>
      <c r="T34" s="40">
        <v>0</v>
      </c>
      <c r="U34" s="40">
        <v>0</v>
      </c>
      <c r="V34" s="40">
        <v>0</v>
      </c>
      <c r="W34" s="40">
        <v>262.822</v>
      </c>
      <c r="X34" s="40">
        <v>70.5077</v>
      </c>
      <c r="Y34" s="40">
        <v>18.17831</v>
      </c>
      <c r="Z34" s="40">
        <v>8.210049999999999</v>
      </c>
      <c r="AA34" s="40">
        <v>0</v>
      </c>
      <c r="AB34" s="40">
        <v>0</v>
      </c>
    </row>
    <row r="35" spans="1:28" s="16" customFormat="1" x14ac:dyDescent="0.25">
      <c r="A35" s="2" t="s">
        <v>55</v>
      </c>
      <c r="B35" s="40">
        <v>3.4464000000000001</v>
      </c>
      <c r="C35" s="40">
        <v>598.68615</v>
      </c>
      <c r="D35" s="40">
        <v>0</v>
      </c>
      <c r="E35" s="40">
        <v>939.92768999999998</v>
      </c>
      <c r="F35" s="40">
        <v>376.45795000000004</v>
      </c>
      <c r="G35" s="40">
        <v>243.49159</v>
      </c>
      <c r="H35" s="40">
        <v>184.55914999999999</v>
      </c>
      <c r="I35" s="40">
        <v>0</v>
      </c>
      <c r="J35" s="40">
        <v>0</v>
      </c>
      <c r="K35" s="40">
        <v>0</v>
      </c>
      <c r="L35" s="40">
        <v>0</v>
      </c>
      <c r="M35" s="40">
        <v>0</v>
      </c>
      <c r="N35" s="40">
        <v>0</v>
      </c>
      <c r="O35" s="40">
        <v>194.16818000000001</v>
      </c>
      <c r="P35" s="40">
        <v>21</v>
      </c>
      <c r="Q35" s="40">
        <v>0</v>
      </c>
      <c r="R35" s="40">
        <v>0</v>
      </c>
      <c r="S35" s="40">
        <v>0</v>
      </c>
      <c r="T35" s="40">
        <v>0</v>
      </c>
      <c r="U35" s="40">
        <v>0</v>
      </c>
      <c r="V35" s="40">
        <v>0</v>
      </c>
      <c r="W35" s="40">
        <v>0</v>
      </c>
      <c r="X35" s="40">
        <v>290.44409999999999</v>
      </c>
      <c r="Y35" s="40">
        <v>0</v>
      </c>
      <c r="Z35" s="40">
        <v>0</v>
      </c>
      <c r="AA35" s="40">
        <v>0</v>
      </c>
      <c r="AB35" s="40">
        <v>0</v>
      </c>
    </row>
    <row r="36" spans="1:28" s="16" customFormat="1" x14ac:dyDescent="0.25">
      <c r="A36" s="2" t="s">
        <v>56</v>
      </c>
      <c r="B36" s="40">
        <v>0</v>
      </c>
      <c r="C36" s="40">
        <v>699.69769999999994</v>
      </c>
      <c r="D36" s="40">
        <v>0</v>
      </c>
      <c r="E36" s="40">
        <v>459.60179999999997</v>
      </c>
      <c r="F36" s="40">
        <v>1336.5206000000001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0</v>
      </c>
      <c r="M36" s="40">
        <v>0</v>
      </c>
      <c r="N36" s="40">
        <v>0</v>
      </c>
      <c r="O36" s="40">
        <v>20</v>
      </c>
      <c r="P36" s="40">
        <v>0</v>
      </c>
      <c r="Q36" s="40">
        <v>0</v>
      </c>
      <c r="R36" s="40">
        <v>0</v>
      </c>
      <c r="S36" s="40">
        <v>0</v>
      </c>
      <c r="T36" s="40">
        <v>0</v>
      </c>
      <c r="U36" s="40">
        <v>0</v>
      </c>
      <c r="V36" s="40">
        <v>0</v>
      </c>
      <c r="W36" s="40">
        <v>30.570250000000001</v>
      </c>
      <c r="X36" s="40">
        <v>18.478580000000001</v>
      </c>
      <c r="Y36" s="40">
        <v>0</v>
      </c>
      <c r="Z36" s="40">
        <v>0</v>
      </c>
      <c r="AA36" s="40">
        <v>0</v>
      </c>
      <c r="AB36" s="40">
        <v>0</v>
      </c>
    </row>
    <row r="37" spans="1:28" s="16" customFormat="1" x14ac:dyDescent="0.25">
      <c r="A37" s="2" t="s">
        <v>57</v>
      </c>
      <c r="B37" s="40">
        <v>0</v>
      </c>
      <c r="C37" s="40">
        <v>270.83805000000001</v>
      </c>
      <c r="D37" s="40">
        <v>8.8012499999999996</v>
      </c>
      <c r="E37" s="40">
        <v>153.43889999999999</v>
      </c>
      <c r="F37" s="40">
        <v>0</v>
      </c>
      <c r="G37" s="40">
        <v>1.8611</v>
      </c>
      <c r="H37" s="40">
        <v>2.1539999999999999</v>
      </c>
      <c r="I37" s="40">
        <v>0</v>
      </c>
      <c r="J37" s="40">
        <v>0</v>
      </c>
      <c r="K37" s="40">
        <v>0</v>
      </c>
      <c r="L37" s="40">
        <v>0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</row>
    <row r="38" spans="1:28" s="16" customFormat="1" x14ac:dyDescent="0.25">
      <c r="A38" s="2" t="s">
        <v>58</v>
      </c>
      <c r="B38" s="40">
        <v>0</v>
      </c>
      <c r="C38" s="40">
        <v>323.06594999999999</v>
      </c>
      <c r="D38" s="40">
        <v>39.039499999999997</v>
      </c>
      <c r="E38" s="40">
        <v>197.63272000000001</v>
      </c>
      <c r="F38" s="40">
        <v>28.99</v>
      </c>
      <c r="G38" s="40">
        <v>27.533049999999999</v>
      </c>
      <c r="H38" s="40">
        <v>0</v>
      </c>
      <c r="I38" s="40">
        <v>3.7363499999999998</v>
      </c>
      <c r="J38" s="40">
        <v>0</v>
      </c>
      <c r="K38" s="40">
        <v>0</v>
      </c>
      <c r="L38" s="40">
        <v>0</v>
      </c>
      <c r="M38" s="40">
        <v>0</v>
      </c>
      <c r="N38" s="40">
        <v>0</v>
      </c>
      <c r="O38" s="40">
        <v>27.149349999999998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34.217500000000001</v>
      </c>
      <c r="X38" s="40">
        <v>70.200999999999993</v>
      </c>
      <c r="Y38" s="40">
        <v>0</v>
      </c>
      <c r="Z38" s="40">
        <v>0</v>
      </c>
      <c r="AA38" s="40">
        <v>0</v>
      </c>
      <c r="AB38" s="40">
        <v>0</v>
      </c>
    </row>
    <row r="39" spans="1:28" s="16" customFormat="1" x14ac:dyDescent="0.25">
      <c r="A39" s="2" t="s">
        <v>11</v>
      </c>
      <c r="B39" s="40">
        <v>0</v>
      </c>
      <c r="C39" s="40">
        <v>1238.5563200000001</v>
      </c>
      <c r="D39" s="40">
        <v>0</v>
      </c>
      <c r="E39" s="40">
        <v>491.49715000000003</v>
      </c>
      <c r="F39" s="40">
        <v>5216.9747400000006</v>
      </c>
      <c r="G39" s="40">
        <v>144.23448999999999</v>
      </c>
      <c r="H39" s="40">
        <v>392.1986</v>
      </c>
      <c r="I39" s="40">
        <v>0</v>
      </c>
      <c r="J39" s="40">
        <v>0</v>
      </c>
      <c r="K39" s="40">
        <v>0</v>
      </c>
      <c r="L39" s="40">
        <v>0</v>
      </c>
      <c r="M39" s="40">
        <v>0</v>
      </c>
      <c r="N39" s="40">
        <v>0</v>
      </c>
      <c r="O39" s="40">
        <v>309.34409000000005</v>
      </c>
      <c r="P39" s="40">
        <v>0</v>
      </c>
      <c r="Q39" s="40">
        <v>0</v>
      </c>
      <c r="R39" s="40">
        <v>0</v>
      </c>
      <c r="S39" s="40">
        <v>0</v>
      </c>
      <c r="T39" s="40">
        <v>0</v>
      </c>
      <c r="U39" s="40">
        <v>0</v>
      </c>
      <c r="V39" s="40">
        <v>0</v>
      </c>
      <c r="W39" s="40">
        <v>0</v>
      </c>
      <c r="X39" s="40">
        <v>209.35220000000001</v>
      </c>
      <c r="Y39" s="40">
        <v>0</v>
      </c>
      <c r="Z39" s="40">
        <v>3.36795</v>
      </c>
      <c r="AA39" s="40">
        <v>0</v>
      </c>
      <c r="AB39" s="40">
        <v>0</v>
      </c>
    </row>
    <row r="40" spans="1:28" s="16" customFormat="1" x14ac:dyDescent="0.25">
      <c r="A40" s="3" t="s">
        <v>59</v>
      </c>
      <c r="B40" s="40">
        <v>0</v>
      </c>
      <c r="C40" s="40">
        <v>15.940700000000001</v>
      </c>
      <c r="D40" s="40">
        <v>0</v>
      </c>
      <c r="E40" s="40">
        <v>555.82772</v>
      </c>
      <c r="F40" s="40">
        <v>331.31704999999999</v>
      </c>
      <c r="G40" s="40">
        <v>0</v>
      </c>
      <c r="H40" s="40">
        <v>53.872050000000002</v>
      </c>
      <c r="I40" s="40">
        <v>0</v>
      </c>
      <c r="J40" s="40">
        <v>0</v>
      </c>
      <c r="K40" s="40">
        <v>0</v>
      </c>
      <c r="L40" s="40">
        <v>0</v>
      </c>
      <c r="M40" s="40">
        <v>0</v>
      </c>
      <c r="N40" s="40">
        <v>0</v>
      </c>
      <c r="O40" s="40">
        <v>159.0719</v>
      </c>
      <c r="P40" s="40">
        <v>0</v>
      </c>
      <c r="Q40" s="40">
        <v>20</v>
      </c>
      <c r="R40" s="40">
        <v>0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340.65904999999998</v>
      </c>
      <c r="Y40" s="40">
        <v>0</v>
      </c>
      <c r="Z40" s="40">
        <v>0</v>
      </c>
      <c r="AA40" s="40">
        <v>0</v>
      </c>
      <c r="AB40" s="40">
        <v>0</v>
      </c>
    </row>
    <row r="41" spans="1:28" s="16" customFormat="1" x14ac:dyDescent="0.25">
      <c r="A41" s="2" t="s">
        <v>60</v>
      </c>
      <c r="B41" s="40">
        <v>445.7321</v>
      </c>
      <c r="C41" s="40">
        <v>401.00479999999999</v>
      </c>
      <c r="D41" s="40">
        <v>0</v>
      </c>
      <c r="E41" s="40">
        <v>1715.5354600000001</v>
      </c>
      <c r="F41" s="40">
        <v>716.32830000000001</v>
      </c>
      <c r="G41" s="40">
        <v>1.4413</v>
      </c>
      <c r="H41" s="40">
        <v>187.98175000000001</v>
      </c>
      <c r="I41" s="40">
        <v>0</v>
      </c>
      <c r="J41" s="40">
        <v>0</v>
      </c>
      <c r="K41" s="40">
        <v>0</v>
      </c>
      <c r="L41" s="40">
        <v>0</v>
      </c>
      <c r="M41" s="40">
        <v>0</v>
      </c>
      <c r="N41" s="40">
        <v>0</v>
      </c>
      <c r="O41" s="40">
        <v>491.72409000000005</v>
      </c>
      <c r="P41" s="40">
        <v>0</v>
      </c>
      <c r="Q41" s="40">
        <v>0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442.25759999999997</v>
      </c>
      <c r="X41" s="40">
        <v>455.70299999999997</v>
      </c>
      <c r="Y41" s="40">
        <v>0</v>
      </c>
      <c r="Z41" s="40">
        <v>0</v>
      </c>
      <c r="AA41" s="40">
        <v>0</v>
      </c>
      <c r="AB41" s="40">
        <v>0</v>
      </c>
    </row>
    <row r="42" spans="1:28" s="16" customFormat="1" x14ac:dyDescent="0.25">
      <c r="A42" s="2" t="s">
        <v>61</v>
      </c>
      <c r="B42" s="40">
        <v>0</v>
      </c>
      <c r="C42" s="40">
        <v>42.184950000000001</v>
      </c>
      <c r="D42" s="40">
        <v>0</v>
      </c>
      <c r="E42" s="40">
        <v>173.11742000000001</v>
      </c>
      <c r="F42" s="40">
        <v>67.537899999999993</v>
      </c>
      <c r="G42" s="40">
        <v>18.23</v>
      </c>
      <c r="H42" s="40">
        <v>63.821150000000003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414.46589</v>
      </c>
      <c r="P42" s="40">
        <v>0</v>
      </c>
      <c r="Q42" s="40">
        <v>0</v>
      </c>
      <c r="R42" s="40">
        <v>0</v>
      </c>
      <c r="S42" s="40">
        <v>0</v>
      </c>
      <c r="T42" s="40">
        <v>0</v>
      </c>
      <c r="U42" s="40">
        <v>0</v>
      </c>
      <c r="V42" s="40">
        <v>0</v>
      </c>
      <c r="W42" s="40">
        <v>141.16200000000001</v>
      </c>
      <c r="X42" s="40">
        <v>121.407</v>
      </c>
      <c r="Y42" s="40">
        <v>0</v>
      </c>
      <c r="Z42" s="40">
        <v>0</v>
      </c>
      <c r="AA42" s="40">
        <v>0</v>
      </c>
      <c r="AB42" s="40">
        <v>0</v>
      </c>
    </row>
    <row r="43" spans="1:28" s="16" customFormat="1" x14ac:dyDescent="0.25">
      <c r="A43" s="2" t="s">
        <v>62</v>
      </c>
      <c r="B43" s="40">
        <v>0</v>
      </c>
      <c r="C43" s="40">
        <v>646.27535</v>
      </c>
      <c r="D43" s="40">
        <v>14.95415</v>
      </c>
      <c r="E43" s="40">
        <v>629.34934999999996</v>
      </c>
      <c r="F43" s="40">
        <v>9.9305000000000003</v>
      </c>
      <c r="G43" s="40">
        <v>0</v>
      </c>
      <c r="H43" s="40">
        <v>88.949399999999997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16.048549999999999</v>
      </c>
      <c r="O43" s="40">
        <v>78.645800000000008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79.688949999999991</v>
      </c>
      <c r="X43" s="40">
        <v>46.612499999999997</v>
      </c>
      <c r="Y43" s="40">
        <v>0</v>
      </c>
      <c r="Z43" s="40">
        <v>0</v>
      </c>
      <c r="AA43" s="40">
        <v>12.292</v>
      </c>
      <c r="AB43" s="40">
        <v>0</v>
      </c>
    </row>
    <row r="44" spans="1:28" s="16" customFormat="1" x14ac:dyDescent="0.25">
      <c r="A44" s="2" t="s">
        <v>63</v>
      </c>
      <c r="B44" s="40">
        <v>0</v>
      </c>
      <c r="C44" s="40">
        <v>0</v>
      </c>
      <c r="D44" s="40">
        <v>339.46459000000004</v>
      </c>
      <c r="E44" s="40">
        <v>208.98095000000001</v>
      </c>
      <c r="F44" s="40">
        <v>73.62557000000001</v>
      </c>
      <c r="G44" s="40">
        <v>0</v>
      </c>
      <c r="H44" s="40">
        <v>195.3261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97.29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80.462999999999994</v>
      </c>
      <c r="X44" s="40">
        <v>141.3793</v>
      </c>
      <c r="Y44" s="40">
        <v>0</v>
      </c>
      <c r="Z44" s="40">
        <v>0</v>
      </c>
      <c r="AA44" s="40">
        <v>0</v>
      </c>
      <c r="AB44" s="40">
        <v>0</v>
      </c>
    </row>
    <row r="45" spans="1:28" s="16" customFormat="1" x14ac:dyDescent="0.25">
      <c r="A45" s="2" t="s">
        <v>64</v>
      </c>
      <c r="B45" s="40">
        <v>0</v>
      </c>
      <c r="C45" s="40">
        <v>98.934749999999994</v>
      </c>
      <c r="D45" s="40">
        <v>0</v>
      </c>
      <c r="E45" s="40">
        <v>199.66463000000002</v>
      </c>
      <c r="F45" s="40">
        <v>36.22043</v>
      </c>
      <c r="G45" s="40">
        <v>0</v>
      </c>
      <c r="H45" s="40">
        <v>0</v>
      </c>
      <c r="I45" s="40">
        <v>0</v>
      </c>
      <c r="J45" s="40">
        <v>0</v>
      </c>
      <c r="K45" s="40">
        <v>0</v>
      </c>
      <c r="L45" s="40">
        <v>0</v>
      </c>
      <c r="M45" s="40">
        <v>0</v>
      </c>
      <c r="N45" s="40">
        <v>0</v>
      </c>
      <c r="O45" s="40">
        <v>103.9983</v>
      </c>
      <c r="P45" s="40">
        <v>0</v>
      </c>
      <c r="Q45" s="40">
        <v>0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22.065000000000001</v>
      </c>
      <c r="X45" s="40">
        <v>15.8</v>
      </c>
      <c r="Y45" s="40">
        <v>0</v>
      </c>
      <c r="Z45" s="40">
        <v>0</v>
      </c>
      <c r="AA45" s="40">
        <v>0</v>
      </c>
      <c r="AB45" s="40">
        <v>0</v>
      </c>
    </row>
    <row r="46" spans="1:28" s="16" customFormat="1" x14ac:dyDescent="0.25">
      <c r="A46" s="2" t="s">
        <v>65</v>
      </c>
      <c r="B46" s="40">
        <v>0</v>
      </c>
      <c r="C46" s="40">
        <v>25.327650000000002</v>
      </c>
      <c r="D46" s="40">
        <v>0</v>
      </c>
      <c r="E46" s="40">
        <v>2.9662500000000001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0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</row>
    <row r="47" spans="1:28" s="16" customFormat="1" x14ac:dyDescent="0.25">
      <c r="A47" s="2" t="s">
        <v>66</v>
      </c>
      <c r="B47" s="40">
        <v>0</v>
      </c>
      <c r="C47" s="40">
        <v>816.52945</v>
      </c>
      <c r="D47" s="40">
        <v>0</v>
      </c>
      <c r="E47" s="40">
        <v>554.40109999999993</v>
      </c>
      <c r="F47" s="40">
        <v>88.00030000000001</v>
      </c>
      <c r="G47" s="40">
        <v>0</v>
      </c>
      <c r="H47" s="40">
        <v>6.4427500000000002</v>
      </c>
      <c r="I47" s="40">
        <v>0</v>
      </c>
      <c r="J47" s="40">
        <v>0</v>
      </c>
      <c r="K47" s="40">
        <v>0</v>
      </c>
      <c r="L47" s="40">
        <v>0</v>
      </c>
      <c r="M47" s="40">
        <v>0</v>
      </c>
      <c r="N47" s="40">
        <v>0</v>
      </c>
      <c r="O47" s="40">
        <v>105.46486</v>
      </c>
      <c r="P47" s="40">
        <v>0</v>
      </c>
      <c r="Q47" s="40">
        <v>0</v>
      </c>
      <c r="R47" s="40">
        <v>0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  <c r="AA47" s="40">
        <v>0</v>
      </c>
      <c r="AB47" s="40">
        <v>0</v>
      </c>
    </row>
    <row r="48" spans="1:28" s="16" customFormat="1" x14ac:dyDescent="0.25">
      <c r="A48" s="2" t="s">
        <v>67</v>
      </c>
      <c r="B48" s="40">
        <v>0</v>
      </c>
      <c r="C48" s="40">
        <v>462.81564000000003</v>
      </c>
      <c r="D48" s="40">
        <v>0</v>
      </c>
      <c r="E48" s="40">
        <v>3451.2885499999998</v>
      </c>
      <c r="F48" s="40">
        <v>1153.14571</v>
      </c>
      <c r="G48" s="40">
        <v>0</v>
      </c>
      <c r="H48" s="40">
        <v>350.88380000000001</v>
      </c>
      <c r="I48" s="40">
        <v>0</v>
      </c>
      <c r="J48" s="40">
        <v>1.7844500000000001</v>
      </c>
      <c r="K48" s="40">
        <v>0</v>
      </c>
      <c r="L48" s="40">
        <v>0</v>
      </c>
      <c r="M48" s="40">
        <v>0</v>
      </c>
      <c r="N48" s="40">
        <v>20.009349999999998</v>
      </c>
      <c r="O48" s="40">
        <v>477.47005000000001</v>
      </c>
      <c r="P48" s="40">
        <v>0</v>
      </c>
      <c r="Q48" s="40">
        <v>0</v>
      </c>
      <c r="R48" s="40">
        <v>50</v>
      </c>
      <c r="S48" s="40">
        <v>0</v>
      </c>
      <c r="T48" s="40">
        <v>0</v>
      </c>
      <c r="U48" s="40">
        <v>0</v>
      </c>
      <c r="V48" s="40">
        <v>0</v>
      </c>
      <c r="W48" s="40">
        <v>203.96674999999999</v>
      </c>
      <c r="X48" s="40">
        <v>103.6022</v>
      </c>
      <c r="Y48" s="40">
        <v>0</v>
      </c>
      <c r="Z48" s="40">
        <v>0</v>
      </c>
      <c r="AA48" s="40">
        <v>0</v>
      </c>
      <c r="AB48" s="40">
        <v>7.5</v>
      </c>
    </row>
    <row r="49" spans="1:28" s="16" customFormat="1" x14ac:dyDescent="0.25">
      <c r="A49" s="2" t="s">
        <v>68</v>
      </c>
      <c r="B49" s="40">
        <v>0</v>
      </c>
      <c r="C49" s="40">
        <v>20.26878</v>
      </c>
      <c r="D49" s="40">
        <v>36.10295</v>
      </c>
      <c r="E49" s="40">
        <v>187.50790000000001</v>
      </c>
      <c r="F49" s="40">
        <v>10.4</v>
      </c>
      <c r="G49" s="40">
        <v>0</v>
      </c>
      <c r="H49" s="40">
        <v>66.02825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</row>
    <row r="50" spans="1:28" s="16" customFormat="1" x14ac:dyDescent="0.25">
      <c r="A50" s="2" t="s">
        <v>69</v>
      </c>
      <c r="B50" s="40">
        <v>0</v>
      </c>
      <c r="C50" s="40">
        <v>662.00144999999998</v>
      </c>
      <c r="D50" s="40">
        <v>127.56385</v>
      </c>
      <c r="E50" s="40">
        <v>652.59685000000002</v>
      </c>
      <c r="F50" s="40">
        <v>2615.1379500000003</v>
      </c>
      <c r="G50" s="40">
        <v>119.64885000000001</v>
      </c>
      <c r="H50" s="40">
        <v>183.45755</v>
      </c>
      <c r="I50" s="40">
        <v>0</v>
      </c>
      <c r="J50" s="40">
        <v>0</v>
      </c>
      <c r="K50" s="40">
        <v>0</v>
      </c>
      <c r="L50" s="40">
        <v>0</v>
      </c>
      <c r="M50" s="40">
        <v>0</v>
      </c>
      <c r="N50" s="40">
        <v>0</v>
      </c>
      <c r="O50" s="40">
        <v>68.262350000000012</v>
      </c>
      <c r="P50" s="40">
        <v>0</v>
      </c>
      <c r="Q50" s="40">
        <v>0</v>
      </c>
      <c r="R50" s="40">
        <v>109.6844</v>
      </c>
      <c r="S50" s="40">
        <v>0</v>
      </c>
      <c r="T50" s="40">
        <v>0</v>
      </c>
      <c r="U50" s="40">
        <v>0</v>
      </c>
      <c r="V50" s="40">
        <v>0</v>
      </c>
      <c r="W50" s="40">
        <v>187.07499999999999</v>
      </c>
      <c r="X50" s="40">
        <v>70.347999999999999</v>
      </c>
      <c r="Y50" s="40">
        <v>0</v>
      </c>
      <c r="Z50" s="40">
        <v>0</v>
      </c>
      <c r="AA50" s="40">
        <v>0</v>
      </c>
      <c r="AB50" s="40">
        <v>0</v>
      </c>
    </row>
    <row r="51" spans="1:28" s="16" customFormat="1" x14ac:dyDescent="0.25">
      <c r="A51" s="2" t="s">
        <v>12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4.53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57.8262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83.087999999999994</v>
      </c>
      <c r="X51" s="40">
        <v>60.9634</v>
      </c>
      <c r="Y51" s="40">
        <v>0</v>
      </c>
      <c r="Z51" s="40">
        <v>0</v>
      </c>
      <c r="AA51" s="40">
        <v>0</v>
      </c>
      <c r="AB51" s="40">
        <v>0</v>
      </c>
    </row>
    <row r="52" spans="1:28" s="16" customFormat="1" x14ac:dyDescent="0.25">
      <c r="A52" s="2" t="s">
        <v>70</v>
      </c>
      <c r="B52" s="40">
        <v>0</v>
      </c>
      <c r="C52" s="40">
        <v>12.82225</v>
      </c>
      <c r="D52" s="40">
        <v>0</v>
      </c>
      <c r="E52" s="40">
        <v>535.09203000000002</v>
      </c>
      <c r="F52" s="40">
        <v>67.223169999999996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0</v>
      </c>
      <c r="M52" s="40">
        <v>0</v>
      </c>
      <c r="N52" s="40">
        <v>0</v>
      </c>
      <c r="O52" s="40">
        <v>58.072600000000001</v>
      </c>
      <c r="P52" s="40">
        <v>0</v>
      </c>
      <c r="Q52" s="40">
        <v>0</v>
      </c>
      <c r="R52" s="40">
        <v>0</v>
      </c>
      <c r="S52" s="40">
        <v>0</v>
      </c>
      <c r="T52" s="40">
        <v>0</v>
      </c>
      <c r="U52" s="40">
        <v>0</v>
      </c>
      <c r="V52" s="40">
        <v>0</v>
      </c>
      <c r="W52" s="40">
        <v>120.732</v>
      </c>
      <c r="X52" s="40">
        <v>77.885999999999996</v>
      </c>
      <c r="Y52" s="40">
        <v>0</v>
      </c>
      <c r="Z52" s="40">
        <v>0</v>
      </c>
      <c r="AA52" s="40">
        <v>0</v>
      </c>
      <c r="AB52" s="40">
        <v>0</v>
      </c>
    </row>
    <row r="53" spans="1:28" s="16" customFormat="1" x14ac:dyDescent="0.25">
      <c r="A53" s="2" t="s">
        <v>71</v>
      </c>
      <c r="B53" s="40">
        <v>0</v>
      </c>
      <c r="C53" s="40">
        <v>0</v>
      </c>
      <c r="D53" s="40">
        <v>0</v>
      </c>
      <c r="E53" s="40">
        <v>575.93333999999993</v>
      </c>
      <c r="F53" s="40">
        <v>191.22624999999999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0</v>
      </c>
      <c r="M53" s="40">
        <v>0</v>
      </c>
      <c r="N53" s="40">
        <v>0</v>
      </c>
      <c r="O53" s="40">
        <v>0</v>
      </c>
      <c r="P53" s="40">
        <v>0</v>
      </c>
      <c r="Q53" s="40">
        <v>0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21.370999999999999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</row>
    <row r="54" spans="1:28" s="16" customFormat="1" x14ac:dyDescent="0.25">
      <c r="A54" s="2" t="s">
        <v>72</v>
      </c>
      <c r="B54" s="40">
        <v>0</v>
      </c>
      <c r="C54" s="40">
        <v>56.003819999999997</v>
      </c>
      <c r="D54" s="40">
        <v>446.49284999999998</v>
      </c>
      <c r="E54" s="40">
        <v>325.43629999999996</v>
      </c>
      <c r="F54" s="40">
        <v>4411.7237699999996</v>
      </c>
      <c r="G54" s="40">
        <v>75.839799999999997</v>
      </c>
      <c r="H54" s="40">
        <v>26.4953</v>
      </c>
      <c r="I54" s="40">
        <v>0</v>
      </c>
      <c r="J54" s="40">
        <v>0</v>
      </c>
      <c r="K54" s="40">
        <v>0</v>
      </c>
      <c r="L54" s="40">
        <v>0</v>
      </c>
      <c r="M54" s="40">
        <v>0</v>
      </c>
      <c r="N54" s="40">
        <v>0</v>
      </c>
      <c r="O54" s="40">
        <v>140.99414999999999</v>
      </c>
      <c r="P54" s="40">
        <v>0</v>
      </c>
      <c r="Q54" s="40">
        <v>0</v>
      </c>
      <c r="R54" s="40">
        <v>0</v>
      </c>
      <c r="S54" s="40">
        <v>0</v>
      </c>
      <c r="T54" s="40">
        <v>0</v>
      </c>
      <c r="U54" s="40">
        <v>0</v>
      </c>
      <c r="V54" s="40">
        <v>0</v>
      </c>
      <c r="W54" s="40">
        <v>183.977</v>
      </c>
      <c r="X54" s="40">
        <v>118.83714999999999</v>
      </c>
      <c r="Y54" s="40">
        <v>0</v>
      </c>
      <c r="Z54" s="40">
        <v>0</v>
      </c>
      <c r="AA54" s="40">
        <v>0</v>
      </c>
      <c r="AB54" s="40">
        <v>0</v>
      </c>
    </row>
    <row r="55" spans="1:28" s="16" customFormat="1" x14ac:dyDescent="0.25">
      <c r="A55" s="2" t="s">
        <v>13</v>
      </c>
      <c r="B55" s="40">
        <v>0</v>
      </c>
      <c r="C55" s="40">
        <v>58.021349999999998</v>
      </c>
      <c r="D55" s="40">
        <v>496.82355000000001</v>
      </c>
      <c r="E55" s="40">
        <v>-5.0046499999999998</v>
      </c>
      <c r="F55" s="40">
        <v>23.697749999999999</v>
      </c>
      <c r="G55" s="40">
        <v>0</v>
      </c>
      <c r="H55" s="40">
        <v>7.8609999999999998</v>
      </c>
      <c r="I55" s="40">
        <v>0</v>
      </c>
      <c r="J55" s="40">
        <v>0</v>
      </c>
      <c r="K55" s="40">
        <v>0</v>
      </c>
      <c r="L55" s="40">
        <v>0</v>
      </c>
      <c r="M55" s="40">
        <v>0</v>
      </c>
      <c r="N55" s="40">
        <v>0</v>
      </c>
      <c r="O55" s="40">
        <v>18.557749999999999</v>
      </c>
      <c r="P55" s="40">
        <v>0</v>
      </c>
      <c r="Q55" s="40">
        <v>0</v>
      </c>
      <c r="R55" s="40">
        <v>0</v>
      </c>
      <c r="S55" s="40">
        <v>0</v>
      </c>
      <c r="T55" s="40">
        <v>0</v>
      </c>
      <c r="U55" s="40">
        <v>0</v>
      </c>
      <c r="V55" s="40">
        <v>0</v>
      </c>
      <c r="W55" s="40">
        <v>58.480899999999998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</row>
    <row r="56" spans="1:28" s="16" customFormat="1" x14ac:dyDescent="0.25">
      <c r="A56" s="2" t="s">
        <v>26</v>
      </c>
      <c r="B56" s="40">
        <v>0</v>
      </c>
      <c r="C56" s="40">
        <v>6.9066299999999998</v>
      </c>
      <c r="D56" s="40">
        <v>4.9269600000000002</v>
      </c>
      <c r="E56" s="40">
        <v>32.656500000000001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0</v>
      </c>
      <c r="M56" s="40">
        <v>0</v>
      </c>
      <c r="N56" s="40">
        <v>0</v>
      </c>
      <c r="O56" s="40">
        <v>9.7289999999999992</v>
      </c>
      <c r="P56" s="40">
        <v>0</v>
      </c>
      <c r="Q56" s="40">
        <v>0</v>
      </c>
      <c r="R56" s="40">
        <v>0</v>
      </c>
      <c r="S56" s="40">
        <v>0</v>
      </c>
      <c r="T56" s="40">
        <v>0</v>
      </c>
      <c r="U56" s="40">
        <v>0</v>
      </c>
      <c r="V56" s="40">
        <v>0</v>
      </c>
      <c r="W56" s="40">
        <v>13.80955</v>
      </c>
      <c r="X56" s="40">
        <v>0</v>
      </c>
      <c r="Y56" s="40">
        <v>0</v>
      </c>
      <c r="Z56" s="40">
        <v>16.600000000000001</v>
      </c>
      <c r="AA56" s="40">
        <v>15</v>
      </c>
      <c r="AB56" s="40">
        <v>57</v>
      </c>
    </row>
    <row r="57" spans="1:28" s="16" customFormat="1" ht="12.75" customHeight="1" x14ac:dyDescent="0.25">
      <c r="A57" s="2" t="s">
        <v>73</v>
      </c>
      <c r="B57" s="40">
        <v>0</v>
      </c>
      <c r="C57" s="40">
        <v>0</v>
      </c>
      <c r="D57" s="40">
        <v>0</v>
      </c>
      <c r="E57" s="40">
        <v>106.16085000000001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9.1884999999999994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  <c r="AA57" s="40">
        <v>0</v>
      </c>
      <c r="AB57" s="40">
        <v>0</v>
      </c>
    </row>
    <row r="58" spans="1:28" s="16" customFormat="1" x14ac:dyDescent="0.25">
      <c r="A58" s="2" t="s">
        <v>14</v>
      </c>
      <c r="B58" s="40">
        <v>9.5242999999999984</v>
      </c>
      <c r="C58" s="40">
        <v>3185.3707899999999</v>
      </c>
      <c r="D58" s="40">
        <v>2.2644499999999996</v>
      </c>
      <c r="E58" s="40">
        <v>701.07891000000006</v>
      </c>
      <c r="F58" s="40">
        <v>7662.8906200000001</v>
      </c>
      <c r="G58" s="40">
        <v>223.77409</v>
      </c>
      <c r="H58" s="40">
        <v>986.82150000000001</v>
      </c>
      <c r="I58" s="40">
        <v>0</v>
      </c>
      <c r="J58" s="40">
        <v>0</v>
      </c>
      <c r="K58" s="40">
        <v>0</v>
      </c>
      <c r="L58" s="40">
        <v>0</v>
      </c>
      <c r="M58" s="40">
        <v>0</v>
      </c>
      <c r="N58" s="40">
        <v>0</v>
      </c>
      <c r="O58" s="40">
        <v>2374.32816</v>
      </c>
      <c r="P58" s="40">
        <v>0</v>
      </c>
      <c r="Q58" s="40">
        <v>0</v>
      </c>
      <c r="R58" s="40">
        <v>0</v>
      </c>
      <c r="S58" s="40">
        <v>0</v>
      </c>
      <c r="T58" s="40">
        <v>0</v>
      </c>
      <c r="U58" s="40">
        <v>134.75399999999999</v>
      </c>
      <c r="V58" s="40">
        <v>0</v>
      </c>
      <c r="W58" s="40">
        <v>788.71969999999999</v>
      </c>
      <c r="X58" s="40">
        <v>138.97529999999998</v>
      </c>
      <c r="Y58" s="40">
        <v>0</v>
      </c>
      <c r="Z58" s="40">
        <v>0</v>
      </c>
      <c r="AA58" s="40">
        <v>28.966000000000001</v>
      </c>
      <c r="AB58" s="40">
        <v>0</v>
      </c>
    </row>
    <row r="59" spans="1:28" s="16" customFormat="1" x14ac:dyDescent="0.25">
      <c r="A59" s="2" t="s">
        <v>28</v>
      </c>
      <c r="B59" s="40">
        <v>0</v>
      </c>
      <c r="C59" s="40">
        <v>695.55597</v>
      </c>
      <c r="D59" s="40">
        <v>375.01340000000005</v>
      </c>
      <c r="E59" s="40">
        <v>1822.39877</v>
      </c>
      <c r="F59" s="40">
        <v>3057.2775200000001</v>
      </c>
      <c r="G59" s="40">
        <v>0</v>
      </c>
      <c r="H59" s="40">
        <v>54.792949999999998</v>
      </c>
      <c r="I59" s="40">
        <v>0</v>
      </c>
      <c r="J59" s="40">
        <v>0</v>
      </c>
      <c r="K59" s="40">
        <v>0</v>
      </c>
      <c r="L59" s="40">
        <v>0</v>
      </c>
      <c r="M59" s="40">
        <v>0</v>
      </c>
      <c r="N59" s="40">
        <v>0</v>
      </c>
      <c r="O59" s="40">
        <v>69.641100000000009</v>
      </c>
      <c r="P59" s="40">
        <v>0</v>
      </c>
      <c r="Q59" s="40">
        <v>0</v>
      </c>
      <c r="R59" s="40">
        <v>0</v>
      </c>
      <c r="S59" s="40">
        <v>0</v>
      </c>
      <c r="T59" s="40">
        <v>0</v>
      </c>
      <c r="U59" s="40">
        <v>0</v>
      </c>
      <c r="V59" s="40">
        <v>0</v>
      </c>
      <c r="W59" s="40">
        <v>287.14565000000005</v>
      </c>
      <c r="X59" s="40">
        <v>211.8</v>
      </c>
      <c r="Y59" s="40">
        <v>0</v>
      </c>
      <c r="Z59" s="40">
        <v>0</v>
      </c>
      <c r="AA59" s="40">
        <v>0</v>
      </c>
      <c r="AB59" s="40">
        <v>0</v>
      </c>
    </row>
    <row r="60" spans="1:28" s="16" customFormat="1" x14ac:dyDescent="0.25">
      <c r="A60" s="2" t="s">
        <v>29</v>
      </c>
      <c r="B60" s="40">
        <v>454.27284999999995</v>
      </c>
      <c r="C60" s="40">
        <v>8013.0685700000004</v>
      </c>
      <c r="D60" s="40">
        <v>31.639099999999999</v>
      </c>
      <c r="E60" s="40">
        <v>12363.17843</v>
      </c>
      <c r="F60" s="40">
        <v>35668.98128</v>
      </c>
      <c r="G60" s="40">
        <v>1176.0262600000001</v>
      </c>
      <c r="H60" s="40">
        <v>6573.8847000000005</v>
      </c>
      <c r="I60" s="40">
        <v>60.524430000000002</v>
      </c>
      <c r="J60" s="40">
        <v>0</v>
      </c>
      <c r="K60" s="40">
        <v>0</v>
      </c>
      <c r="L60" s="40">
        <v>0</v>
      </c>
      <c r="M60" s="40">
        <v>0</v>
      </c>
      <c r="N60" s="40">
        <v>394.58941999999996</v>
      </c>
      <c r="O60" s="40">
        <v>1444.1665700000001</v>
      </c>
      <c r="P60" s="40">
        <v>0</v>
      </c>
      <c r="Q60" s="40">
        <v>0</v>
      </c>
      <c r="R60" s="40">
        <v>0</v>
      </c>
      <c r="S60" s="40">
        <v>0</v>
      </c>
      <c r="T60" s="40">
        <v>0</v>
      </c>
      <c r="U60" s="40">
        <v>0</v>
      </c>
      <c r="V60" s="40">
        <v>0</v>
      </c>
      <c r="W60" s="40">
        <v>7493.8242</v>
      </c>
      <c r="X60" s="40">
        <v>5517.4219000000003</v>
      </c>
      <c r="Y60" s="40">
        <v>0</v>
      </c>
      <c r="Z60" s="40">
        <v>35.394750000000002</v>
      </c>
      <c r="AA60" s="40">
        <v>250</v>
      </c>
      <c r="AB60" s="40">
        <v>59.5</v>
      </c>
    </row>
    <row r="61" spans="1:28" s="16" customFormat="1" x14ac:dyDescent="0.25">
      <c r="A61" s="2" t="s">
        <v>74</v>
      </c>
      <c r="B61" s="40">
        <v>63.744450000000001</v>
      </c>
      <c r="C61" s="40">
        <v>439.84065000000004</v>
      </c>
      <c r="D61" s="40">
        <v>171.02170000000001</v>
      </c>
      <c r="E61" s="40">
        <v>1210.8301899999999</v>
      </c>
      <c r="F61" s="40">
        <v>119.59010000000001</v>
      </c>
      <c r="G61" s="40">
        <v>0</v>
      </c>
      <c r="H61" s="40">
        <v>14.2142</v>
      </c>
      <c r="I61" s="40">
        <v>27.707689999999999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107.65228999999999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127.55800000000001</v>
      </c>
      <c r="Y61" s="40">
        <v>0</v>
      </c>
      <c r="Z61" s="40">
        <v>32.5</v>
      </c>
      <c r="AA61" s="40">
        <v>0</v>
      </c>
      <c r="AB61" s="40">
        <v>0</v>
      </c>
    </row>
    <row r="62" spans="1:28" s="16" customFormat="1" x14ac:dyDescent="0.25">
      <c r="A62" s="2" t="s">
        <v>75</v>
      </c>
      <c r="B62" s="40">
        <v>0</v>
      </c>
      <c r="C62" s="40">
        <v>1230.8143500000001</v>
      </c>
      <c r="D62" s="40">
        <v>2267.0394500000002</v>
      </c>
      <c r="E62" s="40">
        <v>425.70466999999996</v>
      </c>
      <c r="F62" s="40">
        <v>14.10689</v>
      </c>
      <c r="G62" s="40">
        <v>0</v>
      </c>
      <c r="H62" s="40">
        <v>116.8546</v>
      </c>
      <c r="I62" s="40">
        <v>0</v>
      </c>
      <c r="J62" s="40">
        <v>0</v>
      </c>
      <c r="K62" s="40">
        <v>0</v>
      </c>
      <c r="L62" s="40">
        <v>0</v>
      </c>
      <c r="M62" s="40">
        <v>0</v>
      </c>
      <c r="N62" s="40">
        <v>94.439399999999992</v>
      </c>
      <c r="O62" s="40">
        <v>256.81074999999998</v>
      </c>
      <c r="P62" s="40">
        <v>0</v>
      </c>
      <c r="Q62" s="40">
        <v>0</v>
      </c>
      <c r="R62" s="40">
        <v>0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</row>
    <row r="63" spans="1:28" s="16" customFormat="1" x14ac:dyDescent="0.25">
      <c r="A63" s="2" t="s">
        <v>76</v>
      </c>
      <c r="B63" s="40">
        <v>0</v>
      </c>
      <c r="C63" s="40">
        <v>268.00029999999998</v>
      </c>
      <c r="D63" s="40">
        <v>0</v>
      </c>
      <c r="E63" s="40">
        <v>219.57554999999999</v>
      </c>
      <c r="F63" s="40">
        <v>291.53174999999999</v>
      </c>
      <c r="G63" s="40">
        <v>0</v>
      </c>
      <c r="H63" s="40">
        <v>42.745739999999998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37.854999999999997</v>
      </c>
      <c r="P63" s="40">
        <v>0</v>
      </c>
      <c r="Q63" s="40">
        <v>0</v>
      </c>
      <c r="R63" s="40">
        <v>0</v>
      </c>
      <c r="S63" s="40">
        <v>0</v>
      </c>
      <c r="T63" s="40">
        <v>0</v>
      </c>
      <c r="U63" s="40">
        <v>0</v>
      </c>
      <c r="V63" s="40">
        <v>0</v>
      </c>
      <c r="W63" s="40">
        <v>95.070999999999998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</row>
    <row r="64" spans="1:28" s="16" customFormat="1" x14ac:dyDescent="0.25">
      <c r="A64" s="2" t="s">
        <v>77</v>
      </c>
      <c r="B64" s="40">
        <v>0</v>
      </c>
      <c r="C64" s="40">
        <v>139.52670000000001</v>
      </c>
      <c r="D64" s="40">
        <v>0</v>
      </c>
      <c r="E64" s="40">
        <v>65.971800000000002</v>
      </c>
      <c r="F64" s="40">
        <v>643.12184999999999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0</v>
      </c>
      <c r="S64" s="40">
        <v>0</v>
      </c>
      <c r="T64" s="40">
        <v>0</v>
      </c>
      <c r="U64" s="40">
        <v>0</v>
      </c>
      <c r="V64" s="40">
        <v>0</v>
      </c>
      <c r="W64" s="40">
        <v>521.077</v>
      </c>
      <c r="X64" s="40">
        <v>206.5582</v>
      </c>
      <c r="Y64" s="40">
        <v>0</v>
      </c>
      <c r="Z64" s="40">
        <v>0</v>
      </c>
      <c r="AA64" s="40">
        <v>0</v>
      </c>
      <c r="AB64" s="40">
        <v>0</v>
      </c>
    </row>
    <row r="65" spans="1:28" s="16" customFormat="1" ht="12.75" customHeight="1" x14ac:dyDescent="0.25">
      <c r="A65" s="2" t="s">
        <v>15</v>
      </c>
      <c r="B65" s="40">
        <v>0</v>
      </c>
      <c r="C65" s="40">
        <v>0</v>
      </c>
      <c r="D65" s="40">
        <v>0</v>
      </c>
      <c r="E65" s="40">
        <v>540.42584999999997</v>
      </c>
      <c r="F65" s="40">
        <v>1602.32374</v>
      </c>
      <c r="G65" s="40">
        <v>0</v>
      </c>
      <c r="H65" s="40">
        <v>59.45261</v>
      </c>
      <c r="I65" s="40">
        <v>0</v>
      </c>
      <c r="J65" s="40">
        <v>0</v>
      </c>
      <c r="K65" s="40">
        <v>0</v>
      </c>
      <c r="L65" s="40">
        <v>0</v>
      </c>
      <c r="M65" s="40">
        <v>0</v>
      </c>
      <c r="N65" s="40">
        <v>0</v>
      </c>
      <c r="O65" s="40">
        <v>173.38595000000001</v>
      </c>
      <c r="P65" s="40">
        <v>0</v>
      </c>
      <c r="Q65" s="40">
        <v>0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386.38200000000001</v>
      </c>
      <c r="X65" s="40">
        <v>329.95870000000002</v>
      </c>
      <c r="Y65" s="40">
        <v>0</v>
      </c>
      <c r="Z65" s="40">
        <v>0</v>
      </c>
      <c r="AA65" s="40">
        <v>0</v>
      </c>
      <c r="AB65" s="40">
        <v>0</v>
      </c>
    </row>
    <row r="66" spans="1:28" s="16" customFormat="1" x14ac:dyDescent="0.25">
      <c r="A66" s="2" t="s">
        <v>78</v>
      </c>
      <c r="B66" s="40">
        <v>0</v>
      </c>
      <c r="C66" s="40">
        <v>431.95009999999996</v>
      </c>
      <c r="D66" s="40">
        <v>35.188600000000001</v>
      </c>
      <c r="E66" s="40">
        <v>1141.0338300000001</v>
      </c>
      <c r="F66" s="40">
        <v>11.094799999999999</v>
      </c>
      <c r="G66" s="40">
        <v>4.8895499999999998</v>
      </c>
      <c r="H66" s="40">
        <v>38.7988</v>
      </c>
      <c r="I66" s="40">
        <v>0</v>
      </c>
      <c r="J66" s="40">
        <v>0</v>
      </c>
      <c r="K66" s="40">
        <v>0</v>
      </c>
      <c r="L66" s="40">
        <v>0</v>
      </c>
      <c r="M66" s="40">
        <v>0</v>
      </c>
      <c r="N66" s="40">
        <v>0</v>
      </c>
      <c r="O66" s="40">
        <v>24.99624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0</v>
      </c>
      <c r="V66" s="40">
        <v>0</v>
      </c>
      <c r="W66" s="40">
        <v>119.52200000000001</v>
      </c>
      <c r="X66" s="40">
        <v>133.285</v>
      </c>
      <c r="Y66" s="40">
        <v>0</v>
      </c>
      <c r="Z66" s="40">
        <v>0</v>
      </c>
      <c r="AA66" s="40">
        <v>0</v>
      </c>
      <c r="AB66" s="40">
        <v>0</v>
      </c>
    </row>
    <row r="67" spans="1:28" s="16" customFormat="1" ht="12.75" customHeight="1" x14ac:dyDescent="0.25">
      <c r="A67" s="2" t="s">
        <v>16</v>
      </c>
      <c r="B67" s="40">
        <v>0</v>
      </c>
      <c r="C67" s="40">
        <v>1647.7848700000002</v>
      </c>
      <c r="D67" s="40">
        <v>38.635300000000001</v>
      </c>
      <c r="E67" s="40">
        <v>4093.6745499999997</v>
      </c>
      <c r="F67" s="40">
        <v>568.63364999999999</v>
      </c>
      <c r="G67" s="40">
        <v>0</v>
      </c>
      <c r="H67" s="40">
        <v>1252.3606100000002</v>
      </c>
      <c r="I67" s="40">
        <v>117.045</v>
      </c>
      <c r="J67" s="40">
        <v>0</v>
      </c>
      <c r="K67" s="40">
        <v>0</v>
      </c>
      <c r="L67" s="40">
        <v>0</v>
      </c>
      <c r="M67" s="40">
        <v>0</v>
      </c>
      <c r="N67" s="40">
        <v>377.02697999999998</v>
      </c>
      <c r="O67" s="40">
        <v>493.27009999999996</v>
      </c>
      <c r="P67" s="40">
        <v>0</v>
      </c>
      <c r="Q67" s="40">
        <v>0</v>
      </c>
      <c r="R67" s="40">
        <v>0</v>
      </c>
      <c r="S67" s="40">
        <v>0</v>
      </c>
      <c r="T67" s="40">
        <v>0</v>
      </c>
      <c r="U67" s="40">
        <v>0</v>
      </c>
      <c r="V67" s="40">
        <v>0</v>
      </c>
      <c r="W67" s="40">
        <v>11.3505</v>
      </c>
      <c r="X67" s="40">
        <v>193.4314</v>
      </c>
      <c r="Y67" s="40">
        <v>0</v>
      </c>
      <c r="Z67" s="40">
        <v>0</v>
      </c>
      <c r="AA67" s="40">
        <v>0</v>
      </c>
      <c r="AB67" s="40">
        <v>0</v>
      </c>
    </row>
    <row r="68" spans="1:28" s="16" customFormat="1" x14ac:dyDescent="0.25">
      <c r="A68" s="2" t="s">
        <v>79</v>
      </c>
      <c r="B68" s="40">
        <v>0</v>
      </c>
      <c r="C68" s="40">
        <v>62.389099999999999</v>
      </c>
      <c r="D68" s="40">
        <v>0</v>
      </c>
      <c r="E68" s="40">
        <v>121.99338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0</v>
      </c>
      <c r="M68" s="40">
        <v>0</v>
      </c>
      <c r="N68" s="40">
        <v>0</v>
      </c>
      <c r="O68" s="40">
        <v>79.759699999999995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  <c r="AA68" s="40">
        <v>0</v>
      </c>
      <c r="AB68" s="40">
        <v>0</v>
      </c>
    </row>
    <row r="69" spans="1:28" s="16" customFormat="1" x14ac:dyDescent="0.25">
      <c r="A69" s="2" t="s">
        <v>80</v>
      </c>
      <c r="B69" s="40">
        <v>0</v>
      </c>
      <c r="C69" s="40">
        <v>888.28465000000006</v>
      </c>
      <c r="D69" s="40">
        <v>48.736750000000001</v>
      </c>
      <c r="E69" s="40">
        <v>383.50918999999999</v>
      </c>
      <c r="F69" s="40">
        <v>94.467950000000002</v>
      </c>
      <c r="G69" s="40">
        <v>0</v>
      </c>
      <c r="H69" s="40">
        <v>132.35579999999999</v>
      </c>
      <c r="I69" s="40">
        <v>0</v>
      </c>
      <c r="J69" s="40">
        <v>0</v>
      </c>
      <c r="K69" s="40">
        <v>0</v>
      </c>
      <c r="L69" s="40">
        <v>0</v>
      </c>
      <c r="M69" s="40">
        <v>0</v>
      </c>
      <c r="N69" s="40">
        <v>0</v>
      </c>
      <c r="O69" s="40">
        <v>129.8152</v>
      </c>
      <c r="P69" s="40">
        <v>0</v>
      </c>
      <c r="Q69" s="40">
        <v>0</v>
      </c>
      <c r="R69" s="40">
        <v>0</v>
      </c>
      <c r="S69" s="40">
        <v>0</v>
      </c>
      <c r="T69" s="40">
        <v>0</v>
      </c>
      <c r="U69" s="40">
        <v>0</v>
      </c>
      <c r="V69" s="40">
        <v>0</v>
      </c>
      <c r="W69" s="40">
        <v>246.125</v>
      </c>
      <c r="X69" s="40">
        <v>120.6768</v>
      </c>
      <c r="Y69" s="40">
        <v>0</v>
      </c>
      <c r="Z69" s="40">
        <v>0</v>
      </c>
      <c r="AA69" s="40">
        <v>0</v>
      </c>
      <c r="AB69" s="40">
        <v>0</v>
      </c>
    </row>
    <row r="70" spans="1:28" s="16" customFormat="1" x14ac:dyDescent="0.25">
      <c r="A70" s="2" t="s">
        <v>81</v>
      </c>
      <c r="B70" s="40">
        <v>0</v>
      </c>
      <c r="C70" s="40">
        <v>126.5232</v>
      </c>
      <c r="D70" s="40">
        <v>0</v>
      </c>
      <c r="E70" s="40">
        <v>269.00940000000003</v>
      </c>
      <c r="F70" s="40">
        <v>32</v>
      </c>
      <c r="G70" s="40">
        <v>0</v>
      </c>
      <c r="H70" s="40">
        <v>0</v>
      </c>
      <c r="I70" s="40">
        <v>0</v>
      </c>
      <c r="J70" s="40">
        <v>0</v>
      </c>
      <c r="K70" s="40">
        <v>0</v>
      </c>
      <c r="L70" s="40">
        <v>0</v>
      </c>
      <c r="M70" s="40">
        <v>0</v>
      </c>
      <c r="N70" s="40">
        <v>0</v>
      </c>
      <c r="O70" s="40">
        <v>0</v>
      </c>
      <c r="P70" s="40">
        <v>0</v>
      </c>
      <c r="Q70" s="40">
        <v>0</v>
      </c>
      <c r="R70" s="40">
        <v>0</v>
      </c>
      <c r="S70" s="40">
        <v>0</v>
      </c>
      <c r="T70" s="40">
        <v>0</v>
      </c>
      <c r="U70" s="40">
        <v>0</v>
      </c>
      <c r="V70" s="40">
        <v>0</v>
      </c>
      <c r="W70" s="40">
        <v>14.622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</row>
    <row r="71" spans="1:28" s="16" customFormat="1" x14ac:dyDescent="0.25">
      <c r="A71" s="2" t="s">
        <v>17</v>
      </c>
      <c r="B71" s="40">
        <v>0</v>
      </c>
      <c r="C71" s="40">
        <v>193.99176</v>
      </c>
      <c r="D71" s="40">
        <v>0</v>
      </c>
      <c r="E71" s="40">
        <v>625.84030000000007</v>
      </c>
      <c r="F71" s="40">
        <v>2770.5088900000001</v>
      </c>
      <c r="G71" s="40">
        <v>0</v>
      </c>
      <c r="H71" s="40">
        <v>74.43310000000001</v>
      </c>
      <c r="I71" s="40">
        <v>0</v>
      </c>
      <c r="J71" s="40">
        <v>0</v>
      </c>
      <c r="K71" s="40">
        <v>0</v>
      </c>
      <c r="L71" s="40">
        <v>0</v>
      </c>
      <c r="M71" s="40">
        <v>0</v>
      </c>
      <c r="N71" s="40">
        <v>0</v>
      </c>
      <c r="O71" s="40">
        <v>93.5471</v>
      </c>
      <c r="P71" s="40">
        <v>0</v>
      </c>
      <c r="Q71" s="40">
        <v>0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510.77609999999999</v>
      </c>
      <c r="X71" s="40">
        <v>67.466549999999998</v>
      </c>
      <c r="Y71" s="40">
        <v>0</v>
      </c>
      <c r="Z71" s="40">
        <v>0</v>
      </c>
      <c r="AA71" s="40">
        <v>0</v>
      </c>
      <c r="AB71" s="40">
        <v>0</v>
      </c>
    </row>
    <row r="72" spans="1:28" s="16" customFormat="1" x14ac:dyDescent="0.25">
      <c r="A72" s="2" t="s">
        <v>82</v>
      </c>
      <c r="B72" s="40">
        <v>2.4</v>
      </c>
      <c r="C72" s="40">
        <v>115.32860000000001</v>
      </c>
      <c r="D72" s="40">
        <v>29.2637</v>
      </c>
      <c r="E72" s="40">
        <v>79.845079999999996</v>
      </c>
      <c r="F72" s="40">
        <v>243.71705</v>
      </c>
      <c r="G72" s="40">
        <v>0</v>
      </c>
      <c r="H72" s="40">
        <v>54.586199999999998</v>
      </c>
      <c r="I72" s="40">
        <v>0</v>
      </c>
      <c r="J72" s="40">
        <v>0</v>
      </c>
      <c r="K72" s="40">
        <v>0</v>
      </c>
      <c r="L72" s="40">
        <v>0</v>
      </c>
      <c r="M72" s="40">
        <v>112.44835</v>
      </c>
      <c r="N72" s="40">
        <v>0</v>
      </c>
      <c r="O72" s="40">
        <v>146.8579</v>
      </c>
      <c r="P72" s="40">
        <v>0</v>
      </c>
      <c r="Q72" s="40">
        <v>0</v>
      </c>
      <c r="R72" s="40">
        <v>0</v>
      </c>
      <c r="S72" s="40">
        <v>0</v>
      </c>
      <c r="T72" s="40">
        <v>0</v>
      </c>
      <c r="U72" s="40">
        <v>0</v>
      </c>
      <c r="V72" s="40">
        <v>0</v>
      </c>
      <c r="W72" s="40">
        <v>344.99200000000002</v>
      </c>
      <c r="X72" s="40">
        <v>333.9119</v>
      </c>
      <c r="Y72" s="40">
        <v>0</v>
      </c>
      <c r="Z72" s="40">
        <v>0</v>
      </c>
      <c r="AA72" s="40">
        <v>0</v>
      </c>
      <c r="AB72" s="40">
        <v>0</v>
      </c>
    </row>
    <row r="73" spans="1:28" s="16" customFormat="1" x14ac:dyDescent="0.25">
      <c r="A73" s="2" t="s">
        <v>18</v>
      </c>
      <c r="B73" s="40">
        <v>0</v>
      </c>
      <c r="C73" s="40">
        <v>157.79614999999998</v>
      </c>
      <c r="D73" s="40">
        <v>289.74633</v>
      </c>
      <c r="E73" s="40">
        <v>242.88489999999999</v>
      </c>
      <c r="F73" s="40">
        <v>365.89848000000001</v>
      </c>
      <c r="G73" s="40">
        <v>74.510499999999993</v>
      </c>
      <c r="H73" s="40">
        <v>0</v>
      </c>
      <c r="I73" s="40">
        <v>0</v>
      </c>
      <c r="J73" s="40">
        <v>0</v>
      </c>
      <c r="K73" s="40">
        <v>0</v>
      </c>
      <c r="L73" s="40">
        <v>0</v>
      </c>
      <c r="M73" s="40">
        <v>0</v>
      </c>
      <c r="N73" s="40">
        <v>0</v>
      </c>
      <c r="O73" s="40">
        <v>1.3620000000000001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129.02985000000001</v>
      </c>
      <c r="Y73" s="40">
        <v>0</v>
      </c>
      <c r="Z73" s="40">
        <v>0</v>
      </c>
      <c r="AA73" s="40">
        <v>0</v>
      </c>
      <c r="AB73" s="40">
        <v>0</v>
      </c>
    </row>
    <row r="74" spans="1:28" s="16" customFormat="1" x14ac:dyDescent="0.25">
      <c r="A74" s="2" t="s">
        <v>83</v>
      </c>
      <c r="B74" s="40">
        <v>0</v>
      </c>
      <c r="C74" s="40">
        <v>974.33732999999995</v>
      </c>
      <c r="D74" s="40">
        <v>0</v>
      </c>
      <c r="E74" s="40">
        <v>604.63348999999994</v>
      </c>
      <c r="F74" s="40">
        <v>35.275599999999997</v>
      </c>
      <c r="G74" s="40">
        <v>0</v>
      </c>
      <c r="H74" s="40">
        <v>150.20104999999998</v>
      </c>
      <c r="I74" s="40">
        <v>0</v>
      </c>
      <c r="J74" s="40">
        <v>0</v>
      </c>
      <c r="K74" s="40">
        <v>0</v>
      </c>
      <c r="L74" s="40">
        <v>0</v>
      </c>
      <c r="M74" s="40">
        <v>0</v>
      </c>
      <c r="N74" s="40">
        <v>19.528449999999999</v>
      </c>
      <c r="O74" s="40">
        <v>79.136399999999995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53.134999999999998</v>
      </c>
      <c r="X74" s="40">
        <v>105.94710000000001</v>
      </c>
      <c r="Y74" s="40">
        <v>0</v>
      </c>
      <c r="Z74" s="40">
        <v>0</v>
      </c>
      <c r="AA74" s="40">
        <v>0</v>
      </c>
      <c r="AB74" s="40">
        <v>0</v>
      </c>
    </row>
    <row r="75" spans="1:28" s="16" customFormat="1" x14ac:dyDescent="0.25">
      <c r="A75" s="2" t="s">
        <v>19</v>
      </c>
      <c r="B75" s="40">
        <v>0</v>
      </c>
      <c r="C75" s="40">
        <v>249.37325000000001</v>
      </c>
      <c r="D75" s="40">
        <v>0</v>
      </c>
      <c r="E75" s="40">
        <v>626.54669999999999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0</v>
      </c>
      <c r="M75" s="40">
        <v>0</v>
      </c>
      <c r="N75" s="40">
        <v>0</v>
      </c>
      <c r="O75" s="40">
        <v>123.4939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140.16305</v>
      </c>
      <c r="X75" s="40">
        <v>54.6</v>
      </c>
      <c r="Y75" s="40">
        <v>27.189400000000003</v>
      </c>
      <c r="Z75" s="40">
        <v>0</v>
      </c>
      <c r="AA75" s="40">
        <v>0</v>
      </c>
      <c r="AB75" s="40">
        <v>0</v>
      </c>
    </row>
    <row r="76" spans="1:28" s="16" customFormat="1" x14ac:dyDescent="0.25">
      <c r="A76" s="2" t="s">
        <v>84</v>
      </c>
      <c r="B76" s="40">
        <v>0</v>
      </c>
      <c r="C76" s="40">
        <v>75.756330000000005</v>
      </c>
      <c r="D76" s="40">
        <v>0</v>
      </c>
      <c r="E76" s="40">
        <v>252.18724</v>
      </c>
      <c r="F76" s="40">
        <v>18.74747</v>
      </c>
      <c r="G76" s="40">
        <v>104.70564999999999</v>
      </c>
      <c r="H76" s="40">
        <v>85.405110000000008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90.173380000000009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106.705</v>
      </c>
      <c r="X76" s="40">
        <v>186.38920000000002</v>
      </c>
      <c r="Y76" s="40">
        <v>0</v>
      </c>
      <c r="Z76" s="40">
        <v>0</v>
      </c>
      <c r="AA76" s="40">
        <v>0</v>
      </c>
      <c r="AB76" s="40">
        <v>0</v>
      </c>
    </row>
    <row r="77" spans="1:28" s="16" customFormat="1" x14ac:dyDescent="0.25">
      <c r="A77" s="2" t="s">
        <v>85</v>
      </c>
      <c r="B77" s="40">
        <v>0</v>
      </c>
      <c r="C77" s="40">
        <v>85.898150000000001</v>
      </c>
      <c r="D77" s="40">
        <v>0</v>
      </c>
      <c r="E77" s="40">
        <v>733.42430000000002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0</v>
      </c>
      <c r="M77" s="40">
        <v>0</v>
      </c>
      <c r="N77" s="40">
        <v>0</v>
      </c>
      <c r="O77" s="40">
        <v>55.872150000000005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19.864000000000001</v>
      </c>
      <c r="X77" s="40">
        <v>840.57555000000002</v>
      </c>
      <c r="Y77" s="40">
        <v>0</v>
      </c>
      <c r="Z77" s="40">
        <v>0</v>
      </c>
      <c r="AA77" s="40">
        <v>0</v>
      </c>
      <c r="AB77" s="40">
        <v>0</v>
      </c>
    </row>
    <row r="78" spans="1:28" s="16" customFormat="1" x14ac:dyDescent="0.25">
      <c r="A78" s="2" t="s">
        <v>86</v>
      </c>
      <c r="B78" s="40">
        <v>0</v>
      </c>
      <c r="C78" s="40">
        <v>171.76345000000001</v>
      </c>
      <c r="D78" s="40">
        <v>144.57120999999998</v>
      </c>
      <c r="E78" s="40">
        <v>196.48724999999999</v>
      </c>
      <c r="F78" s="40">
        <v>7.94</v>
      </c>
      <c r="G78" s="40">
        <v>30.257950000000001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-29.83925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</row>
    <row r="79" spans="1:28" s="16" customFormat="1" x14ac:dyDescent="0.25">
      <c r="A79" s="2" t="s">
        <v>20</v>
      </c>
      <c r="B79" s="40">
        <v>0</v>
      </c>
      <c r="C79" s="40">
        <v>796.43428000000006</v>
      </c>
      <c r="D79" s="40">
        <v>0</v>
      </c>
      <c r="E79" s="40">
        <v>567.29792000000009</v>
      </c>
      <c r="F79" s="40">
        <v>422.87379999999996</v>
      </c>
      <c r="G79" s="40">
        <v>65.035699999999991</v>
      </c>
      <c r="H79" s="40">
        <v>45.814550000000004</v>
      </c>
      <c r="I79" s="40">
        <v>0</v>
      </c>
      <c r="J79" s="40">
        <v>0</v>
      </c>
      <c r="K79" s="40">
        <v>0</v>
      </c>
      <c r="L79" s="40">
        <v>0</v>
      </c>
      <c r="M79" s="40">
        <v>0</v>
      </c>
      <c r="N79" s="40">
        <v>0</v>
      </c>
      <c r="O79" s="40">
        <v>217.9674</v>
      </c>
      <c r="P79" s="40">
        <v>0</v>
      </c>
      <c r="Q79" s="40">
        <v>0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40">
        <v>16.508700000000001</v>
      </c>
      <c r="X79" s="40">
        <v>0</v>
      </c>
      <c r="Y79" s="40">
        <v>0</v>
      </c>
      <c r="Z79" s="40">
        <v>0</v>
      </c>
      <c r="AA79" s="40">
        <v>0</v>
      </c>
      <c r="AB79" s="40">
        <v>0</v>
      </c>
    </row>
    <row r="80" spans="1:28" s="16" customFormat="1" x14ac:dyDescent="0.25">
      <c r="A80" s="2" t="s">
        <v>87</v>
      </c>
      <c r="B80" s="40">
        <v>0</v>
      </c>
      <c r="C80" s="40">
        <v>16.20448</v>
      </c>
      <c r="D80" s="40">
        <v>0</v>
      </c>
      <c r="E80" s="40">
        <v>208.11578</v>
      </c>
      <c r="F80" s="40">
        <v>135.34385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0</v>
      </c>
      <c r="M80" s="40">
        <v>0</v>
      </c>
      <c r="N80" s="40">
        <v>0</v>
      </c>
      <c r="O80" s="40">
        <v>146.12479999999999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  <c r="AA80" s="40">
        <v>0</v>
      </c>
      <c r="AB80" s="40">
        <v>0</v>
      </c>
    </row>
    <row r="81" spans="1:28" s="16" customFormat="1" x14ac:dyDescent="0.25">
      <c r="A81" s="2" t="s">
        <v>30</v>
      </c>
      <c r="B81" s="40">
        <v>0</v>
      </c>
      <c r="C81" s="40">
        <v>15.785770000000001</v>
      </c>
      <c r="D81" s="40">
        <v>0</v>
      </c>
      <c r="E81" s="40">
        <v>42.339379999999998</v>
      </c>
      <c r="F81" s="40">
        <v>9.0467999999999993</v>
      </c>
      <c r="G81" s="40">
        <v>9.9423999999999992</v>
      </c>
      <c r="H81" s="40">
        <v>0</v>
      </c>
      <c r="I81" s="40">
        <v>0</v>
      </c>
      <c r="J81" s="40">
        <v>0</v>
      </c>
      <c r="K81" s="40">
        <v>0</v>
      </c>
      <c r="L81" s="40">
        <v>0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40">
        <v>78.236000000000004</v>
      </c>
      <c r="X81" s="40">
        <v>56.552900000000001</v>
      </c>
      <c r="Y81" s="40">
        <v>0</v>
      </c>
      <c r="Z81" s="40">
        <v>0</v>
      </c>
      <c r="AA81" s="40">
        <v>0</v>
      </c>
      <c r="AB81" s="40">
        <v>0</v>
      </c>
    </row>
    <row r="82" spans="1:28" s="16" customFormat="1" x14ac:dyDescent="0.25">
      <c r="A82" s="2" t="s">
        <v>88</v>
      </c>
      <c r="B82" s="40">
        <v>0</v>
      </c>
      <c r="C82" s="40">
        <v>55.717550000000003</v>
      </c>
      <c r="D82" s="40">
        <v>0</v>
      </c>
      <c r="E82" s="40">
        <v>83.580699999999993</v>
      </c>
      <c r="F82" s="40">
        <v>0</v>
      </c>
      <c r="G82" s="40">
        <v>198.57335</v>
      </c>
      <c r="H82" s="40">
        <v>87.384500000000003</v>
      </c>
      <c r="I82" s="40">
        <v>0</v>
      </c>
      <c r="J82" s="40">
        <v>0</v>
      </c>
      <c r="K82" s="40">
        <v>0</v>
      </c>
      <c r="L82" s="40">
        <v>0</v>
      </c>
      <c r="M82" s="40">
        <v>0</v>
      </c>
      <c r="N82" s="40">
        <v>0</v>
      </c>
      <c r="O82" s="40">
        <v>35.878099999999996</v>
      </c>
      <c r="P82" s="40">
        <v>0</v>
      </c>
      <c r="Q82" s="40">
        <v>0</v>
      </c>
      <c r="R82" s="40">
        <v>0</v>
      </c>
      <c r="S82" s="40">
        <v>0</v>
      </c>
      <c r="T82" s="40">
        <v>0</v>
      </c>
      <c r="U82" s="40">
        <v>0</v>
      </c>
      <c r="V82" s="40">
        <v>0</v>
      </c>
      <c r="W82" s="40">
        <v>46.595999999999997</v>
      </c>
      <c r="X82" s="40">
        <v>50</v>
      </c>
      <c r="Y82" s="40">
        <v>0</v>
      </c>
      <c r="Z82" s="40">
        <v>0</v>
      </c>
      <c r="AA82" s="40">
        <v>0</v>
      </c>
      <c r="AB82" s="40">
        <v>0</v>
      </c>
    </row>
    <row r="83" spans="1:28" s="16" customFormat="1" x14ac:dyDescent="0.25">
      <c r="A83" s="2" t="s">
        <v>89</v>
      </c>
      <c r="B83" s="40">
        <v>21.6843</v>
      </c>
      <c r="C83" s="40">
        <v>1884.7588899999998</v>
      </c>
      <c r="D83" s="40">
        <v>0</v>
      </c>
      <c r="E83" s="40">
        <v>2064.3025600000001</v>
      </c>
      <c r="F83" s="40">
        <v>1858.3542199999999</v>
      </c>
      <c r="G83" s="40">
        <v>0</v>
      </c>
      <c r="H83" s="40">
        <v>890.81199000000004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699.20869999999991</v>
      </c>
      <c r="P83" s="40">
        <v>0</v>
      </c>
      <c r="Q83" s="40">
        <v>0</v>
      </c>
      <c r="R83" s="40">
        <v>0</v>
      </c>
      <c r="S83" s="40">
        <v>0</v>
      </c>
      <c r="T83" s="40">
        <v>0</v>
      </c>
      <c r="U83" s="40">
        <v>0</v>
      </c>
      <c r="V83" s="40">
        <v>0</v>
      </c>
      <c r="W83" s="40">
        <v>452.70100000000002</v>
      </c>
      <c r="X83" s="40">
        <v>259.94675000000001</v>
      </c>
      <c r="Y83" s="40">
        <v>0</v>
      </c>
      <c r="Z83" s="40">
        <v>0</v>
      </c>
      <c r="AA83" s="40">
        <v>0</v>
      </c>
      <c r="AB83" s="40">
        <v>0</v>
      </c>
    </row>
    <row r="84" spans="1:28" s="16" customFormat="1" x14ac:dyDescent="0.25">
      <c r="A84" s="2" t="s">
        <v>90</v>
      </c>
      <c r="B84" s="40">
        <v>0</v>
      </c>
      <c r="C84" s="40">
        <v>0</v>
      </c>
      <c r="D84" s="40">
        <v>0</v>
      </c>
      <c r="E84" s="40">
        <v>422.0181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0</v>
      </c>
      <c r="M84" s="40">
        <v>0</v>
      </c>
      <c r="N84" s="40">
        <v>0</v>
      </c>
      <c r="O84" s="40">
        <v>34.262</v>
      </c>
      <c r="P84" s="40">
        <v>0</v>
      </c>
      <c r="Q84" s="40">
        <v>0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</row>
    <row r="85" spans="1:28" s="16" customFormat="1" x14ac:dyDescent="0.25">
      <c r="A85" s="2" t="s">
        <v>91</v>
      </c>
      <c r="B85" s="40">
        <v>0</v>
      </c>
      <c r="C85" s="40">
        <v>48.801929999999999</v>
      </c>
      <c r="D85" s="40">
        <v>0</v>
      </c>
      <c r="E85" s="40">
        <v>311.71593999999999</v>
      </c>
      <c r="F85" s="40">
        <v>59.671199999999999</v>
      </c>
      <c r="G85" s="40">
        <v>0</v>
      </c>
      <c r="H85" s="40">
        <v>38.1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43.888599999999997</v>
      </c>
      <c r="P85" s="40">
        <v>0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</row>
    <row r="86" spans="1:28" s="16" customFormat="1" x14ac:dyDescent="0.25">
      <c r="A86" s="2" t="s">
        <v>92</v>
      </c>
      <c r="B86" s="40">
        <v>0</v>
      </c>
      <c r="C86" s="40">
        <v>283.04784999999998</v>
      </c>
      <c r="D86" s="40">
        <v>0</v>
      </c>
      <c r="E86" s="40">
        <v>601.68555000000003</v>
      </c>
      <c r="F86" s="40">
        <v>9.4032499999999999</v>
      </c>
      <c r="G86" s="40">
        <v>0</v>
      </c>
      <c r="H86" s="40">
        <v>7.5908999999999995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81.965000000000003</v>
      </c>
      <c r="X86" s="40">
        <v>87.993049999999997</v>
      </c>
      <c r="Y86" s="40">
        <v>0</v>
      </c>
      <c r="Z86" s="40">
        <v>0</v>
      </c>
      <c r="AA86" s="40">
        <v>0</v>
      </c>
      <c r="AB86" s="40">
        <v>0</v>
      </c>
    </row>
    <row r="87" spans="1:28" s="16" customFormat="1" x14ac:dyDescent="0.25">
      <c r="A87" s="2" t="s">
        <v>93</v>
      </c>
      <c r="B87" s="40">
        <v>0</v>
      </c>
      <c r="C87" s="40">
        <v>32.25705</v>
      </c>
      <c r="D87" s="40">
        <v>0</v>
      </c>
      <c r="E87" s="40">
        <v>187.571</v>
      </c>
      <c r="F87" s="40">
        <v>107.65644999999999</v>
      </c>
      <c r="G87" s="40">
        <v>0</v>
      </c>
      <c r="H87" s="40">
        <v>21.62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72.61103</v>
      </c>
      <c r="P87" s="40">
        <v>0</v>
      </c>
      <c r="Q87" s="40">
        <v>0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136.74199999999999</v>
      </c>
      <c r="X87" s="40">
        <v>163.51254999999998</v>
      </c>
      <c r="Y87" s="40">
        <v>0</v>
      </c>
      <c r="Z87" s="40">
        <v>0</v>
      </c>
      <c r="AA87" s="40">
        <v>0</v>
      </c>
      <c r="AB87" s="40">
        <v>0</v>
      </c>
    </row>
    <row r="88" spans="1:28" s="16" customFormat="1" ht="12.75" customHeight="1" x14ac:dyDescent="0.25">
      <c r="A88" s="2" t="s">
        <v>94</v>
      </c>
      <c r="B88" s="40">
        <v>0</v>
      </c>
      <c r="C88" s="40">
        <v>23.335549999999998</v>
      </c>
      <c r="D88" s="40">
        <v>0</v>
      </c>
      <c r="E88" s="40">
        <v>102.47139999999999</v>
      </c>
      <c r="F88" s="40">
        <v>29.66245</v>
      </c>
      <c r="G88" s="40">
        <v>0</v>
      </c>
      <c r="H88" s="40">
        <v>2.85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42.874250000000004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  <c r="AA88" s="40">
        <v>0</v>
      </c>
      <c r="AB88" s="40">
        <v>0</v>
      </c>
    </row>
    <row r="89" spans="1:28" s="16" customFormat="1" x14ac:dyDescent="0.25">
      <c r="A89" s="2" t="s">
        <v>95</v>
      </c>
      <c r="B89" s="40">
        <v>0</v>
      </c>
      <c r="C89" s="40">
        <v>748.35815000000002</v>
      </c>
      <c r="D89" s="40">
        <v>116.3592</v>
      </c>
      <c r="E89" s="40">
        <v>156.90864999999999</v>
      </c>
      <c r="F89" s="40">
        <v>87.714619999999996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2.3694000000000002</v>
      </c>
      <c r="P89" s="40">
        <v>50</v>
      </c>
      <c r="Q89" s="40">
        <v>0</v>
      </c>
      <c r="R89" s="40">
        <v>0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</row>
    <row r="90" spans="1:28" s="16" customFormat="1" x14ac:dyDescent="0.25">
      <c r="A90" s="2" t="s">
        <v>96</v>
      </c>
      <c r="B90" s="40">
        <v>0</v>
      </c>
      <c r="C90" s="40">
        <v>400.46672999999998</v>
      </c>
      <c r="D90" s="40">
        <v>0</v>
      </c>
      <c r="E90" s="40">
        <v>703.58484999999996</v>
      </c>
      <c r="F90" s="40">
        <v>175.71626000000001</v>
      </c>
      <c r="G90" s="40">
        <v>0</v>
      </c>
      <c r="H90" s="40">
        <v>0</v>
      </c>
      <c r="I90" s="40">
        <v>0</v>
      </c>
      <c r="J90" s="40">
        <v>0</v>
      </c>
      <c r="K90" s="40">
        <v>0</v>
      </c>
      <c r="L90" s="40">
        <v>0</v>
      </c>
      <c r="M90" s="40">
        <v>0</v>
      </c>
      <c r="N90" s="40">
        <v>0</v>
      </c>
      <c r="O90" s="40">
        <v>0</v>
      </c>
      <c r="P90" s="40">
        <v>0</v>
      </c>
      <c r="Q90" s="40">
        <v>25</v>
      </c>
      <c r="R90" s="40">
        <v>0</v>
      </c>
      <c r="S90" s="40">
        <v>0</v>
      </c>
      <c r="T90" s="40">
        <v>0</v>
      </c>
      <c r="U90" s="40">
        <v>125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  <c r="AA90" s="40">
        <v>0</v>
      </c>
      <c r="AB90" s="40">
        <v>0</v>
      </c>
    </row>
    <row r="91" spans="1:28" s="16" customFormat="1" x14ac:dyDescent="0.25">
      <c r="A91" s="2" t="s">
        <v>97</v>
      </c>
      <c r="B91" s="40">
        <v>0</v>
      </c>
      <c r="C91" s="40">
        <v>493.63126</v>
      </c>
      <c r="D91" s="40">
        <v>0</v>
      </c>
      <c r="E91" s="40">
        <v>633.63980000000004</v>
      </c>
      <c r="F91" s="40">
        <v>314.34800999999999</v>
      </c>
      <c r="G91" s="40">
        <v>0</v>
      </c>
      <c r="H91" s="40">
        <v>68.138499999999993</v>
      </c>
      <c r="I91" s="40">
        <v>0</v>
      </c>
      <c r="J91" s="40">
        <v>0</v>
      </c>
      <c r="K91" s="40">
        <v>0</v>
      </c>
      <c r="L91" s="40">
        <v>0</v>
      </c>
      <c r="M91" s="40">
        <v>0</v>
      </c>
      <c r="N91" s="40">
        <v>2.08955</v>
      </c>
      <c r="O91" s="40">
        <v>156.31553</v>
      </c>
      <c r="P91" s="40">
        <v>0</v>
      </c>
      <c r="Q91" s="40">
        <v>0</v>
      </c>
      <c r="R91" s="40">
        <v>0</v>
      </c>
      <c r="S91" s="40">
        <v>0</v>
      </c>
      <c r="T91" s="40">
        <v>0</v>
      </c>
      <c r="U91" s="40">
        <v>0</v>
      </c>
      <c r="V91" s="40">
        <v>100</v>
      </c>
      <c r="W91" s="40">
        <v>0</v>
      </c>
      <c r="X91" s="40">
        <v>316.47742</v>
      </c>
      <c r="Y91" s="40">
        <v>0</v>
      </c>
      <c r="Z91" s="40">
        <v>0</v>
      </c>
      <c r="AA91" s="40">
        <v>0</v>
      </c>
      <c r="AB91" s="40">
        <v>0</v>
      </c>
    </row>
    <row r="92" spans="1:28" s="16" customFormat="1" ht="12.75" customHeight="1" x14ac:dyDescent="0.25">
      <c r="A92" s="2" t="s">
        <v>98</v>
      </c>
      <c r="B92" s="40">
        <v>0</v>
      </c>
      <c r="C92" s="40">
        <v>393.38218000000001</v>
      </c>
      <c r="D92" s="40">
        <v>0</v>
      </c>
      <c r="E92" s="40">
        <v>357.08143000000001</v>
      </c>
      <c r="F92" s="40">
        <v>1058.5200600000001</v>
      </c>
      <c r="G92" s="40">
        <v>228.44460999999998</v>
      </c>
      <c r="H92" s="40">
        <v>89.147899999999993</v>
      </c>
      <c r="I92" s="40">
        <v>0</v>
      </c>
      <c r="J92" s="40">
        <v>0</v>
      </c>
      <c r="K92" s="40">
        <v>0</v>
      </c>
      <c r="L92" s="40">
        <v>0</v>
      </c>
      <c r="M92" s="40">
        <v>0</v>
      </c>
      <c r="N92" s="40">
        <v>0</v>
      </c>
      <c r="O92" s="40">
        <v>289.91365000000002</v>
      </c>
      <c r="P92" s="40">
        <v>0</v>
      </c>
      <c r="Q92" s="40">
        <v>0</v>
      </c>
      <c r="R92" s="40">
        <v>20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213.65810000000002</v>
      </c>
      <c r="Y92" s="40">
        <v>0</v>
      </c>
      <c r="Z92" s="40">
        <v>0</v>
      </c>
      <c r="AA92" s="40">
        <v>0</v>
      </c>
      <c r="AB92" s="40">
        <v>0</v>
      </c>
    </row>
    <row r="93" spans="1:28" s="16" customFormat="1" x14ac:dyDescent="0.25">
      <c r="A93" s="2" t="s">
        <v>99</v>
      </c>
      <c r="B93" s="40">
        <v>0</v>
      </c>
      <c r="C93" s="40">
        <v>306.84059999999999</v>
      </c>
      <c r="D93" s="40">
        <v>16.215</v>
      </c>
      <c r="E93" s="40">
        <v>32.167299999999997</v>
      </c>
      <c r="F93" s="40">
        <v>625.67081000000007</v>
      </c>
      <c r="G93" s="40">
        <v>0</v>
      </c>
      <c r="H93" s="40">
        <v>60.3</v>
      </c>
      <c r="I93" s="40">
        <v>0</v>
      </c>
      <c r="J93" s="40">
        <v>0</v>
      </c>
      <c r="K93" s="40">
        <v>0</v>
      </c>
      <c r="L93" s="40">
        <v>0</v>
      </c>
      <c r="M93" s="40">
        <v>0</v>
      </c>
      <c r="N93" s="40">
        <v>0</v>
      </c>
      <c r="O93" s="40">
        <v>227.12571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10.7</v>
      </c>
      <c r="V93" s="40">
        <v>0</v>
      </c>
      <c r="W93" s="40">
        <v>0</v>
      </c>
      <c r="X93" s="40">
        <v>50</v>
      </c>
      <c r="Y93" s="40">
        <v>0</v>
      </c>
      <c r="Z93" s="40">
        <v>0</v>
      </c>
      <c r="AA93" s="40">
        <v>0</v>
      </c>
      <c r="AB93" s="40">
        <v>0</v>
      </c>
    </row>
    <row r="94" spans="1:28" s="16" customFormat="1" x14ac:dyDescent="0.25">
      <c r="A94" s="2" t="s">
        <v>590</v>
      </c>
      <c r="B94" s="40">
        <v>0</v>
      </c>
      <c r="C94" s="40">
        <v>258.67457000000002</v>
      </c>
      <c r="D94" s="40">
        <v>0</v>
      </c>
      <c r="E94" s="40">
        <v>104.12427000000001</v>
      </c>
      <c r="F94" s="40">
        <v>503.62858</v>
      </c>
      <c r="G94" s="40">
        <v>0</v>
      </c>
      <c r="H94" s="40">
        <v>60.112199999999994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10.057450000000001</v>
      </c>
      <c r="O94" s="40">
        <v>124.33606</v>
      </c>
      <c r="P94" s="40">
        <v>0</v>
      </c>
      <c r="Q94" s="40">
        <v>0</v>
      </c>
      <c r="R94" s="40">
        <v>0</v>
      </c>
      <c r="S94" s="40">
        <v>0</v>
      </c>
      <c r="T94" s="40">
        <v>0</v>
      </c>
      <c r="U94" s="40">
        <v>0</v>
      </c>
      <c r="V94" s="40">
        <v>0</v>
      </c>
      <c r="W94" s="40">
        <v>129.22174999999999</v>
      </c>
      <c r="X94" s="40">
        <v>18.718</v>
      </c>
      <c r="Y94" s="40">
        <v>1120</v>
      </c>
      <c r="Z94" s="40">
        <v>0</v>
      </c>
      <c r="AA94" s="40">
        <v>0</v>
      </c>
      <c r="AB94" s="40">
        <v>0</v>
      </c>
    </row>
    <row r="95" spans="1:28" s="16" customFormat="1" ht="12.75" customHeight="1" x14ac:dyDescent="0.25">
      <c r="A95" s="2" t="s">
        <v>22</v>
      </c>
      <c r="B95" s="40">
        <v>0</v>
      </c>
      <c r="C95" s="40">
        <v>145.35624999999999</v>
      </c>
      <c r="D95" s="40">
        <v>0</v>
      </c>
      <c r="E95" s="40">
        <v>533.08825000000002</v>
      </c>
      <c r="F95" s="40">
        <v>1222.37967</v>
      </c>
      <c r="G95" s="40">
        <v>0</v>
      </c>
      <c r="H95" s="40">
        <v>202.43668</v>
      </c>
      <c r="I95" s="40">
        <v>0</v>
      </c>
      <c r="J95" s="40">
        <v>0</v>
      </c>
      <c r="K95" s="40">
        <v>0</v>
      </c>
      <c r="L95" s="40">
        <v>0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154.30199999999999</v>
      </c>
      <c r="X95" s="40">
        <v>87.91194999999999</v>
      </c>
      <c r="Y95" s="40">
        <v>0</v>
      </c>
      <c r="Z95" s="40">
        <v>0</v>
      </c>
      <c r="AA95" s="40">
        <v>0</v>
      </c>
      <c r="AB95" s="40">
        <v>0</v>
      </c>
    </row>
    <row r="96" spans="1:28" s="16" customFormat="1" x14ac:dyDescent="0.25">
      <c r="A96" s="2" t="s">
        <v>100</v>
      </c>
      <c r="B96" s="40">
        <v>0</v>
      </c>
      <c r="C96" s="40">
        <v>304.90607</v>
      </c>
      <c r="D96" s="40">
        <v>0</v>
      </c>
      <c r="E96" s="40">
        <v>1263.3528700000002</v>
      </c>
      <c r="F96" s="40">
        <v>1935.9666599999998</v>
      </c>
      <c r="G96" s="40">
        <v>487.28626000000003</v>
      </c>
      <c r="H96" s="40">
        <v>70.132469999999998</v>
      </c>
      <c r="I96" s="40">
        <v>0</v>
      </c>
      <c r="J96" s="40">
        <v>0</v>
      </c>
      <c r="K96" s="40">
        <v>0</v>
      </c>
      <c r="L96" s="40">
        <v>0</v>
      </c>
      <c r="M96" s="40">
        <v>0</v>
      </c>
      <c r="N96" s="40">
        <v>0</v>
      </c>
      <c r="O96" s="40">
        <v>84.601649999999992</v>
      </c>
      <c r="P96" s="40">
        <v>0</v>
      </c>
      <c r="Q96" s="40">
        <v>0</v>
      </c>
      <c r="R96" s="40">
        <v>0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115</v>
      </c>
      <c r="Y96" s="40">
        <v>0</v>
      </c>
      <c r="Z96" s="40">
        <v>0</v>
      </c>
      <c r="AA96" s="40">
        <v>80</v>
      </c>
      <c r="AB96" s="40">
        <v>0</v>
      </c>
    </row>
    <row r="97" spans="1:28" s="16" customFormat="1" ht="12.75" customHeight="1" x14ac:dyDescent="0.25">
      <c r="A97" s="2" t="s">
        <v>101</v>
      </c>
      <c r="B97" s="40">
        <v>0</v>
      </c>
      <c r="C97" s="40">
        <v>86.012500000000003</v>
      </c>
      <c r="D97" s="40">
        <v>0</v>
      </c>
      <c r="E97" s="40">
        <v>386.32408000000004</v>
      </c>
      <c r="F97" s="40">
        <v>68.286649999999995</v>
      </c>
      <c r="G97" s="40">
        <v>191.62583999999998</v>
      </c>
      <c r="H97" s="40">
        <v>0</v>
      </c>
      <c r="I97" s="40">
        <v>0</v>
      </c>
      <c r="J97" s="40">
        <v>0</v>
      </c>
      <c r="K97" s="40">
        <v>0</v>
      </c>
      <c r="L97" s="40">
        <v>0</v>
      </c>
      <c r="M97" s="40">
        <v>0</v>
      </c>
      <c r="N97" s="40">
        <v>0</v>
      </c>
      <c r="O97" s="40">
        <v>17.961299999999998</v>
      </c>
      <c r="P97" s="40">
        <v>0</v>
      </c>
      <c r="Q97" s="40">
        <v>0</v>
      </c>
      <c r="R97" s="40">
        <v>0</v>
      </c>
      <c r="S97" s="40">
        <v>0</v>
      </c>
      <c r="T97" s="40">
        <v>0</v>
      </c>
      <c r="U97" s="40">
        <v>0</v>
      </c>
      <c r="V97" s="40">
        <v>0</v>
      </c>
      <c r="W97" s="40">
        <v>174.572</v>
      </c>
      <c r="X97" s="40">
        <v>80.760000000000005</v>
      </c>
      <c r="Y97" s="40">
        <v>0</v>
      </c>
      <c r="Z97" s="40">
        <v>0</v>
      </c>
      <c r="AA97" s="40">
        <v>0</v>
      </c>
      <c r="AB97" s="40">
        <v>0</v>
      </c>
    </row>
    <row r="98" spans="1:28" s="16" customFormat="1" x14ac:dyDescent="0.25">
      <c r="A98" s="2" t="s">
        <v>23</v>
      </c>
      <c r="B98" s="40">
        <v>0</v>
      </c>
      <c r="C98" s="40">
        <v>841.50268000000005</v>
      </c>
      <c r="D98" s="40">
        <v>0</v>
      </c>
      <c r="E98" s="40">
        <v>3355.3782000000001</v>
      </c>
      <c r="F98" s="40">
        <v>550.46816999999999</v>
      </c>
      <c r="G98" s="40">
        <v>287.28954999999996</v>
      </c>
      <c r="H98" s="40">
        <v>320.28303999999997</v>
      </c>
      <c r="I98" s="40">
        <v>402.43680000000001</v>
      </c>
      <c r="J98" s="40">
        <v>0</v>
      </c>
      <c r="K98" s="40">
        <v>0</v>
      </c>
      <c r="L98" s="40">
        <v>0</v>
      </c>
      <c r="M98" s="40">
        <v>0</v>
      </c>
      <c r="N98" s="40">
        <v>10.669450000000001</v>
      </c>
      <c r="O98" s="40">
        <v>425.59546999999998</v>
      </c>
      <c r="P98" s="40">
        <v>0</v>
      </c>
      <c r="Q98" s="40">
        <v>0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61.969379999999994</v>
      </c>
      <c r="Y98" s="40">
        <v>0</v>
      </c>
      <c r="Z98" s="40">
        <v>0</v>
      </c>
      <c r="AA98" s="40">
        <v>0</v>
      </c>
      <c r="AB98" s="40">
        <v>0</v>
      </c>
    </row>
    <row r="99" spans="1:28" s="16" customFormat="1" x14ac:dyDescent="0.25">
      <c r="A99" s="2" t="s">
        <v>102</v>
      </c>
      <c r="B99" s="40">
        <v>0</v>
      </c>
      <c r="C99" s="40">
        <v>740.4781999999999</v>
      </c>
      <c r="D99" s="40">
        <v>0</v>
      </c>
      <c r="E99" s="40">
        <v>775.55348000000004</v>
      </c>
      <c r="F99" s="40">
        <v>3763.2262900000001</v>
      </c>
      <c r="G99" s="40">
        <v>70.70235000000001</v>
      </c>
      <c r="H99" s="40">
        <v>155.45489999999998</v>
      </c>
      <c r="I99" s="40">
        <v>0</v>
      </c>
      <c r="J99" s="40">
        <v>0</v>
      </c>
      <c r="K99" s="40">
        <v>0</v>
      </c>
      <c r="L99" s="40">
        <v>0</v>
      </c>
      <c r="M99" s="40">
        <v>0</v>
      </c>
      <c r="N99" s="40">
        <v>0</v>
      </c>
      <c r="O99" s="40">
        <v>152.50570000000002</v>
      </c>
      <c r="P99" s="40">
        <v>0</v>
      </c>
      <c r="Q99" s="40">
        <v>0</v>
      </c>
      <c r="R99" s="40">
        <v>0</v>
      </c>
      <c r="S99" s="40">
        <v>0</v>
      </c>
      <c r="T99" s="40">
        <v>0</v>
      </c>
      <c r="U99" s="40">
        <v>0</v>
      </c>
      <c r="V99" s="40">
        <v>0</v>
      </c>
      <c r="W99" s="40">
        <v>119.5326</v>
      </c>
      <c r="X99" s="40">
        <v>20</v>
      </c>
      <c r="Y99" s="40">
        <v>0</v>
      </c>
      <c r="Z99" s="40">
        <v>0</v>
      </c>
      <c r="AA99" s="40">
        <v>27</v>
      </c>
      <c r="AB99" s="40">
        <v>0</v>
      </c>
    </row>
    <row r="100" spans="1:28" s="16" customFormat="1" x14ac:dyDescent="0.25">
      <c r="A100" s="2" t="s">
        <v>24</v>
      </c>
      <c r="B100" s="40">
        <v>0</v>
      </c>
      <c r="C100" s="40">
        <v>35.596299999999999</v>
      </c>
      <c r="D100" s="40">
        <v>58.047199999999997</v>
      </c>
      <c r="E100" s="40">
        <v>290.26820000000004</v>
      </c>
      <c r="F100" s="40">
        <v>5222.8491699999995</v>
      </c>
      <c r="G100" s="40">
        <v>61.348500000000001</v>
      </c>
      <c r="H100" s="40">
        <v>2.5263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42.718350000000001</v>
      </c>
      <c r="P100" s="40">
        <v>0</v>
      </c>
      <c r="Q100" s="40">
        <v>0</v>
      </c>
      <c r="R100" s="40">
        <v>0</v>
      </c>
      <c r="S100" s="40">
        <v>0</v>
      </c>
      <c r="T100" s="40">
        <v>0</v>
      </c>
      <c r="U100" s="40">
        <v>0</v>
      </c>
      <c r="V100" s="40">
        <v>0</v>
      </c>
      <c r="W100" s="40">
        <v>82.752049999999997</v>
      </c>
      <c r="X100" s="40">
        <v>80</v>
      </c>
      <c r="Y100" s="40">
        <v>0</v>
      </c>
      <c r="Z100" s="40">
        <v>0</v>
      </c>
      <c r="AA100" s="40">
        <v>0</v>
      </c>
      <c r="AB100" s="40">
        <v>0</v>
      </c>
    </row>
    <row r="101" spans="1:28" s="16" customFormat="1" x14ac:dyDescent="0.25">
      <c r="A101" s="3" t="s">
        <v>103</v>
      </c>
      <c r="B101" s="40">
        <v>0</v>
      </c>
      <c r="C101" s="40">
        <v>242.30874</v>
      </c>
      <c r="D101" s="40">
        <v>2.25</v>
      </c>
      <c r="E101" s="40">
        <v>184.54129999999998</v>
      </c>
      <c r="F101" s="40">
        <v>-20.695450000000001</v>
      </c>
      <c r="G101" s="40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20.7547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198.76</v>
      </c>
      <c r="X101" s="40">
        <v>266.37034999999997</v>
      </c>
      <c r="Y101" s="40">
        <v>0</v>
      </c>
      <c r="Z101" s="40">
        <v>0</v>
      </c>
      <c r="AA101" s="40">
        <v>0</v>
      </c>
      <c r="AB101" s="40">
        <v>0</v>
      </c>
    </row>
    <row r="102" spans="1:28" s="16" customFormat="1" x14ac:dyDescent="0.25">
      <c r="A102" s="2" t="s">
        <v>104</v>
      </c>
      <c r="B102" s="40">
        <v>0</v>
      </c>
      <c r="C102" s="40">
        <v>41.286650000000002</v>
      </c>
      <c r="D102" s="40">
        <v>3.5635300000000001</v>
      </c>
      <c r="E102" s="40">
        <v>223.35754999999997</v>
      </c>
      <c r="F102" s="40">
        <v>1273.81295</v>
      </c>
      <c r="G102" s="40">
        <v>0</v>
      </c>
      <c r="H102" s="40">
        <v>154.02625</v>
      </c>
      <c r="I102" s="40">
        <v>0</v>
      </c>
      <c r="J102" s="40">
        <v>0</v>
      </c>
      <c r="K102" s="40">
        <v>0</v>
      </c>
      <c r="L102" s="40">
        <v>0</v>
      </c>
      <c r="M102" s="40">
        <v>0</v>
      </c>
      <c r="N102" s="40">
        <v>0</v>
      </c>
      <c r="O102" s="40">
        <v>375.68304999999998</v>
      </c>
      <c r="P102" s="40">
        <v>0</v>
      </c>
      <c r="Q102" s="40">
        <v>0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233.167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</row>
    <row r="103" spans="1:28" s="16" customFormat="1" x14ac:dyDescent="0.25">
      <c r="A103" s="2" t="s">
        <v>25</v>
      </c>
      <c r="B103" s="40">
        <v>0</v>
      </c>
      <c r="C103" s="40">
        <v>480.49645000000004</v>
      </c>
      <c r="D103" s="40">
        <v>0</v>
      </c>
      <c r="E103" s="40">
        <v>162.24504999999999</v>
      </c>
      <c r="F103" s="40">
        <v>202.38086999999999</v>
      </c>
      <c r="G103" s="40">
        <v>60.918849999999999</v>
      </c>
      <c r="H103" s="40">
        <v>60.084249999999997</v>
      </c>
      <c r="I103" s="40">
        <v>0</v>
      </c>
      <c r="J103" s="40">
        <v>0</v>
      </c>
      <c r="K103" s="40">
        <v>0</v>
      </c>
      <c r="L103" s="40">
        <v>0</v>
      </c>
      <c r="M103" s="40">
        <v>0</v>
      </c>
      <c r="N103" s="40">
        <v>0</v>
      </c>
      <c r="O103" s="40">
        <v>265.17829</v>
      </c>
      <c r="P103" s="40">
        <v>0</v>
      </c>
      <c r="Q103" s="40">
        <v>0</v>
      </c>
      <c r="R103" s="40">
        <v>0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</row>
    <row r="104" spans="1:28" s="16" customFormat="1" x14ac:dyDescent="0.25">
      <c r="A104" s="2" t="s">
        <v>105</v>
      </c>
      <c r="B104" s="40">
        <v>-548.48</v>
      </c>
      <c r="C104" s="40">
        <v>349.60795000000002</v>
      </c>
      <c r="D104" s="40">
        <v>52.840400000000002</v>
      </c>
      <c r="E104" s="40">
        <v>1431.9410500000001</v>
      </c>
      <c r="F104" s="40">
        <v>2450.4297000000001</v>
      </c>
      <c r="G104" s="40">
        <v>0</v>
      </c>
      <c r="H104" s="40">
        <v>215.95035000000001</v>
      </c>
      <c r="I104" s="40">
        <v>0</v>
      </c>
      <c r="J104" s="40">
        <v>0</v>
      </c>
      <c r="K104" s="40">
        <v>0</v>
      </c>
      <c r="L104" s="40">
        <v>206.83904999999999</v>
      </c>
      <c r="M104" s="40">
        <v>0</v>
      </c>
      <c r="N104" s="40">
        <v>0</v>
      </c>
      <c r="O104" s="40">
        <v>242.58548999999999</v>
      </c>
      <c r="P104" s="40">
        <v>0</v>
      </c>
      <c r="Q104" s="40">
        <v>0</v>
      </c>
      <c r="R104" s="40">
        <v>0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-19.822400000000002</v>
      </c>
      <c r="Y104" s="40">
        <v>0</v>
      </c>
      <c r="Z104" s="40">
        <v>0</v>
      </c>
      <c r="AA104" s="40">
        <v>0</v>
      </c>
      <c r="AB104" s="40">
        <v>0</v>
      </c>
    </row>
    <row r="105" spans="1:28" s="16" customFormat="1" x14ac:dyDescent="0.25">
      <c r="A105" s="2" t="s">
        <v>106</v>
      </c>
      <c r="B105" s="40">
        <v>0</v>
      </c>
      <c r="C105" s="40">
        <v>347.58580000000001</v>
      </c>
      <c r="D105" s="40">
        <v>179.01</v>
      </c>
      <c r="E105" s="40">
        <v>148.8954</v>
      </c>
      <c r="F105" s="40">
        <v>1156.1349700000001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0</v>
      </c>
      <c r="N105" s="40">
        <v>0</v>
      </c>
      <c r="O105" s="40">
        <v>-3.7970000000000002</v>
      </c>
      <c r="P105" s="40">
        <v>0</v>
      </c>
      <c r="Q105" s="40">
        <v>0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27.401</v>
      </c>
      <c r="X105" s="40">
        <v>4.5886499999999995</v>
      </c>
      <c r="Y105" s="40">
        <v>0</v>
      </c>
      <c r="Z105" s="40">
        <v>0</v>
      </c>
      <c r="AA105" s="40">
        <v>0</v>
      </c>
      <c r="AB105" s="40">
        <v>0</v>
      </c>
    </row>
    <row r="106" spans="1:28" s="16" customFormat="1" x14ac:dyDescent="0.25">
      <c r="A106" s="2" t="s">
        <v>107</v>
      </c>
      <c r="B106" s="40">
        <v>0</v>
      </c>
      <c r="C106" s="40">
        <v>653.47</v>
      </c>
      <c r="D106" s="40">
        <v>0</v>
      </c>
      <c r="E106" s="40">
        <v>1564.0591499999998</v>
      </c>
      <c r="F106" s="40">
        <v>383.02345000000003</v>
      </c>
      <c r="G106" s="40">
        <v>0</v>
      </c>
      <c r="H106" s="40">
        <v>20.039400000000001</v>
      </c>
      <c r="I106" s="40">
        <v>0</v>
      </c>
      <c r="J106" s="40">
        <v>0</v>
      </c>
      <c r="K106" s="40">
        <v>0</v>
      </c>
      <c r="L106" s="40">
        <v>0</v>
      </c>
      <c r="M106" s="40">
        <v>0</v>
      </c>
      <c r="N106" s="40">
        <v>0</v>
      </c>
      <c r="O106" s="40">
        <v>256.77985000000001</v>
      </c>
      <c r="P106" s="40">
        <v>0</v>
      </c>
      <c r="Q106" s="40">
        <v>0</v>
      </c>
      <c r="R106" s="40">
        <v>0</v>
      </c>
      <c r="S106" s="40">
        <v>0</v>
      </c>
      <c r="T106" s="40">
        <v>0</v>
      </c>
      <c r="U106" s="40">
        <v>0</v>
      </c>
      <c r="V106" s="40">
        <v>0</v>
      </c>
      <c r="W106" s="40">
        <v>12.8712</v>
      </c>
      <c r="X106" s="40">
        <v>150</v>
      </c>
      <c r="Y106" s="40">
        <v>0</v>
      </c>
      <c r="Z106" s="40">
        <v>0</v>
      </c>
      <c r="AA106" s="40">
        <v>0</v>
      </c>
      <c r="AB106" s="40">
        <v>0</v>
      </c>
    </row>
    <row r="107" spans="1:28" s="16" customFormat="1" x14ac:dyDescent="0.25">
      <c r="A107" s="2" t="s">
        <v>108</v>
      </c>
      <c r="B107" s="40">
        <v>0</v>
      </c>
      <c r="C107" s="40">
        <v>17.713349999999998</v>
      </c>
      <c r="D107" s="40">
        <v>0</v>
      </c>
      <c r="E107" s="40">
        <v>552.78089</v>
      </c>
      <c r="F107" s="40">
        <v>3042.7603399999998</v>
      </c>
      <c r="G107" s="40">
        <v>0</v>
      </c>
      <c r="H107" s="40">
        <v>89.725100000000012</v>
      </c>
      <c r="I107" s="40">
        <v>0</v>
      </c>
      <c r="J107" s="40">
        <v>0</v>
      </c>
      <c r="K107" s="40">
        <v>0</v>
      </c>
      <c r="L107" s="40">
        <v>0</v>
      </c>
      <c r="M107" s="40">
        <v>0</v>
      </c>
      <c r="N107" s="40">
        <v>0</v>
      </c>
      <c r="O107" s="40">
        <v>19.135099999999998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218.56489999999999</v>
      </c>
      <c r="X107" s="40">
        <v>100.0425</v>
      </c>
      <c r="Y107" s="40">
        <v>0</v>
      </c>
      <c r="Z107" s="40">
        <v>0</v>
      </c>
      <c r="AA107" s="40">
        <v>0</v>
      </c>
      <c r="AB107" s="40">
        <v>0</v>
      </c>
    </row>
    <row r="108" spans="1:28" s="16" customFormat="1" x14ac:dyDescent="0.25">
      <c r="A108" s="2" t="s">
        <v>109</v>
      </c>
      <c r="B108" s="40">
        <v>0</v>
      </c>
      <c r="C108" s="40">
        <v>0</v>
      </c>
      <c r="D108" s="40">
        <v>0</v>
      </c>
      <c r="E108" s="40">
        <v>670.42363</v>
      </c>
      <c r="F108" s="40">
        <v>97.489550000000008</v>
      </c>
      <c r="G108" s="40">
        <v>0</v>
      </c>
      <c r="H108" s="40">
        <v>113.12397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167.20155</v>
      </c>
      <c r="P108" s="40">
        <v>0</v>
      </c>
      <c r="Q108" s="40">
        <v>0</v>
      </c>
      <c r="R108" s="40">
        <v>0</v>
      </c>
      <c r="S108" s="40">
        <v>0</v>
      </c>
      <c r="T108" s="40">
        <v>0</v>
      </c>
      <c r="U108" s="40">
        <v>0</v>
      </c>
      <c r="V108" s="40">
        <v>0</v>
      </c>
      <c r="W108" s="40">
        <v>32.887999999999998</v>
      </c>
      <c r="X108" s="40">
        <v>45.316900000000004</v>
      </c>
      <c r="Y108" s="40">
        <v>0</v>
      </c>
      <c r="Z108" s="40">
        <v>0</v>
      </c>
      <c r="AA108" s="40">
        <v>0</v>
      </c>
      <c r="AB108" s="40">
        <v>0</v>
      </c>
    </row>
    <row r="109" spans="1:28" s="23" customFormat="1" ht="18" customHeight="1" x14ac:dyDescent="0.25">
      <c r="A109" s="17" t="s">
        <v>224</v>
      </c>
      <c r="B109" s="43">
        <v>1609.8317000000002</v>
      </c>
      <c r="C109" s="43">
        <v>50460.13023000001</v>
      </c>
      <c r="D109" s="43">
        <v>6401.362790000001</v>
      </c>
      <c r="E109" s="43">
        <v>80330.995659999986</v>
      </c>
      <c r="F109" s="43">
        <v>130157.41606999998</v>
      </c>
      <c r="G109" s="43">
        <v>5207.11348</v>
      </c>
      <c r="H109" s="43">
        <v>19016.666069999992</v>
      </c>
      <c r="I109" s="43">
        <v>1634.4833199999998</v>
      </c>
      <c r="J109" s="43">
        <v>118.55760000000001</v>
      </c>
      <c r="K109" s="43">
        <v>10.4826</v>
      </c>
      <c r="L109" s="43">
        <v>206.83904999999999</v>
      </c>
      <c r="M109" s="43">
        <v>112.44835</v>
      </c>
      <c r="N109" s="43">
        <v>1045.0607</v>
      </c>
      <c r="O109" s="43">
        <v>19855.9002</v>
      </c>
      <c r="P109" s="43">
        <v>77.491299999999995</v>
      </c>
      <c r="Q109" s="43">
        <v>35</v>
      </c>
      <c r="R109" s="43">
        <v>279.68439999999998</v>
      </c>
      <c r="S109" s="43">
        <v>53.538350000000001</v>
      </c>
      <c r="T109" s="43">
        <v>75</v>
      </c>
      <c r="U109" s="43">
        <v>270.45400000000001</v>
      </c>
      <c r="V109" s="43">
        <v>100</v>
      </c>
      <c r="W109" s="43">
        <v>26433.330680000003</v>
      </c>
      <c r="X109" s="43">
        <v>17909.352979999996</v>
      </c>
      <c r="Y109" s="43">
        <v>1581.4739099999999</v>
      </c>
      <c r="Z109" s="43">
        <v>164.78449999999998</v>
      </c>
      <c r="AA109" s="43">
        <v>998.49932000000001</v>
      </c>
      <c r="AB109" s="43">
        <v>217.97190000000001</v>
      </c>
    </row>
    <row r="110" spans="1:28" s="23" customFormat="1" ht="18" customHeight="1" x14ac:dyDescent="0.15">
      <c r="A110" s="23" t="s">
        <v>225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5"/>
      <c r="X110" s="44"/>
      <c r="Y110" s="44"/>
      <c r="Z110" s="44"/>
      <c r="AA110" s="44"/>
      <c r="AB110" s="44"/>
    </row>
    <row r="111" spans="1:28" x14ac:dyDescent="0.25"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</row>
  </sheetData>
  <printOptions horizontalCentered="1" verticalCentered="1"/>
  <pageMargins left="0.70866141732283472" right="0.70866141732283472" top="0.35433070866141736" bottom="0.35433070866141736" header="0.31496062992125984" footer="3.937007874015748E-2"/>
  <pageSetup paperSize="9" firstPageNumber="51" orientation="landscape" useFirstPageNumber="1" horizontalDpi="1200" verticalDpi="1200" r:id="rId1"/>
  <headerFooter>
    <oddFooter>&amp;C&amp;"Arial Narrow,Corsivo"&amp;7- pagina &amp;P -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14"/>
  <sheetViews>
    <sheetView zoomScale="150" zoomScaleNormal="150" workbookViewId="0">
      <pane xSplit="1" ySplit="2" topLeftCell="B91" activePane="bottomRight" state="frozenSplit"/>
      <selection pane="topRight"/>
      <selection pane="bottomLeft"/>
      <selection pane="bottomRight" activeCell="A109" sqref="A109"/>
    </sheetView>
  </sheetViews>
  <sheetFormatPr defaultRowHeight="13.5" x14ac:dyDescent="0.25"/>
  <cols>
    <col min="1" max="1" width="14.85546875" style="16" customWidth="1"/>
    <col min="2" max="25" width="7.5703125" style="51" customWidth="1"/>
    <col min="26" max="26" width="7.5703125" style="61" customWidth="1"/>
    <col min="27" max="28" width="9.140625" style="51"/>
    <col min="29" max="29" width="3" style="51" customWidth="1"/>
    <col min="30" max="254" width="9.140625" style="51"/>
    <col min="255" max="255" width="14.85546875" style="51" customWidth="1"/>
    <col min="256" max="280" width="7.5703125" style="51" customWidth="1"/>
    <col min="281" max="281" width="13.140625" style="51" customWidth="1"/>
    <col min="282" max="284" width="9.140625" style="51"/>
    <col min="285" max="285" width="3" style="51" customWidth="1"/>
    <col min="286" max="510" width="9.140625" style="51"/>
    <col min="511" max="511" width="14.85546875" style="51" customWidth="1"/>
    <col min="512" max="536" width="7.5703125" style="51" customWidth="1"/>
    <col min="537" max="537" width="13.140625" style="51" customWidth="1"/>
    <col min="538" max="540" width="9.140625" style="51"/>
    <col min="541" max="541" width="3" style="51" customWidth="1"/>
    <col min="542" max="766" width="9.140625" style="51"/>
    <col min="767" max="767" width="14.85546875" style="51" customWidth="1"/>
    <col min="768" max="792" width="7.5703125" style="51" customWidth="1"/>
    <col min="793" max="793" width="13.140625" style="51" customWidth="1"/>
    <col min="794" max="796" width="9.140625" style="51"/>
    <col min="797" max="797" width="3" style="51" customWidth="1"/>
    <col min="798" max="1022" width="9.140625" style="51"/>
    <col min="1023" max="1023" width="14.85546875" style="51" customWidth="1"/>
    <col min="1024" max="1048" width="7.5703125" style="51" customWidth="1"/>
    <col min="1049" max="1049" width="13.140625" style="51" customWidth="1"/>
    <col min="1050" max="1052" width="9.140625" style="51"/>
    <col min="1053" max="1053" width="3" style="51" customWidth="1"/>
    <col min="1054" max="1278" width="9.140625" style="51"/>
    <col min="1279" max="1279" width="14.85546875" style="51" customWidth="1"/>
    <col min="1280" max="1304" width="7.5703125" style="51" customWidth="1"/>
    <col min="1305" max="1305" width="13.140625" style="51" customWidth="1"/>
    <col min="1306" max="1308" width="9.140625" style="51"/>
    <col min="1309" max="1309" width="3" style="51" customWidth="1"/>
    <col min="1310" max="1534" width="9.140625" style="51"/>
    <col min="1535" max="1535" width="14.85546875" style="51" customWidth="1"/>
    <col min="1536" max="1560" width="7.5703125" style="51" customWidth="1"/>
    <col min="1561" max="1561" width="13.140625" style="51" customWidth="1"/>
    <col min="1562" max="1564" width="9.140625" style="51"/>
    <col min="1565" max="1565" width="3" style="51" customWidth="1"/>
    <col min="1566" max="1790" width="9.140625" style="51"/>
    <col min="1791" max="1791" width="14.85546875" style="51" customWidth="1"/>
    <col min="1792" max="1816" width="7.5703125" style="51" customWidth="1"/>
    <col min="1817" max="1817" width="13.140625" style="51" customWidth="1"/>
    <col min="1818" max="1820" width="9.140625" style="51"/>
    <col min="1821" max="1821" width="3" style="51" customWidth="1"/>
    <col min="1822" max="2046" width="9.140625" style="51"/>
    <col min="2047" max="2047" width="14.85546875" style="51" customWidth="1"/>
    <col min="2048" max="2072" width="7.5703125" style="51" customWidth="1"/>
    <col min="2073" max="2073" width="13.140625" style="51" customWidth="1"/>
    <col min="2074" max="2076" width="9.140625" style="51"/>
    <col min="2077" max="2077" width="3" style="51" customWidth="1"/>
    <col min="2078" max="2302" width="9.140625" style="51"/>
    <col min="2303" max="2303" width="14.85546875" style="51" customWidth="1"/>
    <col min="2304" max="2328" width="7.5703125" style="51" customWidth="1"/>
    <col min="2329" max="2329" width="13.140625" style="51" customWidth="1"/>
    <col min="2330" max="2332" width="9.140625" style="51"/>
    <col min="2333" max="2333" width="3" style="51" customWidth="1"/>
    <col min="2334" max="2558" width="9.140625" style="51"/>
    <col min="2559" max="2559" width="14.85546875" style="51" customWidth="1"/>
    <col min="2560" max="2584" width="7.5703125" style="51" customWidth="1"/>
    <col min="2585" max="2585" width="13.140625" style="51" customWidth="1"/>
    <col min="2586" max="2588" width="9.140625" style="51"/>
    <col min="2589" max="2589" width="3" style="51" customWidth="1"/>
    <col min="2590" max="2814" width="9.140625" style="51"/>
    <col min="2815" max="2815" width="14.85546875" style="51" customWidth="1"/>
    <col min="2816" max="2840" width="7.5703125" style="51" customWidth="1"/>
    <col min="2841" max="2841" width="13.140625" style="51" customWidth="1"/>
    <col min="2842" max="2844" width="9.140625" style="51"/>
    <col min="2845" max="2845" width="3" style="51" customWidth="1"/>
    <col min="2846" max="3070" width="9.140625" style="51"/>
    <col min="3071" max="3071" width="14.85546875" style="51" customWidth="1"/>
    <col min="3072" max="3096" width="7.5703125" style="51" customWidth="1"/>
    <col min="3097" max="3097" width="13.140625" style="51" customWidth="1"/>
    <col min="3098" max="3100" width="9.140625" style="51"/>
    <col min="3101" max="3101" width="3" style="51" customWidth="1"/>
    <col min="3102" max="3326" width="9.140625" style="51"/>
    <col min="3327" max="3327" width="14.85546875" style="51" customWidth="1"/>
    <col min="3328" max="3352" width="7.5703125" style="51" customWidth="1"/>
    <col min="3353" max="3353" width="13.140625" style="51" customWidth="1"/>
    <col min="3354" max="3356" width="9.140625" style="51"/>
    <col min="3357" max="3357" width="3" style="51" customWidth="1"/>
    <col min="3358" max="3582" width="9.140625" style="51"/>
    <col min="3583" max="3583" width="14.85546875" style="51" customWidth="1"/>
    <col min="3584" max="3608" width="7.5703125" style="51" customWidth="1"/>
    <col min="3609" max="3609" width="13.140625" style="51" customWidth="1"/>
    <col min="3610" max="3612" width="9.140625" style="51"/>
    <col min="3613" max="3613" width="3" style="51" customWidth="1"/>
    <col min="3614" max="3838" width="9.140625" style="51"/>
    <col min="3839" max="3839" width="14.85546875" style="51" customWidth="1"/>
    <col min="3840" max="3864" width="7.5703125" style="51" customWidth="1"/>
    <col min="3865" max="3865" width="13.140625" style="51" customWidth="1"/>
    <col min="3866" max="3868" width="9.140625" style="51"/>
    <col min="3869" max="3869" width="3" style="51" customWidth="1"/>
    <col min="3870" max="4094" width="9.140625" style="51"/>
    <col min="4095" max="4095" width="14.85546875" style="51" customWidth="1"/>
    <col min="4096" max="4120" width="7.5703125" style="51" customWidth="1"/>
    <col min="4121" max="4121" width="13.140625" style="51" customWidth="1"/>
    <col min="4122" max="4124" width="9.140625" style="51"/>
    <col min="4125" max="4125" width="3" style="51" customWidth="1"/>
    <col min="4126" max="4350" width="9.140625" style="51"/>
    <col min="4351" max="4351" width="14.85546875" style="51" customWidth="1"/>
    <col min="4352" max="4376" width="7.5703125" style="51" customWidth="1"/>
    <col min="4377" max="4377" width="13.140625" style="51" customWidth="1"/>
    <col min="4378" max="4380" width="9.140625" style="51"/>
    <col min="4381" max="4381" width="3" style="51" customWidth="1"/>
    <col min="4382" max="4606" width="9.140625" style="51"/>
    <col min="4607" max="4607" width="14.85546875" style="51" customWidth="1"/>
    <col min="4608" max="4632" width="7.5703125" style="51" customWidth="1"/>
    <col min="4633" max="4633" width="13.140625" style="51" customWidth="1"/>
    <col min="4634" max="4636" width="9.140625" style="51"/>
    <col min="4637" max="4637" width="3" style="51" customWidth="1"/>
    <col min="4638" max="4862" width="9.140625" style="51"/>
    <col min="4863" max="4863" width="14.85546875" style="51" customWidth="1"/>
    <col min="4864" max="4888" width="7.5703125" style="51" customWidth="1"/>
    <col min="4889" max="4889" width="13.140625" style="51" customWidth="1"/>
    <col min="4890" max="4892" width="9.140625" style="51"/>
    <col min="4893" max="4893" width="3" style="51" customWidth="1"/>
    <col min="4894" max="5118" width="9.140625" style="51"/>
    <col min="5119" max="5119" width="14.85546875" style="51" customWidth="1"/>
    <col min="5120" max="5144" width="7.5703125" style="51" customWidth="1"/>
    <col min="5145" max="5145" width="13.140625" style="51" customWidth="1"/>
    <col min="5146" max="5148" width="9.140625" style="51"/>
    <col min="5149" max="5149" width="3" style="51" customWidth="1"/>
    <col min="5150" max="5374" width="9.140625" style="51"/>
    <col min="5375" max="5375" width="14.85546875" style="51" customWidth="1"/>
    <col min="5376" max="5400" width="7.5703125" style="51" customWidth="1"/>
    <col min="5401" max="5401" width="13.140625" style="51" customWidth="1"/>
    <col min="5402" max="5404" width="9.140625" style="51"/>
    <col min="5405" max="5405" width="3" style="51" customWidth="1"/>
    <col min="5406" max="5630" width="9.140625" style="51"/>
    <col min="5631" max="5631" width="14.85546875" style="51" customWidth="1"/>
    <col min="5632" max="5656" width="7.5703125" style="51" customWidth="1"/>
    <col min="5657" max="5657" width="13.140625" style="51" customWidth="1"/>
    <col min="5658" max="5660" width="9.140625" style="51"/>
    <col min="5661" max="5661" width="3" style="51" customWidth="1"/>
    <col min="5662" max="5886" width="9.140625" style="51"/>
    <col min="5887" max="5887" width="14.85546875" style="51" customWidth="1"/>
    <col min="5888" max="5912" width="7.5703125" style="51" customWidth="1"/>
    <col min="5913" max="5913" width="13.140625" style="51" customWidth="1"/>
    <col min="5914" max="5916" width="9.140625" style="51"/>
    <col min="5917" max="5917" width="3" style="51" customWidth="1"/>
    <col min="5918" max="6142" width="9.140625" style="51"/>
    <col min="6143" max="6143" width="14.85546875" style="51" customWidth="1"/>
    <col min="6144" max="6168" width="7.5703125" style="51" customWidth="1"/>
    <col min="6169" max="6169" width="13.140625" style="51" customWidth="1"/>
    <col min="6170" max="6172" width="9.140625" style="51"/>
    <col min="6173" max="6173" width="3" style="51" customWidth="1"/>
    <col min="6174" max="6398" width="9.140625" style="51"/>
    <col min="6399" max="6399" width="14.85546875" style="51" customWidth="1"/>
    <col min="6400" max="6424" width="7.5703125" style="51" customWidth="1"/>
    <col min="6425" max="6425" width="13.140625" style="51" customWidth="1"/>
    <col min="6426" max="6428" width="9.140625" style="51"/>
    <col min="6429" max="6429" width="3" style="51" customWidth="1"/>
    <col min="6430" max="6654" width="9.140625" style="51"/>
    <col min="6655" max="6655" width="14.85546875" style="51" customWidth="1"/>
    <col min="6656" max="6680" width="7.5703125" style="51" customWidth="1"/>
    <col min="6681" max="6681" width="13.140625" style="51" customWidth="1"/>
    <col min="6682" max="6684" width="9.140625" style="51"/>
    <col min="6685" max="6685" width="3" style="51" customWidth="1"/>
    <col min="6686" max="6910" width="9.140625" style="51"/>
    <col min="6911" max="6911" width="14.85546875" style="51" customWidth="1"/>
    <col min="6912" max="6936" width="7.5703125" style="51" customWidth="1"/>
    <col min="6937" max="6937" width="13.140625" style="51" customWidth="1"/>
    <col min="6938" max="6940" width="9.140625" style="51"/>
    <col min="6941" max="6941" width="3" style="51" customWidth="1"/>
    <col min="6942" max="7166" width="9.140625" style="51"/>
    <col min="7167" max="7167" width="14.85546875" style="51" customWidth="1"/>
    <col min="7168" max="7192" width="7.5703125" style="51" customWidth="1"/>
    <col min="7193" max="7193" width="13.140625" style="51" customWidth="1"/>
    <col min="7194" max="7196" width="9.140625" style="51"/>
    <col min="7197" max="7197" width="3" style="51" customWidth="1"/>
    <col min="7198" max="7422" width="9.140625" style="51"/>
    <col min="7423" max="7423" width="14.85546875" style="51" customWidth="1"/>
    <col min="7424" max="7448" width="7.5703125" style="51" customWidth="1"/>
    <col min="7449" max="7449" width="13.140625" style="51" customWidth="1"/>
    <col min="7450" max="7452" width="9.140625" style="51"/>
    <col min="7453" max="7453" width="3" style="51" customWidth="1"/>
    <col min="7454" max="7678" width="9.140625" style="51"/>
    <col min="7679" max="7679" width="14.85546875" style="51" customWidth="1"/>
    <col min="7680" max="7704" width="7.5703125" style="51" customWidth="1"/>
    <col min="7705" max="7705" width="13.140625" style="51" customWidth="1"/>
    <col min="7706" max="7708" width="9.140625" style="51"/>
    <col min="7709" max="7709" width="3" style="51" customWidth="1"/>
    <col min="7710" max="7934" width="9.140625" style="51"/>
    <col min="7935" max="7935" width="14.85546875" style="51" customWidth="1"/>
    <col min="7936" max="7960" width="7.5703125" style="51" customWidth="1"/>
    <col min="7961" max="7961" width="13.140625" style="51" customWidth="1"/>
    <col min="7962" max="7964" width="9.140625" style="51"/>
    <col min="7965" max="7965" width="3" style="51" customWidth="1"/>
    <col min="7966" max="8190" width="9.140625" style="51"/>
    <col min="8191" max="8191" width="14.85546875" style="51" customWidth="1"/>
    <col min="8192" max="8216" width="7.5703125" style="51" customWidth="1"/>
    <col min="8217" max="8217" width="13.140625" style="51" customWidth="1"/>
    <col min="8218" max="8220" width="9.140625" style="51"/>
    <col min="8221" max="8221" width="3" style="51" customWidth="1"/>
    <col min="8222" max="8446" width="9.140625" style="51"/>
    <col min="8447" max="8447" width="14.85546875" style="51" customWidth="1"/>
    <col min="8448" max="8472" width="7.5703125" style="51" customWidth="1"/>
    <col min="8473" max="8473" width="13.140625" style="51" customWidth="1"/>
    <col min="8474" max="8476" width="9.140625" style="51"/>
    <col min="8477" max="8477" width="3" style="51" customWidth="1"/>
    <col min="8478" max="8702" width="9.140625" style="51"/>
    <col min="8703" max="8703" width="14.85546875" style="51" customWidth="1"/>
    <col min="8704" max="8728" width="7.5703125" style="51" customWidth="1"/>
    <col min="8729" max="8729" width="13.140625" style="51" customWidth="1"/>
    <col min="8730" max="8732" width="9.140625" style="51"/>
    <col min="8733" max="8733" width="3" style="51" customWidth="1"/>
    <col min="8734" max="8958" width="9.140625" style="51"/>
    <col min="8959" max="8959" width="14.85546875" style="51" customWidth="1"/>
    <col min="8960" max="8984" width="7.5703125" style="51" customWidth="1"/>
    <col min="8985" max="8985" width="13.140625" style="51" customWidth="1"/>
    <col min="8986" max="8988" width="9.140625" style="51"/>
    <col min="8989" max="8989" width="3" style="51" customWidth="1"/>
    <col min="8990" max="9214" width="9.140625" style="51"/>
    <col min="9215" max="9215" width="14.85546875" style="51" customWidth="1"/>
    <col min="9216" max="9240" width="7.5703125" style="51" customWidth="1"/>
    <col min="9241" max="9241" width="13.140625" style="51" customWidth="1"/>
    <col min="9242" max="9244" width="9.140625" style="51"/>
    <col min="9245" max="9245" width="3" style="51" customWidth="1"/>
    <col min="9246" max="9470" width="9.140625" style="51"/>
    <col min="9471" max="9471" width="14.85546875" style="51" customWidth="1"/>
    <col min="9472" max="9496" width="7.5703125" style="51" customWidth="1"/>
    <col min="9497" max="9497" width="13.140625" style="51" customWidth="1"/>
    <col min="9498" max="9500" width="9.140625" style="51"/>
    <col min="9501" max="9501" width="3" style="51" customWidth="1"/>
    <col min="9502" max="9726" width="9.140625" style="51"/>
    <col min="9727" max="9727" width="14.85546875" style="51" customWidth="1"/>
    <col min="9728" max="9752" width="7.5703125" style="51" customWidth="1"/>
    <col min="9753" max="9753" width="13.140625" style="51" customWidth="1"/>
    <col min="9754" max="9756" width="9.140625" style="51"/>
    <col min="9757" max="9757" width="3" style="51" customWidth="1"/>
    <col min="9758" max="9982" width="9.140625" style="51"/>
    <col min="9983" max="9983" width="14.85546875" style="51" customWidth="1"/>
    <col min="9984" max="10008" width="7.5703125" style="51" customWidth="1"/>
    <col min="10009" max="10009" width="13.140625" style="51" customWidth="1"/>
    <col min="10010" max="10012" width="9.140625" style="51"/>
    <col min="10013" max="10013" width="3" style="51" customWidth="1"/>
    <col min="10014" max="10238" width="9.140625" style="51"/>
    <col min="10239" max="10239" width="14.85546875" style="51" customWidth="1"/>
    <col min="10240" max="10264" width="7.5703125" style="51" customWidth="1"/>
    <col min="10265" max="10265" width="13.140625" style="51" customWidth="1"/>
    <col min="10266" max="10268" width="9.140625" style="51"/>
    <col min="10269" max="10269" width="3" style="51" customWidth="1"/>
    <col min="10270" max="10494" width="9.140625" style="51"/>
    <col min="10495" max="10495" width="14.85546875" style="51" customWidth="1"/>
    <col min="10496" max="10520" width="7.5703125" style="51" customWidth="1"/>
    <col min="10521" max="10521" width="13.140625" style="51" customWidth="1"/>
    <col min="10522" max="10524" width="9.140625" style="51"/>
    <col min="10525" max="10525" width="3" style="51" customWidth="1"/>
    <col min="10526" max="10750" width="9.140625" style="51"/>
    <col min="10751" max="10751" width="14.85546875" style="51" customWidth="1"/>
    <col min="10752" max="10776" width="7.5703125" style="51" customWidth="1"/>
    <col min="10777" max="10777" width="13.140625" style="51" customWidth="1"/>
    <col min="10778" max="10780" width="9.140625" style="51"/>
    <col min="10781" max="10781" width="3" style="51" customWidth="1"/>
    <col min="10782" max="11006" width="9.140625" style="51"/>
    <col min="11007" max="11007" width="14.85546875" style="51" customWidth="1"/>
    <col min="11008" max="11032" width="7.5703125" style="51" customWidth="1"/>
    <col min="11033" max="11033" width="13.140625" style="51" customWidth="1"/>
    <col min="11034" max="11036" width="9.140625" style="51"/>
    <col min="11037" max="11037" width="3" style="51" customWidth="1"/>
    <col min="11038" max="11262" width="9.140625" style="51"/>
    <col min="11263" max="11263" width="14.85546875" style="51" customWidth="1"/>
    <col min="11264" max="11288" width="7.5703125" style="51" customWidth="1"/>
    <col min="11289" max="11289" width="13.140625" style="51" customWidth="1"/>
    <col min="11290" max="11292" width="9.140625" style="51"/>
    <col min="11293" max="11293" width="3" style="51" customWidth="1"/>
    <col min="11294" max="11518" width="9.140625" style="51"/>
    <col min="11519" max="11519" width="14.85546875" style="51" customWidth="1"/>
    <col min="11520" max="11544" width="7.5703125" style="51" customWidth="1"/>
    <col min="11545" max="11545" width="13.140625" style="51" customWidth="1"/>
    <col min="11546" max="11548" width="9.140625" style="51"/>
    <col min="11549" max="11549" width="3" style="51" customWidth="1"/>
    <col min="11550" max="11774" width="9.140625" style="51"/>
    <col min="11775" max="11775" width="14.85546875" style="51" customWidth="1"/>
    <col min="11776" max="11800" width="7.5703125" style="51" customWidth="1"/>
    <col min="11801" max="11801" width="13.140625" style="51" customWidth="1"/>
    <col min="11802" max="11804" width="9.140625" style="51"/>
    <col min="11805" max="11805" width="3" style="51" customWidth="1"/>
    <col min="11806" max="12030" width="9.140625" style="51"/>
    <col min="12031" max="12031" width="14.85546875" style="51" customWidth="1"/>
    <col min="12032" max="12056" width="7.5703125" style="51" customWidth="1"/>
    <col min="12057" max="12057" width="13.140625" style="51" customWidth="1"/>
    <col min="12058" max="12060" width="9.140625" style="51"/>
    <col min="12061" max="12061" width="3" style="51" customWidth="1"/>
    <col min="12062" max="12286" width="9.140625" style="51"/>
    <col min="12287" max="12287" width="14.85546875" style="51" customWidth="1"/>
    <col min="12288" max="12312" width="7.5703125" style="51" customWidth="1"/>
    <col min="12313" max="12313" width="13.140625" style="51" customWidth="1"/>
    <col min="12314" max="12316" width="9.140625" style="51"/>
    <col min="12317" max="12317" width="3" style="51" customWidth="1"/>
    <col min="12318" max="12542" width="9.140625" style="51"/>
    <col min="12543" max="12543" width="14.85546875" style="51" customWidth="1"/>
    <col min="12544" max="12568" width="7.5703125" style="51" customWidth="1"/>
    <col min="12569" max="12569" width="13.140625" style="51" customWidth="1"/>
    <col min="12570" max="12572" width="9.140625" style="51"/>
    <col min="12573" max="12573" width="3" style="51" customWidth="1"/>
    <col min="12574" max="12798" width="9.140625" style="51"/>
    <col min="12799" max="12799" width="14.85546875" style="51" customWidth="1"/>
    <col min="12800" max="12824" width="7.5703125" style="51" customWidth="1"/>
    <col min="12825" max="12825" width="13.140625" style="51" customWidth="1"/>
    <col min="12826" max="12828" width="9.140625" style="51"/>
    <col min="12829" max="12829" width="3" style="51" customWidth="1"/>
    <col min="12830" max="13054" width="9.140625" style="51"/>
    <col min="13055" max="13055" width="14.85546875" style="51" customWidth="1"/>
    <col min="13056" max="13080" width="7.5703125" style="51" customWidth="1"/>
    <col min="13081" max="13081" width="13.140625" style="51" customWidth="1"/>
    <col min="13082" max="13084" width="9.140625" style="51"/>
    <col min="13085" max="13085" width="3" style="51" customWidth="1"/>
    <col min="13086" max="13310" width="9.140625" style="51"/>
    <col min="13311" max="13311" width="14.85546875" style="51" customWidth="1"/>
    <col min="13312" max="13336" width="7.5703125" style="51" customWidth="1"/>
    <col min="13337" max="13337" width="13.140625" style="51" customWidth="1"/>
    <col min="13338" max="13340" width="9.140625" style="51"/>
    <col min="13341" max="13341" width="3" style="51" customWidth="1"/>
    <col min="13342" max="13566" width="9.140625" style="51"/>
    <col min="13567" max="13567" width="14.85546875" style="51" customWidth="1"/>
    <col min="13568" max="13592" width="7.5703125" style="51" customWidth="1"/>
    <col min="13593" max="13593" width="13.140625" style="51" customWidth="1"/>
    <col min="13594" max="13596" width="9.140625" style="51"/>
    <col min="13597" max="13597" width="3" style="51" customWidth="1"/>
    <col min="13598" max="13822" width="9.140625" style="51"/>
    <col min="13823" max="13823" width="14.85546875" style="51" customWidth="1"/>
    <col min="13824" max="13848" width="7.5703125" style="51" customWidth="1"/>
    <col min="13849" max="13849" width="13.140625" style="51" customWidth="1"/>
    <col min="13850" max="13852" width="9.140625" style="51"/>
    <col min="13853" max="13853" width="3" style="51" customWidth="1"/>
    <col min="13854" max="14078" width="9.140625" style="51"/>
    <col min="14079" max="14079" width="14.85546875" style="51" customWidth="1"/>
    <col min="14080" max="14104" width="7.5703125" style="51" customWidth="1"/>
    <col min="14105" max="14105" width="13.140625" style="51" customWidth="1"/>
    <col min="14106" max="14108" width="9.140625" style="51"/>
    <col min="14109" max="14109" width="3" style="51" customWidth="1"/>
    <col min="14110" max="14334" width="9.140625" style="51"/>
    <col min="14335" max="14335" width="14.85546875" style="51" customWidth="1"/>
    <col min="14336" max="14360" width="7.5703125" style="51" customWidth="1"/>
    <col min="14361" max="14361" width="13.140625" style="51" customWidth="1"/>
    <col min="14362" max="14364" width="9.140625" style="51"/>
    <col min="14365" max="14365" width="3" style="51" customWidth="1"/>
    <col min="14366" max="14590" width="9.140625" style="51"/>
    <col min="14591" max="14591" width="14.85546875" style="51" customWidth="1"/>
    <col min="14592" max="14616" width="7.5703125" style="51" customWidth="1"/>
    <col min="14617" max="14617" width="13.140625" style="51" customWidth="1"/>
    <col min="14618" max="14620" width="9.140625" style="51"/>
    <col min="14621" max="14621" width="3" style="51" customWidth="1"/>
    <col min="14622" max="14846" width="9.140625" style="51"/>
    <col min="14847" max="14847" width="14.85546875" style="51" customWidth="1"/>
    <col min="14848" max="14872" width="7.5703125" style="51" customWidth="1"/>
    <col min="14873" max="14873" width="13.140625" style="51" customWidth="1"/>
    <col min="14874" max="14876" width="9.140625" style="51"/>
    <col min="14877" max="14877" width="3" style="51" customWidth="1"/>
    <col min="14878" max="15102" width="9.140625" style="51"/>
    <col min="15103" max="15103" width="14.85546875" style="51" customWidth="1"/>
    <col min="15104" max="15128" width="7.5703125" style="51" customWidth="1"/>
    <col min="15129" max="15129" width="13.140625" style="51" customWidth="1"/>
    <col min="15130" max="15132" width="9.140625" style="51"/>
    <col min="15133" max="15133" width="3" style="51" customWidth="1"/>
    <col min="15134" max="15358" width="9.140625" style="51"/>
    <col min="15359" max="15359" width="14.85546875" style="51" customWidth="1"/>
    <col min="15360" max="15384" width="7.5703125" style="51" customWidth="1"/>
    <col min="15385" max="15385" width="13.140625" style="51" customWidth="1"/>
    <col min="15386" max="15388" width="9.140625" style="51"/>
    <col min="15389" max="15389" width="3" style="51" customWidth="1"/>
    <col min="15390" max="15614" width="9.140625" style="51"/>
    <col min="15615" max="15615" width="14.85546875" style="51" customWidth="1"/>
    <col min="15616" max="15640" width="7.5703125" style="51" customWidth="1"/>
    <col min="15641" max="15641" width="13.140625" style="51" customWidth="1"/>
    <col min="15642" max="15644" width="9.140625" style="51"/>
    <col min="15645" max="15645" width="3" style="51" customWidth="1"/>
    <col min="15646" max="15870" width="9.140625" style="51"/>
    <col min="15871" max="15871" width="14.85546875" style="51" customWidth="1"/>
    <col min="15872" max="15896" width="7.5703125" style="51" customWidth="1"/>
    <col min="15897" max="15897" width="13.140625" style="51" customWidth="1"/>
    <col min="15898" max="15900" width="9.140625" style="51"/>
    <col min="15901" max="15901" width="3" style="51" customWidth="1"/>
    <col min="15902" max="16126" width="9.140625" style="51"/>
    <col min="16127" max="16127" width="14.85546875" style="51" customWidth="1"/>
    <col min="16128" max="16152" width="7.5703125" style="51" customWidth="1"/>
    <col min="16153" max="16153" width="13.140625" style="51" customWidth="1"/>
    <col min="16154" max="16156" width="9.140625" style="51"/>
    <col min="16157" max="16157" width="3" style="51" customWidth="1"/>
    <col min="16158" max="16384" width="9.140625" style="51"/>
  </cols>
  <sheetData>
    <row r="1" spans="1:26" ht="21" customHeight="1" x14ac:dyDescent="0.2">
      <c r="A1" s="29" t="s">
        <v>620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9"/>
    </row>
    <row r="2" spans="1:26" s="55" customFormat="1" ht="40.5" customHeight="1" x14ac:dyDescent="0.25">
      <c r="A2" s="52"/>
      <c r="B2" s="53" t="s">
        <v>505</v>
      </c>
      <c r="C2" s="53" t="s">
        <v>594</v>
      </c>
      <c r="D2" s="53" t="s">
        <v>595</v>
      </c>
      <c r="E2" s="53" t="s">
        <v>596</v>
      </c>
      <c r="F2" s="53" t="s">
        <v>506</v>
      </c>
      <c r="G2" s="53" t="s">
        <v>507</v>
      </c>
      <c r="H2" s="53" t="s">
        <v>508</v>
      </c>
      <c r="I2" s="53" t="s">
        <v>509</v>
      </c>
      <c r="J2" s="53" t="s">
        <v>510</v>
      </c>
      <c r="K2" s="53" t="s">
        <v>511</v>
      </c>
      <c r="L2" s="53" t="s">
        <v>512</v>
      </c>
      <c r="M2" s="53" t="s">
        <v>513</v>
      </c>
      <c r="N2" s="53" t="s">
        <v>514</v>
      </c>
      <c r="O2" s="53" t="s">
        <v>515</v>
      </c>
      <c r="P2" s="53" t="s">
        <v>516</v>
      </c>
      <c r="Q2" s="53" t="s">
        <v>517</v>
      </c>
      <c r="R2" s="53" t="s">
        <v>518</v>
      </c>
      <c r="S2" s="53" t="s">
        <v>519</v>
      </c>
      <c r="T2" s="53" t="s">
        <v>520</v>
      </c>
      <c r="U2" s="53" t="s">
        <v>521</v>
      </c>
      <c r="V2" s="53" t="s">
        <v>522</v>
      </c>
      <c r="W2" s="53" t="s">
        <v>523</v>
      </c>
      <c r="X2" s="53" t="s">
        <v>597</v>
      </c>
      <c r="Y2" s="53" t="s">
        <v>524</v>
      </c>
      <c r="Z2" s="53" t="s">
        <v>525</v>
      </c>
    </row>
    <row r="3" spans="1:26" s="16" customFormat="1" x14ac:dyDescent="0.25">
      <c r="A3" s="2" t="s">
        <v>31</v>
      </c>
      <c r="B3" s="40">
        <v>0</v>
      </c>
      <c r="C3" s="40">
        <v>0</v>
      </c>
      <c r="D3" s="40">
        <v>0</v>
      </c>
      <c r="E3" s="40">
        <v>2.1539999999999999</v>
      </c>
      <c r="F3" s="40">
        <v>0</v>
      </c>
      <c r="G3" s="40">
        <v>36.925379999999997</v>
      </c>
      <c r="H3" s="40">
        <v>0</v>
      </c>
      <c r="I3" s="40">
        <v>0</v>
      </c>
      <c r="J3" s="40">
        <v>0</v>
      </c>
      <c r="K3" s="40">
        <v>350.43190000000004</v>
      </c>
      <c r="L3" s="40">
        <v>449.28575000000001</v>
      </c>
      <c r="M3" s="40">
        <v>41.74315</v>
      </c>
      <c r="N3" s="40">
        <v>0</v>
      </c>
      <c r="O3" s="40">
        <v>0</v>
      </c>
      <c r="P3" s="40">
        <v>0</v>
      </c>
      <c r="Q3" s="40">
        <v>0</v>
      </c>
      <c r="R3" s="40">
        <v>39.98545</v>
      </c>
      <c r="S3" s="40">
        <v>0</v>
      </c>
      <c r="T3" s="40">
        <v>0</v>
      </c>
      <c r="U3" s="40">
        <v>0</v>
      </c>
      <c r="V3" s="40">
        <v>0</v>
      </c>
      <c r="W3" s="40">
        <v>0</v>
      </c>
      <c r="X3" s="40">
        <v>0</v>
      </c>
      <c r="Y3" s="40">
        <v>0</v>
      </c>
      <c r="Z3" s="40">
        <v>0</v>
      </c>
    </row>
    <row r="4" spans="1:26" s="16" customFormat="1" x14ac:dyDescent="0.25">
      <c r="A4" s="2" t="s">
        <v>32</v>
      </c>
      <c r="B4" s="40">
        <v>0</v>
      </c>
      <c r="C4" s="40">
        <v>0</v>
      </c>
      <c r="D4" s="40">
        <v>0</v>
      </c>
      <c r="E4" s="40">
        <v>0</v>
      </c>
      <c r="F4" s="40">
        <v>0</v>
      </c>
      <c r="G4" s="40">
        <v>0</v>
      </c>
      <c r="H4" s="40">
        <v>46.034999999999997</v>
      </c>
      <c r="I4" s="40">
        <v>0</v>
      </c>
      <c r="J4" s="40">
        <v>0</v>
      </c>
      <c r="K4" s="40">
        <v>0</v>
      </c>
      <c r="L4" s="40">
        <v>23.544</v>
      </c>
      <c r="M4" s="40">
        <v>0</v>
      </c>
      <c r="N4" s="40">
        <v>0</v>
      </c>
      <c r="O4" s="40">
        <v>0</v>
      </c>
      <c r="P4" s="40">
        <v>0</v>
      </c>
      <c r="Q4" s="40">
        <v>85.48960000000001</v>
      </c>
      <c r="R4" s="40">
        <v>67.903999999999996</v>
      </c>
      <c r="S4" s="40">
        <v>0</v>
      </c>
      <c r="T4" s="40">
        <v>0</v>
      </c>
      <c r="U4" s="40">
        <v>0</v>
      </c>
      <c r="V4" s="40">
        <v>8</v>
      </c>
      <c r="W4" s="40">
        <v>0</v>
      </c>
      <c r="X4" s="40">
        <v>0</v>
      </c>
      <c r="Y4" s="40">
        <v>0</v>
      </c>
      <c r="Z4" s="40">
        <v>0</v>
      </c>
    </row>
    <row r="5" spans="1:26" s="16" customFormat="1" x14ac:dyDescent="0.25">
      <c r="A5" s="2" t="s">
        <v>4</v>
      </c>
      <c r="B5" s="40">
        <v>0</v>
      </c>
      <c r="C5" s="40">
        <v>0</v>
      </c>
      <c r="D5" s="40">
        <v>0</v>
      </c>
      <c r="E5" s="40">
        <v>0</v>
      </c>
      <c r="F5" s="40">
        <v>0</v>
      </c>
      <c r="G5" s="40">
        <v>0</v>
      </c>
      <c r="H5" s="40">
        <v>0</v>
      </c>
      <c r="I5" s="40">
        <v>0</v>
      </c>
      <c r="J5" s="40">
        <v>0</v>
      </c>
      <c r="K5" s="40">
        <v>0</v>
      </c>
      <c r="L5" s="40">
        <v>1405.3021000000001</v>
      </c>
      <c r="M5" s="40">
        <v>0</v>
      </c>
      <c r="N5" s="40">
        <v>235.65764999999999</v>
      </c>
      <c r="O5" s="40">
        <v>0</v>
      </c>
      <c r="P5" s="40">
        <v>0</v>
      </c>
      <c r="Q5" s="40">
        <v>0</v>
      </c>
      <c r="R5" s="40">
        <v>133</v>
      </c>
      <c r="S5" s="40">
        <v>0</v>
      </c>
      <c r="T5" s="40">
        <v>0</v>
      </c>
      <c r="U5" s="40">
        <v>0</v>
      </c>
      <c r="V5" s="40">
        <v>0</v>
      </c>
      <c r="W5" s="40">
        <v>0</v>
      </c>
      <c r="X5" s="40">
        <v>0</v>
      </c>
      <c r="Y5" s="40">
        <v>0</v>
      </c>
      <c r="Z5" s="40">
        <v>0</v>
      </c>
    </row>
    <row r="6" spans="1:26" s="16" customFormat="1" x14ac:dyDescent="0.25">
      <c r="A6" s="2" t="s">
        <v>33</v>
      </c>
      <c r="B6" s="40">
        <v>0</v>
      </c>
      <c r="C6" s="40">
        <v>0</v>
      </c>
      <c r="D6" s="40">
        <v>0</v>
      </c>
      <c r="E6" s="40">
        <v>0</v>
      </c>
      <c r="F6" s="40">
        <v>0</v>
      </c>
      <c r="G6" s="40">
        <v>270.94540000000001</v>
      </c>
      <c r="H6" s="40">
        <v>0</v>
      </c>
      <c r="I6" s="40">
        <v>0</v>
      </c>
      <c r="J6" s="40">
        <v>0</v>
      </c>
      <c r="K6" s="40">
        <v>0</v>
      </c>
      <c r="L6" s="40">
        <v>0</v>
      </c>
      <c r="M6" s="40">
        <v>0</v>
      </c>
      <c r="N6" s="40">
        <v>0</v>
      </c>
      <c r="O6" s="40">
        <v>0</v>
      </c>
      <c r="P6" s="40">
        <v>0</v>
      </c>
      <c r="Q6" s="40">
        <v>0</v>
      </c>
      <c r="R6" s="40">
        <v>0</v>
      </c>
      <c r="S6" s="40">
        <v>0</v>
      </c>
      <c r="T6" s="40">
        <v>0</v>
      </c>
      <c r="U6" s="40">
        <v>0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</row>
    <row r="7" spans="1:26" s="16" customFormat="1" x14ac:dyDescent="0.25">
      <c r="A7" s="2" t="s">
        <v>34</v>
      </c>
      <c r="B7" s="40">
        <v>0</v>
      </c>
      <c r="C7" s="40">
        <v>0</v>
      </c>
      <c r="D7" s="40">
        <v>0</v>
      </c>
      <c r="E7" s="40">
        <v>0</v>
      </c>
      <c r="F7" s="40">
        <v>0</v>
      </c>
      <c r="G7" s="40">
        <v>0</v>
      </c>
      <c r="H7" s="40">
        <v>0</v>
      </c>
      <c r="I7" s="40">
        <v>0</v>
      </c>
      <c r="J7" s="40">
        <v>0</v>
      </c>
      <c r="K7" s="40">
        <v>0</v>
      </c>
      <c r="L7" s="40">
        <v>0</v>
      </c>
      <c r="M7" s="40">
        <v>0</v>
      </c>
      <c r="N7" s="40">
        <v>0</v>
      </c>
      <c r="O7" s="40">
        <v>0</v>
      </c>
      <c r="P7" s="40">
        <v>0</v>
      </c>
      <c r="Q7" s="40">
        <v>0</v>
      </c>
      <c r="R7" s="40">
        <v>0</v>
      </c>
      <c r="S7" s="40">
        <v>0</v>
      </c>
      <c r="T7" s="40">
        <v>0</v>
      </c>
      <c r="U7" s="40">
        <v>0</v>
      </c>
      <c r="V7" s="40">
        <v>0</v>
      </c>
      <c r="W7" s="40">
        <v>0</v>
      </c>
      <c r="X7" s="40">
        <v>0</v>
      </c>
      <c r="Y7" s="40">
        <v>0</v>
      </c>
      <c r="Z7" s="40">
        <v>0</v>
      </c>
    </row>
    <row r="8" spans="1:26" s="16" customFormat="1" x14ac:dyDescent="0.25">
      <c r="A8" s="2" t="s">
        <v>35</v>
      </c>
      <c r="B8" s="40">
        <v>0</v>
      </c>
      <c r="C8" s="40">
        <v>0</v>
      </c>
      <c r="D8" s="40">
        <v>0</v>
      </c>
      <c r="E8" s="40">
        <v>0</v>
      </c>
      <c r="F8" s="40">
        <v>0</v>
      </c>
      <c r="G8" s="40">
        <v>0</v>
      </c>
      <c r="H8" s="40">
        <v>0</v>
      </c>
      <c r="I8" s="40">
        <v>0</v>
      </c>
      <c r="J8" s="40">
        <v>0</v>
      </c>
      <c r="K8" s="40">
        <v>0</v>
      </c>
      <c r="L8" s="40">
        <v>466.88884999999999</v>
      </c>
      <c r="M8" s="40">
        <v>0</v>
      </c>
      <c r="N8" s="40">
        <v>0</v>
      </c>
      <c r="O8" s="40">
        <v>0</v>
      </c>
      <c r="P8" s="40">
        <v>0</v>
      </c>
      <c r="Q8" s="40">
        <v>0</v>
      </c>
      <c r="R8" s="40">
        <v>0</v>
      </c>
      <c r="S8" s="40">
        <v>0</v>
      </c>
      <c r="T8" s="40">
        <v>0</v>
      </c>
      <c r="U8" s="40">
        <v>0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</row>
    <row r="9" spans="1:26" s="16" customFormat="1" x14ac:dyDescent="0.25">
      <c r="A9" s="2" t="s">
        <v>36</v>
      </c>
      <c r="B9" s="40">
        <v>0</v>
      </c>
      <c r="C9" s="40">
        <v>0</v>
      </c>
      <c r="D9" s="40">
        <v>0</v>
      </c>
      <c r="E9" s="40">
        <v>0</v>
      </c>
      <c r="F9" s="40">
        <v>0</v>
      </c>
      <c r="G9" s="40">
        <v>0</v>
      </c>
      <c r="H9" s="40">
        <v>0</v>
      </c>
      <c r="I9" s="40">
        <v>0</v>
      </c>
      <c r="J9" s="40">
        <v>66.5</v>
      </c>
      <c r="K9" s="40">
        <v>0</v>
      </c>
      <c r="L9" s="40">
        <v>58</v>
      </c>
      <c r="M9" s="40">
        <v>196.798</v>
      </c>
      <c r="N9" s="40">
        <v>0</v>
      </c>
      <c r="O9" s="40">
        <v>0</v>
      </c>
      <c r="P9" s="40">
        <v>0</v>
      </c>
      <c r="Q9" s="40">
        <v>58.217489999999998</v>
      </c>
      <c r="R9" s="40">
        <v>16.187000000000001</v>
      </c>
      <c r="S9" s="40">
        <v>0</v>
      </c>
      <c r="T9" s="40">
        <v>0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</row>
    <row r="10" spans="1:26" s="16" customFormat="1" x14ac:dyDescent="0.25">
      <c r="A10" s="2" t="s">
        <v>5</v>
      </c>
      <c r="B10" s="40">
        <v>0</v>
      </c>
      <c r="C10" s="40">
        <v>0</v>
      </c>
      <c r="D10" s="40">
        <v>0</v>
      </c>
      <c r="E10" s="40">
        <v>0</v>
      </c>
      <c r="F10" s="40">
        <v>0</v>
      </c>
      <c r="G10" s="40">
        <v>0</v>
      </c>
      <c r="H10" s="40">
        <v>0</v>
      </c>
      <c r="I10" s="40">
        <v>0</v>
      </c>
      <c r="J10" s="40">
        <v>0</v>
      </c>
      <c r="K10" s="40">
        <v>0</v>
      </c>
      <c r="L10" s="40">
        <v>337.96949999999998</v>
      </c>
      <c r="M10" s="40">
        <v>491.6</v>
      </c>
      <c r="N10" s="40">
        <v>0</v>
      </c>
      <c r="O10" s="40">
        <v>325</v>
      </c>
      <c r="P10" s="40">
        <v>50</v>
      </c>
      <c r="Q10" s="40">
        <v>46.881999999999998</v>
      </c>
      <c r="R10" s="40">
        <v>419.47194999999999</v>
      </c>
      <c r="S10" s="40">
        <v>12</v>
      </c>
      <c r="T10" s="40">
        <v>0</v>
      </c>
      <c r="U10" s="40">
        <v>0</v>
      </c>
      <c r="V10" s="40">
        <v>0</v>
      </c>
      <c r="W10" s="40">
        <v>0</v>
      </c>
      <c r="X10" s="40">
        <v>0</v>
      </c>
      <c r="Y10" s="40">
        <v>0</v>
      </c>
      <c r="Z10" s="40">
        <v>0</v>
      </c>
    </row>
    <row r="11" spans="1:26" s="16" customFormat="1" x14ac:dyDescent="0.25">
      <c r="A11" s="2" t="s">
        <v>37</v>
      </c>
      <c r="B11" s="40">
        <v>0</v>
      </c>
      <c r="C11" s="40">
        <v>0</v>
      </c>
      <c r="D11" s="40">
        <v>0</v>
      </c>
      <c r="E11" s="40">
        <v>0</v>
      </c>
      <c r="F11" s="40">
        <v>0</v>
      </c>
      <c r="G11" s="40">
        <v>0</v>
      </c>
      <c r="H11" s="40">
        <v>0</v>
      </c>
      <c r="I11" s="40">
        <v>0</v>
      </c>
      <c r="J11" s="40">
        <v>0</v>
      </c>
      <c r="K11" s="40">
        <v>9.2657999999999987</v>
      </c>
      <c r="L11" s="40">
        <v>11.793700000000001</v>
      </c>
      <c r="M11" s="40">
        <v>0</v>
      </c>
      <c r="N11" s="40">
        <v>0</v>
      </c>
      <c r="O11" s="40">
        <v>0</v>
      </c>
      <c r="P11" s="40">
        <v>0</v>
      </c>
      <c r="Q11" s="40">
        <v>76.802850000000007</v>
      </c>
      <c r="R11" s="40">
        <v>0</v>
      </c>
      <c r="S11" s="40">
        <v>0</v>
      </c>
      <c r="T11" s="40">
        <v>0</v>
      </c>
      <c r="U11" s="40">
        <v>0</v>
      </c>
      <c r="V11" s="40">
        <v>0</v>
      </c>
      <c r="W11" s="40">
        <v>0</v>
      </c>
      <c r="X11" s="40">
        <v>0</v>
      </c>
      <c r="Y11" s="40">
        <v>0</v>
      </c>
      <c r="Z11" s="40">
        <v>0</v>
      </c>
    </row>
    <row r="12" spans="1:26" s="16" customFormat="1" x14ac:dyDescent="0.25">
      <c r="A12" s="2" t="s">
        <v>38</v>
      </c>
      <c r="B12" s="40">
        <v>0</v>
      </c>
      <c r="C12" s="40">
        <v>0</v>
      </c>
      <c r="D12" s="40">
        <v>0</v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v>140.58000000000001</v>
      </c>
      <c r="L12" s="40">
        <v>24</v>
      </c>
      <c r="M12" s="40">
        <v>29.216650000000001</v>
      </c>
      <c r="N12" s="40">
        <v>0</v>
      </c>
      <c r="O12" s="40">
        <v>0</v>
      </c>
      <c r="P12" s="40">
        <v>0</v>
      </c>
      <c r="Q12" s="40">
        <v>17.903749999999999</v>
      </c>
      <c r="R12" s="40">
        <v>95.034300000000002</v>
      </c>
      <c r="S12" s="40">
        <v>0</v>
      </c>
      <c r="T12" s="40">
        <v>0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</row>
    <row r="13" spans="1:26" s="16" customFormat="1" x14ac:dyDescent="0.25">
      <c r="A13" s="2" t="s">
        <v>6</v>
      </c>
      <c r="B13" s="40">
        <v>0</v>
      </c>
      <c r="C13" s="40">
        <v>0</v>
      </c>
      <c r="D13" s="40">
        <v>0</v>
      </c>
      <c r="E13" s="40">
        <v>0</v>
      </c>
      <c r="F13" s="40">
        <v>0</v>
      </c>
      <c r="G13" s="40">
        <v>10.4826</v>
      </c>
      <c r="H13" s="40">
        <v>0</v>
      </c>
      <c r="I13" s="40">
        <v>0</v>
      </c>
      <c r="J13" s="40">
        <v>0</v>
      </c>
      <c r="K13" s="40">
        <v>129.28899999999999</v>
      </c>
      <c r="L13" s="40">
        <v>50.237000000000002</v>
      </c>
      <c r="M13" s="40">
        <v>34.422800000000002</v>
      </c>
      <c r="N13" s="40">
        <v>14.86375</v>
      </c>
      <c r="O13" s="40">
        <v>0</v>
      </c>
      <c r="P13" s="40">
        <v>0</v>
      </c>
      <c r="Q13" s="40">
        <v>2170.4949999999999</v>
      </c>
      <c r="R13" s="40">
        <v>64.82208</v>
      </c>
      <c r="S13" s="40">
        <v>0</v>
      </c>
      <c r="T13" s="40">
        <v>0</v>
      </c>
      <c r="U13" s="40">
        <v>0</v>
      </c>
      <c r="V13" s="40">
        <v>0</v>
      </c>
      <c r="W13" s="40">
        <v>11.776350000000001</v>
      </c>
      <c r="X13" s="40">
        <v>60</v>
      </c>
      <c r="Y13" s="40">
        <v>0</v>
      </c>
      <c r="Z13" s="40">
        <v>0</v>
      </c>
    </row>
    <row r="14" spans="1:26" s="16" customFormat="1" x14ac:dyDescent="0.25">
      <c r="A14" s="2" t="s">
        <v>39</v>
      </c>
      <c r="B14" s="40">
        <v>0</v>
      </c>
      <c r="C14" s="40">
        <v>0</v>
      </c>
      <c r="D14" s="40">
        <v>0</v>
      </c>
      <c r="E14" s="40">
        <v>0</v>
      </c>
      <c r="F14" s="40">
        <v>116.77315</v>
      </c>
      <c r="G14" s="40">
        <v>0</v>
      </c>
      <c r="H14" s="40">
        <v>0</v>
      </c>
      <c r="I14" s="40">
        <v>0</v>
      </c>
      <c r="J14" s="40">
        <v>0</v>
      </c>
      <c r="K14" s="40">
        <v>0</v>
      </c>
      <c r="L14" s="40">
        <v>295.185</v>
      </c>
      <c r="M14" s="40">
        <v>0</v>
      </c>
      <c r="N14" s="40">
        <v>0</v>
      </c>
      <c r="O14" s="40">
        <v>0</v>
      </c>
      <c r="P14" s="40">
        <v>0</v>
      </c>
      <c r="Q14" s="40">
        <v>149.86435</v>
      </c>
      <c r="R14" s="40">
        <v>0</v>
      </c>
      <c r="S14" s="40">
        <v>0</v>
      </c>
      <c r="T14" s="40">
        <v>0</v>
      </c>
      <c r="U14" s="40">
        <v>0</v>
      </c>
      <c r="V14" s="40">
        <v>0</v>
      </c>
      <c r="W14" s="40">
        <v>6.3820500000000004</v>
      </c>
      <c r="X14" s="40">
        <v>0</v>
      </c>
      <c r="Y14" s="40">
        <v>0</v>
      </c>
      <c r="Z14" s="40">
        <v>0</v>
      </c>
    </row>
    <row r="15" spans="1:26" s="16" customFormat="1" x14ac:dyDescent="0.25">
      <c r="A15" s="2" t="s">
        <v>40</v>
      </c>
      <c r="B15" s="40">
        <v>2.9000000000000001E-2</v>
      </c>
      <c r="C15" s="40">
        <v>13.471</v>
      </c>
      <c r="D15" s="40">
        <v>0</v>
      </c>
      <c r="E15" s="40">
        <v>0</v>
      </c>
      <c r="F15" s="40">
        <v>0</v>
      </c>
      <c r="G15" s="40">
        <v>0</v>
      </c>
      <c r="H15" s="40">
        <v>0</v>
      </c>
      <c r="I15" s="40">
        <v>0</v>
      </c>
      <c r="J15" s="40">
        <v>0</v>
      </c>
      <c r="K15" s="40">
        <v>0</v>
      </c>
      <c r="L15" s="40">
        <v>30.68815</v>
      </c>
      <c r="M15" s="40">
        <v>0</v>
      </c>
      <c r="N15" s="40">
        <v>0</v>
      </c>
      <c r="O15" s="40">
        <v>0</v>
      </c>
      <c r="P15" s="40">
        <v>0</v>
      </c>
      <c r="Q15" s="40">
        <v>0</v>
      </c>
      <c r="R15" s="40">
        <v>0</v>
      </c>
      <c r="S15" s="40">
        <v>0</v>
      </c>
      <c r="T15" s="40">
        <v>0</v>
      </c>
      <c r="U15" s="40">
        <v>0</v>
      </c>
      <c r="V15" s="40">
        <v>0</v>
      </c>
      <c r="W15" s="40">
        <v>0</v>
      </c>
      <c r="X15" s="40">
        <v>0</v>
      </c>
      <c r="Y15" s="40">
        <v>0</v>
      </c>
      <c r="Z15" s="40">
        <v>0</v>
      </c>
    </row>
    <row r="16" spans="1:26" s="16" customFormat="1" x14ac:dyDescent="0.25">
      <c r="A16" s="2" t="s">
        <v>41</v>
      </c>
      <c r="B16" s="40">
        <v>0</v>
      </c>
      <c r="C16" s="40">
        <v>0</v>
      </c>
      <c r="D16" s="40">
        <v>0</v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0</v>
      </c>
      <c r="U16" s="40">
        <v>0</v>
      </c>
      <c r="V16" s="40">
        <v>0</v>
      </c>
      <c r="W16" s="40">
        <v>0</v>
      </c>
      <c r="X16" s="40">
        <v>0</v>
      </c>
      <c r="Y16" s="40">
        <v>0</v>
      </c>
      <c r="Z16" s="40">
        <v>0</v>
      </c>
    </row>
    <row r="17" spans="1:26" s="16" customFormat="1" x14ac:dyDescent="0.25">
      <c r="A17" s="2" t="s">
        <v>27</v>
      </c>
      <c r="B17" s="40">
        <v>0</v>
      </c>
      <c r="C17" s="40">
        <v>0</v>
      </c>
      <c r="D17" s="40">
        <v>0</v>
      </c>
      <c r="E17" s="40">
        <v>0</v>
      </c>
      <c r="F17" s="40">
        <v>0</v>
      </c>
      <c r="G17" s="40">
        <v>0</v>
      </c>
      <c r="H17" s="40">
        <v>0</v>
      </c>
      <c r="I17" s="40">
        <v>0</v>
      </c>
      <c r="J17" s="40">
        <v>0</v>
      </c>
      <c r="K17" s="40">
        <v>120.2564</v>
      </c>
      <c r="L17" s="40">
        <v>4642.1644000000006</v>
      </c>
      <c r="M17" s="40">
        <v>11.491299999999999</v>
      </c>
      <c r="N17" s="40">
        <v>17.5</v>
      </c>
      <c r="O17" s="40">
        <v>2333.4397000000004</v>
      </c>
      <c r="P17" s="40">
        <v>38.058300000000003</v>
      </c>
      <c r="Q17" s="40">
        <v>1020.5194</v>
      </c>
      <c r="R17" s="40">
        <v>1551.2763</v>
      </c>
      <c r="S17" s="40">
        <v>640.79759999999999</v>
      </c>
      <c r="T17" s="40">
        <v>0</v>
      </c>
      <c r="U17" s="40">
        <v>58.42</v>
      </c>
      <c r="V17" s="40">
        <v>13</v>
      </c>
      <c r="W17" s="40">
        <v>0</v>
      </c>
      <c r="X17" s="40">
        <v>0</v>
      </c>
      <c r="Y17" s="40">
        <v>0</v>
      </c>
      <c r="Z17" s="40">
        <v>0</v>
      </c>
    </row>
    <row r="18" spans="1:26" s="16" customFormat="1" x14ac:dyDescent="0.25">
      <c r="A18" s="2" t="s">
        <v>7</v>
      </c>
      <c r="B18" s="40">
        <v>0</v>
      </c>
      <c r="C18" s="40">
        <v>0</v>
      </c>
      <c r="D18" s="40">
        <v>0</v>
      </c>
      <c r="E18" s="40">
        <v>0</v>
      </c>
      <c r="F18" s="40">
        <v>0</v>
      </c>
      <c r="G18" s="40">
        <v>0</v>
      </c>
      <c r="H18" s="40">
        <v>0</v>
      </c>
      <c r="I18" s="40">
        <v>0</v>
      </c>
      <c r="J18" s="40">
        <v>0</v>
      </c>
      <c r="K18" s="40">
        <v>197.77735000000001</v>
      </c>
      <c r="L18" s="40">
        <v>173.20135000000002</v>
      </c>
      <c r="M18" s="40">
        <v>71.362549999999999</v>
      </c>
      <c r="N18" s="40">
        <v>82.426249999999996</v>
      </c>
      <c r="O18" s="40">
        <v>300</v>
      </c>
      <c r="P18" s="40">
        <v>0</v>
      </c>
      <c r="Q18" s="40">
        <v>0.71425000000000005</v>
      </c>
      <c r="R18" s="40">
        <v>1000</v>
      </c>
      <c r="S18" s="40">
        <v>0</v>
      </c>
      <c r="T18" s="40">
        <v>0</v>
      </c>
      <c r="U18" s="40">
        <v>0</v>
      </c>
      <c r="V18" s="40">
        <v>0</v>
      </c>
      <c r="W18" s="40">
        <v>0</v>
      </c>
      <c r="X18" s="40">
        <v>0</v>
      </c>
      <c r="Y18" s="40">
        <v>0</v>
      </c>
      <c r="Z18" s="40">
        <v>0</v>
      </c>
    </row>
    <row r="19" spans="1:26" s="16" customFormat="1" x14ac:dyDescent="0.25">
      <c r="A19" s="2" t="s">
        <v>42</v>
      </c>
      <c r="B19" s="40">
        <v>171</v>
      </c>
      <c r="C19" s="40">
        <v>0</v>
      </c>
      <c r="D19" s="40">
        <v>0</v>
      </c>
      <c r="E19" s="40">
        <v>0</v>
      </c>
      <c r="F19" s="40">
        <v>0</v>
      </c>
      <c r="G19" s="40">
        <v>0</v>
      </c>
      <c r="H19" s="40">
        <v>0</v>
      </c>
      <c r="I19" s="40">
        <v>0</v>
      </c>
      <c r="J19" s="40">
        <v>0</v>
      </c>
      <c r="K19" s="40">
        <v>0</v>
      </c>
      <c r="L19" s="40">
        <v>0</v>
      </c>
      <c r="M19" s="40">
        <v>0</v>
      </c>
      <c r="N19" s="40">
        <v>0</v>
      </c>
      <c r="O19" s="40">
        <v>0</v>
      </c>
      <c r="P19" s="40">
        <v>0</v>
      </c>
      <c r="Q19" s="40">
        <v>4.09565</v>
      </c>
      <c r="R19" s="40">
        <v>56.35575</v>
      </c>
      <c r="S19" s="40">
        <v>0</v>
      </c>
      <c r="T19" s="40">
        <v>0</v>
      </c>
      <c r="U19" s="40">
        <v>0</v>
      </c>
      <c r="V19" s="40">
        <v>7</v>
      </c>
      <c r="W19" s="40">
        <v>0</v>
      </c>
      <c r="X19" s="40">
        <v>0</v>
      </c>
      <c r="Y19" s="40">
        <v>0</v>
      </c>
      <c r="Z19" s="40">
        <v>0</v>
      </c>
    </row>
    <row r="20" spans="1:26" s="16" customFormat="1" x14ac:dyDescent="0.25">
      <c r="A20" s="2" t="s">
        <v>43</v>
      </c>
      <c r="B20" s="40">
        <v>0</v>
      </c>
      <c r="C20" s="40">
        <v>0</v>
      </c>
      <c r="D20" s="40">
        <v>0</v>
      </c>
      <c r="E20" s="40">
        <v>0</v>
      </c>
      <c r="F20" s="40">
        <v>0</v>
      </c>
      <c r="G20" s="40">
        <v>0</v>
      </c>
      <c r="H20" s="40">
        <v>0</v>
      </c>
      <c r="I20" s="40">
        <v>0</v>
      </c>
      <c r="J20" s="40">
        <v>0</v>
      </c>
      <c r="K20" s="40">
        <v>0</v>
      </c>
      <c r="L20" s="40">
        <v>72.825000000000003</v>
      </c>
      <c r="M20" s="40">
        <v>0</v>
      </c>
      <c r="N20" s="40">
        <v>0</v>
      </c>
      <c r="O20" s="40">
        <v>0</v>
      </c>
      <c r="P20" s="40">
        <v>0</v>
      </c>
      <c r="Q20" s="40">
        <v>10.2834</v>
      </c>
      <c r="R20" s="40">
        <v>0</v>
      </c>
      <c r="S20" s="40">
        <v>0</v>
      </c>
      <c r="T20" s="40">
        <v>0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</row>
    <row r="21" spans="1:26" s="16" customFormat="1" x14ac:dyDescent="0.25">
      <c r="A21" s="2" t="s">
        <v>44</v>
      </c>
      <c r="B21" s="40">
        <v>1.2</v>
      </c>
      <c r="C21" s="40">
        <v>0</v>
      </c>
      <c r="D21" s="40">
        <v>0</v>
      </c>
      <c r="E21" s="40">
        <v>0</v>
      </c>
      <c r="F21" s="40">
        <v>0</v>
      </c>
      <c r="G21" s="40">
        <v>0</v>
      </c>
      <c r="H21" s="40">
        <v>0</v>
      </c>
      <c r="I21" s="40">
        <v>0</v>
      </c>
      <c r="J21" s="40">
        <v>0</v>
      </c>
      <c r="K21" s="40">
        <v>283.10399999999998</v>
      </c>
      <c r="L21" s="40">
        <v>2899.7453300000002</v>
      </c>
      <c r="M21" s="40">
        <v>0</v>
      </c>
      <c r="N21" s="40">
        <v>0</v>
      </c>
      <c r="O21" s="40">
        <v>10.5</v>
      </c>
      <c r="P21" s="40">
        <v>36.5</v>
      </c>
      <c r="Q21" s="40">
        <v>23.887799999999999</v>
      </c>
      <c r="R21" s="40">
        <v>203.06700000000001</v>
      </c>
      <c r="S21" s="40">
        <v>0</v>
      </c>
      <c r="T21" s="40">
        <v>0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</row>
    <row r="22" spans="1:26" s="16" customFormat="1" x14ac:dyDescent="0.25">
      <c r="A22" s="2" t="s">
        <v>8</v>
      </c>
      <c r="B22" s="40">
        <v>0</v>
      </c>
      <c r="C22" s="40">
        <v>0</v>
      </c>
      <c r="D22" s="40">
        <v>0</v>
      </c>
      <c r="E22" s="40">
        <v>0</v>
      </c>
      <c r="F22" s="40">
        <v>0</v>
      </c>
      <c r="G22" s="40">
        <v>0</v>
      </c>
      <c r="H22" s="40">
        <v>0</v>
      </c>
      <c r="I22" s="40">
        <v>0</v>
      </c>
      <c r="J22" s="40">
        <v>0</v>
      </c>
      <c r="K22" s="40">
        <v>7.14</v>
      </c>
      <c r="L22" s="40">
        <v>19.076000000000001</v>
      </c>
      <c r="M22" s="40">
        <v>0</v>
      </c>
      <c r="N22" s="40">
        <v>0</v>
      </c>
      <c r="O22" s="40">
        <v>0</v>
      </c>
      <c r="P22" s="40">
        <v>2.7736999999999998</v>
      </c>
      <c r="Q22" s="40">
        <v>544.60956999999996</v>
      </c>
      <c r="R22" s="40">
        <v>22.0014</v>
      </c>
      <c r="S22" s="40">
        <v>0</v>
      </c>
      <c r="T22" s="40">
        <v>0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</row>
    <row r="23" spans="1:26" s="16" customFormat="1" x14ac:dyDescent="0.25">
      <c r="A23" s="2" t="s">
        <v>45</v>
      </c>
      <c r="B23" s="40">
        <v>0</v>
      </c>
      <c r="C23" s="40">
        <v>0</v>
      </c>
      <c r="D23" s="40">
        <v>0</v>
      </c>
      <c r="E23" s="40">
        <v>0</v>
      </c>
      <c r="F23" s="40">
        <v>0</v>
      </c>
      <c r="G23" s="40">
        <v>0</v>
      </c>
      <c r="H23" s="40">
        <v>0</v>
      </c>
      <c r="I23" s="40">
        <v>0</v>
      </c>
      <c r="J23" s="40">
        <v>0</v>
      </c>
      <c r="K23" s="40">
        <v>28</v>
      </c>
      <c r="L23" s="40">
        <v>28</v>
      </c>
      <c r="M23" s="40">
        <v>0</v>
      </c>
      <c r="N23" s="40">
        <v>0</v>
      </c>
      <c r="O23" s="40">
        <v>0</v>
      </c>
      <c r="P23" s="40">
        <v>0</v>
      </c>
      <c r="Q23" s="40">
        <v>0</v>
      </c>
      <c r="R23" s="40">
        <v>0</v>
      </c>
      <c r="S23" s="40">
        <v>0</v>
      </c>
      <c r="T23" s="40">
        <v>0</v>
      </c>
      <c r="U23" s="40">
        <v>0</v>
      </c>
      <c r="V23" s="40">
        <v>0</v>
      </c>
      <c r="W23" s="40">
        <v>0</v>
      </c>
      <c r="X23" s="40">
        <v>0</v>
      </c>
      <c r="Y23" s="40">
        <v>0</v>
      </c>
      <c r="Z23" s="40">
        <v>0</v>
      </c>
    </row>
    <row r="24" spans="1:26" s="16" customFormat="1" x14ac:dyDescent="0.25">
      <c r="A24" s="2" t="s">
        <v>46</v>
      </c>
      <c r="B24" s="40">
        <v>0</v>
      </c>
      <c r="C24" s="40">
        <v>0</v>
      </c>
      <c r="D24" s="40">
        <v>0</v>
      </c>
      <c r="E24" s="40">
        <v>0</v>
      </c>
      <c r="F24" s="40">
        <v>0</v>
      </c>
      <c r="G24" s="40">
        <v>0</v>
      </c>
      <c r="H24" s="40">
        <v>0</v>
      </c>
      <c r="I24" s="40">
        <v>0</v>
      </c>
      <c r="J24" s="40">
        <v>0</v>
      </c>
      <c r="K24" s="40">
        <v>138.80000000000001</v>
      </c>
      <c r="L24" s="40">
        <v>1737.5229999999999</v>
      </c>
      <c r="M24" s="40">
        <v>0</v>
      </c>
      <c r="N24" s="40">
        <v>0</v>
      </c>
      <c r="O24" s="40">
        <v>0</v>
      </c>
      <c r="P24" s="40">
        <v>0</v>
      </c>
      <c r="Q24" s="40">
        <v>0</v>
      </c>
      <c r="R24" s="40">
        <v>36.042499999999997</v>
      </c>
      <c r="S24" s="40">
        <v>0</v>
      </c>
      <c r="T24" s="40">
        <v>0</v>
      </c>
      <c r="U24" s="40">
        <v>0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</row>
    <row r="25" spans="1:26" s="16" customFormat="1" x14ac:dyDescent="0.25">
      <c r="A25" s="2" t="s">
        <v>47</v>
      </c>
      <c r="B25" s="40">
        <v>0</v>
      </c>
      <c r="C25" s="40">
        <v>0</v>
      </c>
      <c r="D25" s="40">
        <v>0</v>
      </c>
      <c r="E25" s="40">
        <v>0</v>
      </c>
      <c r="F25" s="40">
        <v>0</v>
      </c>
      <c r="G25" s="40">
        <v>0</v>
      </c>
      <c r="H25" s="40">
        <v>0</v>
      </c>
      <c r="I25" s="40">
        <v>0</v>
      </c>
      <c r="J25" s="40">
        <v>0</v>
      </c>
      <c r="K25" s="40">
        <v>53.5</v>
      </c>
      <c r="L25" s="40">
        <v>34</v>
      </c>
      <c r="M25" s="40">
        <v>46.406649999999999</v>
      </c>
      <c r="N25" s="40">
        <v>0</v>
      </c>
      <c r="O25" s="40">
        <v>0</v>
      </c>
      <c r="P25" s="40">
        <v>5</v>
      </c>
      <c r="Q25" s="40">
        <v>0.66039999999999999</v>
      </c>
      <c r="R25" s="40">
        <v>0</v>
      </c>
      <c r="S25" s="40">
        <v>0</v>
      </c>
      <c r="T25" s="40">
        <v>0</v>
      </c>
      <c r="U25" s="40">
        <v>0</v>
      </c>
      <c r="V25" s="40">
        <v>0</v>
      </c>
      <c r="W25" s="40">
        <v>0</v>
      </c>
      <c r="X25" s="40">
        <v>0</v>
      </c>
      <c r="Y25" s="40">
        <v>23</v>
      </c>
      <c r="Z25" s="40">
        <v>0</v>
      </c>
    </row>
    <row r="26" spans="1:26" s="16" customFormat="1" x14ac:dyDescent="0.25">
      <c r="A26" s="2" t="s">
        <v>48</v>
      </c>
      <c r="B26" s="40">
        <v>0</v>
      </c>
      <c r="C26" s="40">
        <v>0</v>
      </c>
      <c r="D26" s="40">
        <v>0</v>
      </c>
      <c r="E26" s="40">
        <v>0</v>
      </c>
      <c r="F26" s="40">
        <v>0</v>
      </c>
      <c r="G26" s="40">
        <v>0</v>
      </c>
      <c r="H26" s="40">
        <v>0</v>
      </c>
      <c r="I26" s="40">
        <v>0</v>
      </c>
      <c r="J26" s="40">
        <v>0</v>
      </c>
      <c r="K26" s="40">
        <v>0</v>
      </c>
      <c r="L26" s="40">
        <v>74.757999999999996</v>
      </c>
      <c r="M26" s="40">
        <v>0</v>
      </c>
      <c r="N26" s="40">
        <v>0</v>
      </c>
      <c r="O26" s="40">
        <v>0</v>
      </c>
      <c r="P26" s="40">
        <v>0</v>
      </c>
      <c r="Q26" s="40">
        <v>0</v>
      </c>
      <c r="R26" s="40">
        <v>29.741700000000002</v>
      </c>
      <c r="S26" s="40">
        <v>0</v>
      </c>
      <c r="T26" s="40">
        <v>0</v>
      </c>
      <c r="U26" s="40">
        <v>0</v>
      </c>
      <c r="V26" s="40">
        <v>0</v>
      </c>
      <c r="W26" s="40">
        <v>0</v>
      </c>
      <c r="X26" s="40">
        <v>0</v>
      </c>
      <c r="Y26" s="40">
        <v>0</v>
      </c>
      <c r="Z26" s="40">
        <v>0</v>
      </c>
    </row>
    <row r="27" spans="1:26" s="16" customFormat="1" x14ac:dyDescent="0.25">
      <c r="A27" s="2" t="s">
        <v>49</v>
      </c>
      <c r="B27" s="40">
        <v>0</v>
      </c>
      <c r="C27" s="40">
        <v>0</v>
      </c>
      <c r="D27" s="40">
        <v>0</v>
      </c>
      <c r="E27" s="40">
        <v>0</v>
      </c>
      <c r="F27" s="40">
        <v>0</v>
      </c>
      <c r="G27" s="40">
        <v>0</v>
      </c>
      <c r="H27" s="40">
        <v>0</v>
      </c>
      <c r="I27" s="40">
        <v>0</v>
      </c>
      <c r="J27" s="40">
        <v>0</v>
      </c>
      <c r="K27" s="40">
        <v>0</v>
      </c>
      <c r="L27" s="40">
        <v>578.91665</v>
      </c>
      <c r="M27" s="40">
        <v>0</v>
      </c>
      <c r="N27" s="40">
        <v>0</v>
      </c>
      <c r="O27" s="40">
        <v>0</v>
      </c>
      <c r="P27" s="40">
        <v>2</v>
      </c>
      <c r="Q27" s="40">
        <v>0</v>
      </c>
      <c r="R27" s="40">
        <v>0</v>
      </c>
      <c r="S27" s="40">
        <v>0</v>
      </c>
      <c r="T27" s="40">
        <v>0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</row>
    <row r="28" spans="1:26" s="16" customFormat="1" x14ac:dyDescent="0.25">
      <c r="A28" s="2" t="s">
        <v>50</v>
      </c>
      <c r="B28" s="40">
        <v>0</v>
      </c>
      <c r="C28" s="40">
        <v>0</v>
      </c>
      <c r="D28" s="40">
        <v>0</v>
      </c>
      <c r="E28" s="40">
        <v>0</v>
      </c>
      <c r="F28" s="40">
        <v>0</v>
      </c>
      <c r="G28" s="40">
        <v>0</v>
      </c>
      <c r="H28" s="40">
        <v>0</v>
      </c>
      <c r="I28" s="40">
        <v>0</v>
      </c>
      <c r="J28" s="40">
        <v>0</v>
      </c>
      <c r="K28" s="40">
        <v>0</v>
      </c>
      <c r="L28" s="40">
        <v>368</v>
      </c>
      <c r="M28" s="40">
        <v>0</v>
      </c>
      <c r="N28" s="40">
        <v>0</v>
      </c>
      <c r="O28" s="40">
        <v>0</v>
      </c>
      <c r="P28" s="40">
        <v>0</v>
      </c>
      <c r="Q28" s="40">
        <v>0</v>
      </c>
      <c r="R28" s="40">
        <v>0</v>
      </c>
      <c r="S28" s="40">
        <v>0</v>
      </c>
      <c r="T28" s="40">
        <v>0</v>
      </c>
      <c r="U28" s="40">
        <v>0</v>
      </c>
      <c r="V28" s="40">
        <v>12.5</v>
      </c>
      <c r="W28" s="40">
        <v>0</v>
      </c>
      <c r="X28" s="40">
        <v>0</v>
      </c>
      <c r="Y28" s="40">
        <v>0</v>
      </c>
      <c r="Z28" s="40">
        <v>0</v>
      </c>
    </row>
    <row r="29" spans="1:26" s="16" customFormat="1" x14ac:dyDescent="0.25">
      <c r="A29" s="2" t="s">
        <v>51</v>
      </c>
      <c r="B29" s="40">
        <v>0</v>
      </c>
      <c r="C29" s="40">
        <v>0</v>
      </c>
      <c r="D29" s="40">
        <v>0</v>
      </c>
      <c r="E29" s="40">
        <v>0</v>
      </c>
      <c r="F29" s="40">
        <v>0</v>
      </c>
      <c r="G29" s="40">
        <v>0</v>
      </c>
      <c r="H29" s="40">
        <v>0</v>
      </c>
      <c r="I29" s="40">
        <v>0</v>
      </c>
      <c r="J29" s="40">
        <v>0</v>
      </c>
      <c r="K29" s="40">
        <v>0</v>
      </c>
      <c r="L29" s="40">
        <v>301.24629999999996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40">
        <v>0</v>
      </c>
      <c r="S29" s="40">
        <v>0</v>
      </c>
      <c r="T29" s="40">
        <v>0</v>
      </c>
      <c r="U29" s="40">
        <v>0</v>
      </c>
      <c r="V29" s="40">
        <v>0</v>
      </c>
      <c r="W29" s="40">
        <v>0</v>
      </c>
      <c r="X29" s="40">
        <v>0</v>
      </c>
      <c r="Y29" s="40">
        <v>0</v>
      </c>
      <c r="Z29" s="40">
        <v>0</v>
      </c>
    </row>
    <row r="30" spans="1:26" s="16" customFormat="1" x14ac:dyDescent="0.25">
      <c r="A30" s="2" t="s">
        <v>52</v>
      </c>
      <c r="B30" s="40">
        <v>0</v>
      </c>
      <c r="C30" s="40">
        <v>0</v>
      </c>
      <c r="D30" s="40">
        <v>0</v>
      </c>
      <c r="E30" s="40">
        <v>0</v>
      </c>
      <c r="F30" s="40">
        <v>0</v>
      </c>
      <c r="G30" s="40">
        <v>0</v>
      </c>
      <c r="H30" s="40">
        <v>0</v>
      </c>
      <c r="I30" s="40">
        <v>0</v>
      </c>
      <c r="J30" s="40">
        <v>0</v>
      </c>
      <c r="K30" s="40">
        <v>60.656949999999995</v>
      </c>
      <c r="L30" s="40">
        <v>54.521080000000005</v>
      </c>
      <c r="M30" s="40">
        <v>0</v>
      </c>
      <c r="N30" s="40">
        <v>0</v>
      </c>
      <c r="O30" s="40">
        <v>62.444949999999999</v>
      </c>
      <c r="P30" s="40">
        <v>0</v>
      </c>
      <c r="Q30" s="40">
        <v>0</v>
      </c>
      <c r="R30" s="40">
        <v>61.132620000000003</v>
      </c>
      <c r="S30" s="40">
        <v>0</v>
      </c>
      <c r="T30" s="40">
        <v>0</v>
      </c>
      <c r="U30" s="40">
        <v>0</v>
      </c>
      <c r="V30" s="40">
        <v>0</v>
      </c>
      <c r="W30" s="40">
        <v>0</v>
      </c>
      <c r="X30" s="40">
        <v>0</v>
      </c>
      <c r="Y30" s="40">
        <v>0</v>
      </c>
      <c r="Z30" s="40">
        <v>0</v>
      </c>
    </row>
    <row r="31" spans="1:26" s="16" customFormat="1" x14ac:dyDescent="0.25">
      <c r="A31" s="2" t="s">
        <v>9</v>
      </c>
      <c r="B31" s="40">
        <v>0</v>
      </c>
      <c r="C31" s="40">
        <v>0</v>
      </c>
      <c r="D31" s="40">
        <v>0</v>
      </c>
      <c r="E31" s="40">
        <v>0</v>
      </c>
      <c r="F31" s="40">
        <v>0</v>
      </c>
      <c r="G31" s="40">
        <v>0</v>
      </c>
      <c r="H31" s="40">
        <v>0</v>
      </c>
      <c r="I31" s="40">
        <v>0</v>
      </c>
      <c r="J31" s="40">
        <v>0</v>
      </c>
      <c r="K31" s="40">
        <v>24</v>
      </c>
      <c r="L31" s="40">
        <v>15</v>
      </c>
      <c r="M31" s="40">
        <v>0</v>
      </c>
      <c r="N31" s="40">
        <v>0</v>
      </c>
      <c r="O31" s="40">
        <v>0</v>
      </c>
      <c r="P31" s="40">
        <v>0</v>
      </c>
      <c r="Q31" s="40">
        <v>0</v>
      </c>
      <c r="R31" s="40">
        <v>15.35815</v>
      </c>
      <c r="S31" s="40">
        <v>0</v>
      </c>
      <c r="T31" s="40">
        <v>0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</row>
    <row r="32" spans="1:26" s="16" customFormat="1" x14ac:dyDescent="0.25">
      <c r="A32" s="2" t="s">
        <v>10</v>
      </c>
      <c r="B32" s="40">
        <v>0</v>
      </c>
      <c r="C32" s="40">
        <v>0</v>
      </c>
      <c r="D32" s="40">
        <v>0</v>
      </c>
      <c r="E32" s="40">
        <v>0</v>
      </c>
      <c r="F32" s="40">
        <v>0</v>
      </c>
      <c r="G32" s="40">
        <v>0</v>
      </c>
      <c r="H32" s="40">
        <v>0</v>
      </c>
      <c r="I32" s="40">
        <v>0</v>
      </c>
      <c r="J32" s="40">
        <v>0</v>
      </c>
      <c r="K32" s="40">
        <v>0</v>
      </c>
      <c r="L32" s="40">
        <v>0</v>
      </c>
      <c r="M32" s="40">
        <v>0</v>
      </c>
      <c r="N32" s="40">
        <v>0</v>
      </c>
      <c r="O32" s="40">
        <v>0</v>
      </c>
      <c r="P32" s="40">
        <v>0</v>
      </c>
      <c r="Q32" s="40">
        <v>0</v>
      </c>
      <c r="R32" s="40">
        <v>0</v>
      </c>
      <c r="S32" s="40">
        <v>0</v>
      </c>
      <c r="T32" s="40">
        <v>0</v>
      </c>
      <c r="U32" s="40">
        <v>0</v>
      </c>
      <c r="V32" s="40">
        <v>0</v>
      </c>
      <c r="W32" s="40">
        <v>0</v>
      </c>
      <c r="X32" s="40">
        <v>0</v>
      </c>
      <c r="Y32" s="40">
        <v>0</v>
      </c>
      <c r="Z32" s="40">
        <v>0</v>
      </c>
    </row>
    <row r="33" spans="1:26" s="16" customFormat="1" x14ac:dyDescent="0.25">
      <c r="A33" s="2" t="s">
        <v>53</v>
      </c>
      <c r="B33" s="40">
        <v>0</v>
      </c>
      <c r="C33" s="40">
        <v>0</v>
      </c>
      <c r="D33" s="40">
        <v>0</v>
      </c>
      <c r="E33" s="40">
        <v>0</v>
      </c>
      <c r="F33" s="40">
        <v>0</v>
      </c>
      <c r="G33" s="40">
        <v>0</v>
      </c>
      <c r="H33" s="40">
        <v>0</v>
      </c>
      <c r="I33" s="40">
        <v>0</v>
      </c>
      <c r="J33" s="40">
        <v>0</v>
      </c>
      <c r="K33" s="40">
        <v>41.2</v>
      </c>
      <c r="L33" s="40">
        <v>1301.53845</v>
      </c>
      <c r="M33" s="40">
        <v>0</v>
      </c>
      <c r="N33" s="40">
        <v>0</v>
      </c>
      <c r="O33" s="40">
        <v>0</v>
      </c>
      <c r="P33" s="40">
        <v>0</v>
      </c>
      <c r="Q33" s="40">
        <v>3921.6285899999998</v>
      </c>
      <c r="R33" s="40">
        <v>310.18534999999997</v>
      </c>
      <c r="S33" s="40">
        <v>0</v>
      </c>
      <c r="T33" s="40">
        <v>0</v>
      </c>
      <c r="U33" s="40">
        <v>0</v>
      </c>
      <c r="V33" s="40">
        <v>5</v>
      </c>
      <c r="W33" s="40">
        <v>0</v>
      </c>
      <c r="X33" s="40">
        <v>0</v>
      </c>
      <c r="Y33" s="40">
        <v>0</v>
      </c>
      <c r="Z33" s="40">
        <v>0</v>
      </c>
    </row>
    <row r="34" spans="1:26" s="16" customFormat="1" x14ac:dyDescent="0.25">
      <c r="A34" s="2" t="s">
        <v>54</v>
      </c>
      <c r="B34" s="40">
        <v>0</v>
      </c>
      <c r="C34" s="40">
        <v>0</v>
      </c>
      <c r="D34" s="40">
        <v>0</v>
      </c>
      <c r="E34" s="40">
        <v>0</v>
      </c>
      <c r="F34" s="40">
        <v>0</v>
      </c>
      <c r="G34" s="40">
        <v>0</v>
      </c>
      <c r="H34" s="40">
        <v>0</v>
      </c>
      <c r="I34" s="40">
        <v>0</v>
      </c>
      <c r="J34" s="40">
        <v>0</v>
      </c>
      <c r="K34" s="40">
        <v>7.14</v>
      </c>
      <c r="L34" s="40">
        <v>-440.98320000000001</v>
      </c>
      <c r="M34" s="40">
        <v>-1.45845</v>
      </c>
      <c r="N34" s="40">
        <v>0</v>
      </c>
      <c r="O34" s="40">
        <v>0</v>
      </c>
      <c r="P34" s="40">
        <v>0</v>
      </c>
      <c r="Q34" s="40">
        <v>-1071.89555</v>
      </c>
      <c r="R34" s="40">
        <v>388.47399999999999</v>
      </c>
      <c r="S34" s="40">
        <v>0</v>
      </c>
      <c r="T34" s="40">
        <v>0</v>
      </c>
      <c r="U34" s="40">
        <v>0</v>
      </c>
      <c r="V34" s="40">
        <v>0</v>
      </c>
      <c r="W34" s="40">
        <v>4.7003000000000004</v>
      </c>
      <c r="X34" s="40">
        <v>0</v>
      </c>
      <c r="Y34" s="40">
        <v>0</v>
      </c>
      <c r="Z34" s="40">
        <v>0</v>
      </c>
    </row>
    <row r="35" spans="1:26" s="16" customFormat="1" x14ac:dyDescent="0.25">
      <c r="A35" s="2" t="s">
        <v>55</v>
      </c>
      <c r="B35" s="40">
        <v>0</v>
      </c>
      <c r="C35" s="40">
        <v>0</v>
      </c>
      <c r="D35" s="40">
        <v>0</v>
      </c>
      <c r="E35" s="40">
        <v>0</v>
      </c>
      <c r="F35" s="40">
        <v>0</v>
      </c>
      <c r="G35" s="40">
        <v>0</v>
      </c>
      <c r="H35" s="40">
        <v>0</v>
      </c>
      <c r="I35" s="40">
        <v>0</v>
      </c>
      <c r="J35" s="40">
        <v>0</v>
      </c>
      <c r="K35" s="40">
        <v>75.33</v>
      </c>
      <c r="L35" s="40">
        <v>390.92</v>
      </c>
      <c r="M35" s="40">
        <v>300.61634999999995</v>
      </c>
      <c r="N35" s="40">
        <v>0</v>
      </c>
      <c r="O35" s="40">
        <v>0</v>
      </c>
      <c r="P35" s="40">
        <v>0</v>
      </c>
      <c r="Q35" s="40">
        <v>131.16647</v>
      </c>
      <c r="R35" s="40">
        <v>0</v>
      </c>
      <c r="S35" s="40">
        <v>5</v>
      </c>
      <c r="T35" s="40">
        <v>0</v>
      </c>
      <c r="U35" s="40">
        <v>0</v>
      </c>
      <c r="V35" s="40">
        <v>2</v>
      </c>
      <c r="W35" s="40">
        <v>0</v>
      </c>
      <c r="X35" s="40">
        <v>0</v>
      </c>
      <c r="Y35" s="40">
        <v>0</v>
      </c>
      <c r="Z35" s="40">
        <v>0</v>
      </c>
    </row>
    <row r="36" spans="1:26" s="16" customFormat="1" x14ac:dyDescent="0.25">
      <c r="A36" s="2" t="s">
        <v>56</v>
      </c>
      <c r="B36" s="40">
        <v>0</v>
      </c>
      <c r="C36" s="40">
        <v>0</v>
      </c>
      <c r="D36" s="40">
        <v>0</v>
      </c>
      <c r="E36" s="40">
        <v>0</v>
      </c>
      <c r="F36" s="40">
        <v>0</v>
      </c>
      <c r="G36" s="40">
        <v>0</v>
      </c>
      <c r="H36" s="40">
        <v>0</v>
      </c>
      <c r="I36" s="40">
        <v>0</v>
      </c>
      <c r="J36" s="40">
        <v>0</v>
      </c>
      <c r="K36" s="40">
        <v>0</v>
      </c>
      <c r="L36" s="40">
        <v>763.42790000000002</v>
      </c>
      <c r="M36" s="40">
        <v>0</v>
      </c>
      <c r="N36" s="40">
        <v>0</v>
      </c>
      <c r="O36" s="40">
        <v>0</v>
      </c>
      <c r="P36" s="40">
        <v>100</v>
      </c>
      <c r="Q36" s="40">
        <v>0</v>
      </c>
      <c r="R36" s="40">
        <v>227.83954999999997</v>
      </c>
      <c r="S36" s="40">
        <v>0</v>
      </c>
      <c r="T36" s="40">
        <v>0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</row>
    <row r="37" spans="1:26" s="16" customFormat="1" x14ac:dyDescent="0.25">
      <c r="A37" s="2" t="s">
        <v>57</v>
      </c>
      <c r="B37" s="40">
        <v>0</v>
      </c>
      <c r="C37" s="40">
        <v>0</v>
      </c>
      <c r="D37" s="40">
        <v>0</v>
      </c>
      <c r="E37" s="40">
        <v>0</v>
      </c>
      <c r="F37" s="40">
        <v>0</v>
      </c>
      <c r="G37" s="40">
        <v>0</v>
      </c>
      <c r="H37" s="40">
        <v>0</v>
      </c>
      <c r="I37" s="40">
        <v>0</v>
      </c>
      <c r="J37" s="40">
        <v>0</v>
      </c>
      <c r="K37" s="40">
        <v>0</v>
      </c>
      <c r="L37" s="40">
        <v>257</v>
      </c>
      <c r="M37" s="40">
        <v>0</v>
      </c>
      <c r="N37" s="40">
        <v>0</v>
      </c>
      <c r="O37" s="40">
        <v>0</v>
      </c>
      <c r="P37" s="40">
        <v>0</v>
      </c>
      <c r="Q37" s="40">
        <v>0</v>
      </c>
      <c r="R37" s="40">
        <v>0</v>
      </c>
      <c r="S37" s="40">
        <v>0</v>
      </c>
      <c r="T37" s="40">
        <v>0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</row>
    <row r="38" spans="1:26" s="16" customFormat="1" x14ac:dyDescent="0.25">
      <c r="A38" s="2" t="s">
        <v>58</v>
      </c>
      <c r="B38" s="40">
        <v>0</v>
      </c>
      <c r="C38" s="40">
        <v>0</v>
      </c>
      <c r="D38" s="40">
        <v>0</v>
      </c>
      <c r="E38" s="40">
        <v>0</v>
      </c>
      <c r="F38" s="40">
        <v>0</v>
      </c>
      <c r="G38" s="40">
        <v>0</v>
      </c>
      <c r="H38" s="40">
        <v>0</v>
      </c>
      <c r="I38" s="40">
        <v>0</v>
      </c>
      <c r="J38" s="40">
        <v>0</v>
      </c>
      <c r="K38" s="40">
        <v>0</v>
      </c>
      <c r="L38" s="40">
        <v>228.08</v>
      </c>
      <c r="M38" s="40">
        <v>20</v>
      </c>
      <c r="N38" s="40">
        <v>0</v>
      </c>
      <c r="O38" s="40">
        <v>0</v>
      </c>
      <c r="P38" s="40">
        <v>0</v>
      </c>
      <c r="Q38" s="40">
        <v>0</v>
      </c>
      <c r="R38" s="40">
        <v>0</v>
      </c>
      <c r="S38" s="40">
        <v>0</v>
      </c>
      <c r="T38" s="40">
        <v>0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</row>
    <row r="39" spans="1:26" s="16" customFormat="1" x14ac:dyDescent="0.25">
      <c r="A39" s="2" t="s">
        <v>11</v>
      </c>
      <c r="B39" s="40">
        <v>0</v>
      </c>
      <c r="C39" s="40">
        <v>0</v>
      </c>
      <c r="D39" s="40">
        <v>0</v>
      </c>
      <c r="E39" s="40">
        <v>0</v>
      </c>
      <c r="F39" s="40">
        <v>88.2</v>
      </c>
      <c r="G39" s="40">
        <v>0</v>
      </c>
      <c r="H39" s="40">
        <v>0</v>
      </c>
      <c r="I39" s="40">
        <v>0</v>
      </c>
      <c r="J39" s="40">
        <v>0</v>
      </c>
      <c r="K39" s="40">
        <v>0</v>
      </c>
      <c r="L39" s="40">
        <v>761.00525000000005</v>
      </c>
      <c r="M39" s="40">
        <v>0</v>
      </c>
      <c r="N39" s="40">
        <v>0</v>
      </c>
      <c r="O39" s="40">
        <v>0</v>
      </c>
      <c r="P39" s="40">
        <v>100</v>
      </c>
      <c r="Q39" s="40">
        <v>10.767100000000001</v>
      </c>
      <c r="R39" s="40">
        <v>69.278999999999996</v>
      </c>
      <c r="S39" s="40">
        <v>60</v>
      </c>
      <c r="T39" s="40">
        <v>120</v>
      </c>
      <c r="U39" s="40">
        <v>0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</row>
    <row r="40" spans="1:26" s="16" customFormat="1" x14ac:dyDescent="0.25">
      <c r="A40" s="3" t="s">
        <v>59</v>
      </c>
      <c r="B40" s="40">
        <v>0</v>
      </c>
      <c r="C40" s="40">
        <v>0</v>
      </c>
      <c r="D40" s="40">
        <v>0</v>
      </c>
      <c r="E40" s="40">
        <v>0</v>
      </c>
      <c r="F40" s="40">
        <v>0</v>
      </c>
      <c r="G40" s="40">
        <v>0</v>
      </c>
      <c r="H40" s="40">
        <v>85.837450000000004</v>
      </c>
      <c r="I40" s="40">
        <v>0</v>
      </c>
      <c r="J40" s="40">
        <v>0</v>
      </c>
      <c r="K40" s="40">
        <v>55.328849999999996</v>
      </c>
      <c r="L40" s="40">
        <v>39.006999999999998</v>
      </c>
      <c r="M40" s="40">
        <v>0</v>
      </c>
      <c r="N40" s="40">
        <v>14.431799999999999</v>
      </c>
      <c r="O40" s="40">
        <v>0</v>
      </c>
      <c r="P40" s="40">
        <v>0</v>
      </c>
      <c r="Q40" s="40">
        <v>0</v>
      </c>
      <c r="R40" s="40">
        <v>32.932050000000004</v>
      </c>
      <c r="S40" s="40">
        <v>0</v>
      </c>
      <c r="T40" s="40">
        <v>0</v>
      </c>
      <c r="U40" s="40">
        <v>0</v>
      </c>
      <c r="V40" s="40">
        <v>0</v>
      </c>
      <c r="W40" s="40">
        <v>0</v>
      </c>
      <c r="X40" s="40">
        <v>0</v>
      </c>
      <c r="Y40" s="40">
        <v>0</v>
      </c>
      <c r="Z40" s="40">
        <v>0</v>
      </c>
    </row>
    <row r="41" spans="1:26" s="16" customFormat="1" x14ac:dyDescent="0.25">
      <c r="A41" s="2" t="s">
        <v>60</v>
      </c>
      <c r="B41" s="40">
        <v>0</v>
      </c>
      <c r="C41" s="40">
        <v>0</v>
      </c>
      <c r="D41" s="40">
        <v>0</v>
      </c>
      <c r="E41" s="40">
        <v>0</v>
      </c>
      <c r="F41" s="40">
        <v>0</v>
      </c>
      <c r="G41" s="40">
        <v>0</v>
      </c>
      <c r="H41" s="40">
        <v>0</v>
      </c>
      <c r="I41" s="40">
        <v>0</v>
      </c>
      <c r="J41" s="40">
        <v>0</v>
      </c>
      <c r="K41" s="40">
        <v>30.701599999999999</v>
      </c>
      <c r="L41" s="40">
        <v>185.03354999999999</v>
      </c>
      <c r="M41" s="40">
        <v>0</v>
      </c>
      <c r="N41" s="40">
        <v>0</v>
      </c>
      <c r="O41" s="40">
        <v>0</v>
      </c>
      <c r="P41" s="40">
        <v>0</v>
      </c>
      <c r="Q41" s="40">
        <v>87.186419999999998</v>
      </c>
      <c r="R41" s="40">
        <v>0</v>
      </c>
      <c r="S41" s="40">
        <v>0</v>
      </c>
      <c r="T41" s="40">
        <v>0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</row>
    <row r="42" spans="1:26" s="16" customFormat="1" x14ac:dyDescent="0.25">
      <c r="A42" s="2" t="s">
        <v>61</v>
      </c>
      <c r="B42" s="40">
        <v>0</v>
      </c>
      <c r="C42" s="40">
        <v>0</v>
      </c>
      <c r="D42" s="40">
        <v>0</v>
      </c>
      <c r="E42" s="40">
        <v>1E-3</v>
      </c>
      <c r="F42" s="40">
        <v>0</v>
      </c>
      <c r="G42" s="40">
        <v>0</v>
      </c>
      <c r="H42" s="40">
        <v>0</v>
      </c>
      <c r="I42" s="40">
        <v>0</v>
      </c>
      <c r="J42" s="40">
        <v>0</v>
      </c>
      <c r="K42" s="40">
        <v>0</v>
      </c>
      <c r="L42" s="40">
        <v>0</v>
      </c>
      <c r="M42" s="40">
        <v>0</v>
      </c>
      <c r="N42" s="40">
        <v>0</v>
      </c>
      <c r="O42" s="40">
        <v>0</v>
      </c>
      <c r="P42" s="40">
        <v>0</v>
      </c>
      <c r="Q42" s="40">
        <v>3.0944000000000003</v>
      </c>
      <c r="R42" s="40">
        <v>101.932</v>
      </c>
      <c r="S42" s="40">
        <v>0</v>
      </c>
      <c r="T42" s="40">
        <v>0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</row>
    <row r="43" spans="1:26" s="16" customFormat="1" x14ac:dyDescent="0.25">
      <c r="A43" s="2" t="s">
        <v>62</v>
      </c>
      <c r="B43" s="40">
        <v>0</v>
      </c>
      <c r="C43" s="40">
        <v>0</v>
      </c>
      <c r="D43" s="40">
        <v>0</v>
      </c>
      <c r="E43" s="40">
        <v>0</v>
      </c>
      <c r="F43" s="40">
        <v>0</v>
      </c>
      <c r="G43" s="40">
        <v>0</v>
      </c>
      <c r="H43" s="40">
        <v>0</v>
      </c>
      <c r="I43" s="40">
        <v>0</v>
      </c>
      <c r="J43" s="40">
        <v>0</v>
      </c>
      <c r="K43" s="40">
        <v>0</v>
      </c>
      <c r="L43" s="40">
        <v>40.576999999999998</v>
      </c>
      <c r="M43" s="40">
        <v>8.6245499999999993</v>
      </c>
      <c r="N43" s="40">
        <v>0</v>
      </c>
      <c r="O43" s="40">
        <v>0</v>
      </c>
      <c r="P43" s="40">
        <v>0</v>
      </c>
      <c r="Q43" s="40">
        <v>163.49120000000002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</row>
    <row r="44" spans="1:26" s="16" customFormat="1" x14ac:dyDescent="0.25">
      <c r="A44" s="2" t="s">
        <v>63</v>
      </c>
      <c r="B44" s="40">
        <v>0</v>
      </c>
      <c r="C44" s="40">
        <v>0</v>
      </c>
      <c r="D44" s="40">
        <v>0</v>
      </c>
      <c r="E44" s="40">
        <v>0</v>
      </c>
      <c r="F44" s="40">
        <v>0</v>
      </c>
      <c r="G44" s="40">
        <v>0</v>
      </c>
      <c r="H44" s="40">
        <v>0</v>
      </c>
      <c r="I44" s="40">
        <v>0</v>
      </c>
      <c r="J44" s="40">
        <v>0</v>
      </c>
      <c r="K44" s="40">
        <v>0</v>
      </c>
      <c r="L44" s="40">
        <v>0</v>
      </c>
      <c r="M44" s="40">
        <v>0</v>
      </c>
      <c r="N44" s="40">
        <v>0</v>
      </c>
      <c r="O44" s="40">
        <v>0</v>
      </c>
      <c r="P44" s="40">
        <v>0</v>
      </c>
      <c r="Q44" s="40">
        <v>0</v>
      </c>
      <c r="R44" s="40">
        <v>0</v>
      </c>
      <c r="S44" s="40">
        <v>0</v>
      </c>
      <c r="T44" s="40">
        <v>0</v>
      </c>
      <c r="U44" s="40">
        <v>0</v>
      </c>
      <c r="V44" s="40">
        <v>0</v>
      </c>
      <c r="W44" s="40">
        <v>0</v>
      </c>
      <c r="X44" s="40">
        <v>0</v>
      </c>
      <c r="Y44" s="40">
        <v>0</v>
      </c>
      <c r="Z44" s="40">
        <v>0</v>
      </c>
    </row>
    <row r="45" spans="1:26" s="16" customFormat="1" x14ac:dyDescent="0.25">
      <c r="A45" s="2" t="s">
        <v>64</v>
      </c>
      <c r="B45" s="40">
        <v>0</v>
      </c>
      <c r="C45" s="40">
        <v>0</v>
      </c>
      <c r="D45" s="40">
        <v>0</v>
      </c>
      <c r="E45" s="40">
        <v>0</v>
      </c>
      <c r="F45" s="40">
        <v>140</v>
      </c>
      <c r="G45" s="40">
        <v>0</v>
      </c>
      <c r="H45" s="40">
        <v>0</v>
      </c>
      <c r="I45" s="40">
        <v>0</v>
      </c>
      <c r="J45" s="40">
        <v>0</v>
      </c>
      <c r="K45" s="40">
        <v>47.201650000000001</v>
      </c>
      <c r="L45" s="40">
        <v>50.401199999999996</v>
      </c>
      <c r="M45" s="40">
        <v>23.864150000000002</v>
      </c>
      <c r="N45" s="40">
        <v>0</v>
      </c>
      <c r="O45" s="40">
        <v>0</v>
      </c>
      <c r="P45" s="40">
        <v>59</v>
      </c>
      <c r="Q45" s="40">
        <v>0.90239999999999998</v>
      </c>
      <c r="R45" s="40">
        <v>0</v>
      </c>
      <c r="S45" s="40">
        <v>0</v>
      </c>
      <c r="T45" s="40">
        <v>0</v>
      </c>
      <c r="U45" s="40">
        <v>0</v>
      </c>
      <c r="V45" s="40">
        <v>0</v>
      </c>
      <c r="W45" s="40">
        <v>0</v>
      </c>
      <c r="X45" s="40">
        <v>0</v>
      </c>
      <c r="Y45" s="40">
        <v>0</v>
      </c>
      <c r="Z45" s="40">
        <v>0</v>
      </c>
    </row>
    <row r="46" spans="1:26" s="16" customFormat="1" x14ac:dyDescent="0.25">
      <c r="A46" s="2" t="s">
        <v>65</v>
      </c>
      <c r="B46" s="40">
        <v>0</v>
      </c>
      <c r="C46" s="40">
        <v>0</v>
      </c>
      <c r="D46" s="40">
        <v>0</v>
      </c>
      <c r="E46" s="40">
        <v>0</v>
      </c>
      <c r="F46" s="40">
        <v>0</v>
      </c>
      <c r="G46" s="40">
        <v>0</v>
      </c>
      <c r="H46" s="40">
        <v>0</v>
      </c>
      <c r="I46" s="40">
        <v>0</v>
      </c>
      <c r="J46" s="40">
        <v>0</v>
      </c>
      <c r="K46" s="40">
        <v>0</v>
      </c>
      <c r="L46" s="40">
        <v>0</v>
      </c>
      <c r="M46" s="40">
        <v>0</v>
      </c>
      <c r="N46" s="40">
        <v>0</v>
      </c>
      <c r="O46" s="40">
        <v>0</v>
      </c>
      <c r="P46" s="40">
        <v>0</v>
      </c>
      <c r="Q46" s="40">
        <v>35.484000000000002</v>
      </c>
      <c r="R46" s="40">
        <v>0</v>
      </c>
      <c r="S46" s="40">
        <v>0</v>
      </c>
      <c r="T46" s="40">
        <v>0</v>
      </c>
      <c r="U46" s="40">
        <v>0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</row>
    <row r="47" spans="1:26" s="16" customFormat="1" x14ac:dyDescent="0.25">
      <c r="A47" s="2" t="s">
        <v>66</v>
      </c>
      <c r="B47" s="40">
        <v>0</v>
      </c>
      <c r="C47" s="40">
        <v>0</v>
      </c>
      <c r="D47" s="40">
        <v>0</v>
      </c>
      <c r="E47" s="40">
        <v>0</v>
      </c>
      <c r="F47" s="40">
        <v>0</v>
      </c>
      <c r="G47" s="40">
        <v>0</v>
      </c>
      <c r="H47" s="40">
        <v>0</v>
      </c>
      <c r="I47" s="40">
        <v>0</v>
      </c>
      <c r="J47" s="40">
        <v>0</v>
      </c>
      <c r="K47" s="40">
        <v>39.800550000000001</v>
      </c>
      <c r="L47" s="40">
        <v>67.992550000000008</v>
      </c>
      <c r="M47" s="40">
        <v>0</v>
      </c>
      <c r="N47" s="40">
        <v>0</v>
      </c>
      <c r="O47" s="40">
        <v>0</v>
      </c>
      <c r="P47" s="40">
        <v>80</v>
      </c>
      <c r="Q47" s="40">
        <v>89.193799999999996</v>
      </c>
      <c r="R47" s="40">
        <v>262.37279999999998</v>
      </c>
      <c r="S47" s="40">
        <v>0</v>
      </c>
      <c r="T47" s="40">
        <v>0</v>
      </c>
      <c r="U47" s="40">
        <v>0</v>
      </c>
      <c r="V47" s="40">
        <v>0</v>
      </c>
      <c r="W47" s="40">
        <v>0</v>
      </c>
      <c r="X47" s="40">
        <v>0</v>
      </c>
      <c r="Y47" s="40">
        <v>0</v>
      </c>
      <c r="Z47" s="40">
        <v>0</v>
      </c>
    </row>
    <row r="48" spans="1:26" s="16" customFormat="1" x14ac:dyDescent="0.25">
      <c r="A48" s="2" t="s">
        <v>67</v>
      </c>
      <c r="B48" s="40">
        <v>0</v>
      </c>
      <c r="C48" s="40">
        <v>0</v>
      </c>
      <c r="D48" s="40">
        <v>0</v>
      </c>
      <c r="E48" s="40">
        <v>0</v>
      </c>
      <c r="F48" s="40">
        <v>0</v>
      </c>
      <c r="G48" s="40">
        <v>0</v>
      </c>
      <c r="H48" s="40">
        <v>0</v>
      </c>
      <c r="I48" s="40">
        <v>0</v>
      </c>
      <c r="J48" s="40">
        <v>0</v>
      </c>
      <c r="K48" s="40">
        <v>0</v>
      </c>
      <c r="L48" s="40">
        <v>608.35533999999996</v>
      </c>
      <c r="M48" s="40">
        <v>25</v>
      </c>
      <c r="N48" s="40">
        <v>200</v>
      </c>
      <c r="O48" s="40">
        <v>0</v>
      </c>
      <c r="P48" s="40">
        <v>0</v>
      </c>
      <c r="Q48" s="40">
        <v>0.32135000000000002</v>
      </c>
      <c r="R48" s="40">
        <v>456.91741999999999</v>
      </c>
      <c r="S48" s="40">
        <v>0</v>
      </c>
      <c r="T48" s="40">
        <v>0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</row>
    <row r="49" spans="1:26" s="16" customFormat="1" x14ac:dyDescent="0.25">
      <c r="A49" s="2" t="s">
        <v>68</v>
      </c>
      <c r="B49" s="40">
        <v>0</v>
      </c>
      <c r="C49" s="40">
        <v>0</v>
      </c>
      <c r="D49" s="40">
        <v>0</v>
      </c>
      <c r="E49" s="40">
        <v>0</v>
      </c>
      <c r="F49" s="40">
        <v>0</v>
      </c>
      <c r="G49" s="40">
        <v>0</v>
      </c>
      <c r="H49" s="40">
        <v>0</v>
      </c>
      <c r="I49" s="40">
        <v>0</v>
      </c>
      <c r="J49" s="40">
        <v>0</v>
      </c>
      <c r="K49" s="40">
        <v>0</v>
      </c>
      <c r="L49" s="40">
        <v>0</v>
      </c>
      <c r="M49" s="40">
        <v>0</v>
      </c>
      <c r="N49" s="40">
        <v>0</v>
      </c>
      <c r="O49" s="40">
        <v>0</v>
      </c>
      <c r="P49" s="40">
        <v>0</v>
      </c>
      <c r="Q49" s="40">
        <v>0</v>
      </c>
      <c r="R49" s="40">
        <v>0</v>
      </c>
      <c r="S49" s="40">
        <v>0</v>
      </c>
      <c r="T49" s="40">
        <v>0</v>
      </c>
      <c r="U49" s="40">
        <v>0</v>
      </c>
      <c r="V49" s="40">
        <v>0</v>
      </c>
      <c r="W49" s="40">
        <v>0</v>
      </c>
      <c r="X49" s="40">
        <v>0</v>
      </c>
      <c r="Y49" s="40">
        <v>0</v>
      </c>
      <c r="Z49" s="40">
        <v>0</v>
      </c>
    </row>
    <row r="50" spans="1:26" s="16" customFormat="1" x14ac:dyDescent="0.25">
      <c r="A50" s="2" t="s">
        <v>69</v>
      </c>
      <c r="B50" s="40">
        <v>0</v>
      </c>
      <c r="C50" s="40">
        <v>0</v>
      </c>
      <c r="D50" s="40">
        <v>0</v>
      </c>
      <c r="E50" s="40">
        <v>0</v>
      </c>
      <c r="F50" s="40">
        <v>0</v>
      </c>
      <c r="G50" s="40">
        <v>0</v>
      </c>
      <c r="H50" s="40">
        <v>0</v>
      </c>
      <c r="I50" s="40">
        <v>0</v>
      </c>
      <c r="J50" s="40">
        <v>0</v>
      </c>
      <c r="K50" s="40">
        <v>103.8813</v>
      </c>
      <c r="L50" s="40">
        <v>143.97560000000001</v>
      </c>
      <c r="M50" s="40">
        <v>0</v>
      </c>
      <c r="N50" s="40">
        <v>0</v>
      </c>
      <c r="O50" s="40">
        <v>0</v>
      </c>
      <c r="P50" s="40">
        <v>0</v>
      </c>
      <c r="Q50" s="40">
        <v>62.223500000000001</v>
      </c>
      <c r="R50" s="40">
        <v>39.75</v>
      </c>
      <c r="S50" s="40">
        <v>0</v>
      </c>
      <c r="T50" s="40">
        <v>0</v>
      </c>
      <c r="U50" s="40">
        <v>0</v>
      </c>
      <c r="V50" s="40">
        <v>22</v>
      </c>
      <c r="W50" s="40">
        <v>0</v>
      </c>
      <c r="X50" s="40">
        <v>0</v>
      </c>
      <c r="Y50" s="40">
        <v>0</v>
      </c>
      <c r="Z50" s="40">
        <v>0</v>
      </c>
    </row>
    <row r="51" spans="1:26" s="16" customFormat="1" x14ac:dyDescent="0.25">
      <c r="A51" s="2" t="s">
        <v>12</v>
      </c>
      <c r="B51" s="40">
        <v>0</v>
      </c>
      <c r="C51" s="40">
        <v>0</v>
      </c>
      <c r="D51" s="40">
        <v>0</v>
      </c>
      <c r="E51" s="40">
        <v>0</v>
      </c>
      <c r="F51" s="40">
        <v>0</v>
      </c>
      <c r="G51" s="40">
        <v>0</v>
      </c>
      <c r="H51" s="40">
        <v>0</v>
      </c>
      <c r="I51" s="40">
        <v>0</v>
      </c>
      <c r="J51" s="40">
        <v>0</v>
      </c>
      <c r="K51" s="40">
        <v>0</v>
      </c>
      <c r="L51" s="40">
        <v>0</v>
      </c>
      <c r="M51" s="40">
        <v>0</v>
      </c>
      <c r="N51" s="40">
        <v>0</v>
      </c>
      <c r="O51" s="40">
        <v>0</v>
      </c>
      <c r="P51" s="40">
        <v>0</v>
      </c>
      <c r="Q51" s="40">
        <v>0</v>
      </c>
      <c r="R51" s="40">
        <v>0</v>
      </c>
      <c r="S51" s="40">
        <v>0</v>
      </c>
      <c r="T51" s="40">
        <v>0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</row>
    <row r="52" spans="1:26" s="16" customFormat="1" x14ac:dyDescent="0.25">
      <c r="A52" s="2" t="s">
        <v>70</v>
      </c>
      <c r="B52" s="40">
        <v>27.36</v>
      </c>
      <c r="C52" s="40">
        <v>0</v>
      </c>
      <c r="D52" s="40">
        <v>0</v>
      </c>
      <c r="E52" s="40">
        <v>0</v>
      </c>
      <c r="F52" s="40">
        <v>0</v>
      </c>
      <c r="G52" s="40">
        <v>0</v>
      </c>
      <c r="H52" s="40">
        <v>0</v>
      </c>
      <c r="I52" s="40">
        <v>0</v>
      </c>
      <c r="J52" s="40">
        <v>0</v>
      </c>
      <c r="K52" s="40">
        <v>0</v>
      </c>
      <c r="L52" s="40">
        <v>13.928000000000001</v>
      </c>
      <c r="M52" s="40">
        <v>0</v>
      </c>
      <c r="N52" s="40">
        <v>0</v>
      </c>
      <c r="O52" s="40">
        <v>0</v>
      </c>
      <c r="P52" s="40">
        <v>0</v>
      </c>
      <c r="Q52" s="40">
        <v>0</v>
      </c>
      <c r="R52" s="40">
        <v>5.8849999999999998</v>
      </c>
      <c r="S52" s="40">
        <v>0</v>
      </c>
      <c r="T52" s="40">
        <v>0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</row>
    <row r="53" spans="1:26" s="16" customFormat="1" x14ac:dyDescent="0.25">
      <c r="A53" s="2" t="s">
        <v>71</v>
      </c>
      <c r="B53" s="40">
        <v>0</v>
      </c>
      <c r="C53" s="40">
        <v>0</v>
      </c>
      <c r="D53" s="40">
        <v>0</v>
      </c>
      <c r="E53" s="40">
        <v>0</v>
      </c>
      <c r="F53" s="40">
        <v>0</v>
      </c>
      <c r="G53" s="40">
        <v>0</v>
      </c>
      <c r="H53" s="40">
        <v>0</v>
      </c>
      <c r="I53" s="40">
        <v>0</v>
      </c>
      <c r="J53" s="40">
        <v>0</v>
      </c>
      <c r="K53" s="40">
        <v>0</v>
      </c>
      <c r="L53" s="40">
        <v>499.15</v>
      </c>
      <c r="M53" s="40">
        <v>0</v>
      </c>
      <c r="N53" s="40">
        <v>0</v>
      </c>
      <c r="O53" s="40">
        <v>0</v>
      </c>
      <c r="P53" s="40">
        <v>0</v>
      </c>
      <c r="Q53" s="40">
        <v>136.56909999999999</v>
      </c>
      <c r="R53" s="40">
        <v>0</v>
      </c>
      <c r="S53" s="40">
        <v>0</v>
      </c>
      <c r="T53" s="40">
        <v>0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</row>
    <row r="54" spans="1:26" s="16" customFormat="1" x14ac:dyDescent="0.25">
      <c r="A54" s="2" t="s">
        <v>72</v>
      </c>
      <c r="B54" s="40">
        <v>0</v>
      </c>
      <c r="C54" s="40">
        <v>0</v>
      </c>
      <c r="D54" s="40">
        <v>0</v>
      </c>
      <c r="E54" s="40">
        <v>0</v>
      </c>
      <c r="F54" s="40">
        <v>0</v>
      </c>
      <c r="G54" s="40">
        <v>0</v>
      </c>
      <c r="H54" s="40">
        <v>0</v>
      </c>
      <c r="I54" s="40">
        <v>0</v>
      </c>
      <c r="J54" s="40">
        <v>0</v>
      </c>
      <c r="K54" s="40">
        <v>26.072650000000003</v>
      </c>
      <c r="L54" s="40">
        <v>521.40970000000004</v>
      </c>
      <c r="M54" s="40">
        <v>0</v>
      </c>
      <c r="N54" s="40">
        <v>0</v>
      </c>
      <c r="O54" s="40">
        <v>0</v>
      </c>
      <c r="P54" s="40">
        <v>0</v>
      </c>
      <c r="Q54" s="40">
        <v>0</v>
      </c>
      <c r="R54" s="40">
        <v>61.191549999999999</v>
      </c>
      <c r="S54" s="40">
        <v>0</v>
      </c>
      <c r="T54" s="40">
        <v>0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</row>
    <row r="55" spans="1:26" s="16" customFormat="1" x14ac:dyDescent="0.25">
      <c r="A55" s="2" t="s">
        <v>13</v>
      </c>
      <c r="B55" s="40">
        <v>0</v>
      </c>
      <c r="C55" s="40">
        <v>0</v>
      </c>
      <c r="D55" s="40">
        <v>0</v>
      </c>
      <c r="E55" s="40">
        <v>0</v>
      </c>
      <c r="F55" s="40">
        <v>0</v>
      </c>
      <c r="G55" s="40">
        <v>0</v>
      </c>
      <c r="H55" s="40">
        <v>0</v>
      </c>
      <c r="I55" s="40">
        <v>0</v>
      </c>
      <c r="J55" s="40">
        <v>0</v>
      </c>
      <c r="K55" s="40">
        <v>0</v>
      </c>
      <c r="L55" s="40">
        <v>228.25092999999998</v>
      </c>
      <c r="M55" s="40">
        <v>0</v>
      </c>
      <c r="N55" s="40">
        <v>0</v>
      </c>
      <c r="O55" s="40">
        <v>0</v>
      </c>
      <c r="P55" s="40">
        <v>0</v>
      </c>
      <c r="Q55" s="40">
        <v>50.70355</v>
      </c>
      <c r="R55" s="40">
        <v>26.773150000000001</v>
      </c>
      <c r="S55" s="40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</row>
    <row r="56" spans="1:26" s="16" customFormat="1" x14ac:dyDescent="0.25">
      <c r="A56" s="2" t="s">
        <v>26</v>
      </c>
      <c r="B56" s="40">
        <v>0</v>
      </c>
      <c r="C56" s="40">
        <v>0</v>
      </c>
      <c r="D56" s="40">
        <v>0</v>
      </c>
      <c r="E56" s="40">
        <v>0</v>
      </c>
      <c r="F56" s="40">
        <v>0</v>
      </c>
      <c r="G56" s="40">
        <v>0</v>
      </c>
      <c r="H56" s="40">
        <v>0</v>
      </c>
      <c r="I56" s="40">
        <v>0</v>
      </c>
      <c r="J56" s="40">
        <v>0</v>
      </c>
      <c r="K56" s="40">
        <v>0</v>
      </c>
      <c r="L56" s="40">
        <v>187.03495000000001</v>
      </c>
      <c r="M56" s="40">
        <v>27.5</v>
      </c>
      <c r="N56" s="40">
        <v>0</v>
      </c>
      <c r="O56" s="40">
        <v>0</v>
      </c>
      <c r="P56" s="40">
        <v>140</v>
      </c>
      <c r="Q56" s="40">
        <v>0</v>
      </c>
      <c r="R56" s="40">
        <v>36.90663</v>
      </c>
      <c r="S56" s="40">
        <v>0</v>
      </c>
      <c r="T56" s="40">
        <v>0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</row>
    <row r="57" spans="1:26" s="16" customFormat="1" ht="12.75" customHeight="1" x14ac:dyDescent="0.25">
      <c r="A57" s="2" t="s">
        <v>73</v>
      </c>
      <c r="B57" s="40">
        <v>0</v>
      </c>
      <c r="C57" s="40">
        <v>0</v>
      </c>
      <c r="D57" s="40">
        <v>0</v>
      </c>
      <c r="E57" s="40">
        <v>0</v>
      </c>
      <c r="F57" s="40">
        <v>0</v>
      </c>
      <c r="G57" s="40">
        <v>0</v>
      </c>
      <c r="H57" s="40">
        <v>0</v>
      </c>
      <c r="I57" s="40">
        <v>0</v>
      </c>
      <c r="J57" s="40">
        <v>0</v>
      </c>
      <c r="K57" s="40">
        <v>0</v>
      </c>
      <c r="L57" s="40">
        <v>0</v>
      </c>
      <c r="M57" s="40">
        <v>0</v>
      </c>
      <c r="N57" s="40">
        <v>0</v>
      </c>
      <c r="O57" s="40">
        <v>0</v>
      </c>
      <c r="P57" s="40">
        <v>0</v>
      </c>
      <c r="Q57" s="40">
        <v>0</v>
      </c>
      <c r="R57" s="40">
        <v>0</v>
      </c>
      <c r="S57" s="40">
        <v>0</v>
      </c>
      <c r="T57" s="40">
        <v>0</v>
      </c>
      <c r="U57" s="40">
        <v>0</v>
      </c>
      <c r="V57" s="40">
        <v>0</v>
      </c>
      <c r="W57" s="40">
        <v>0</v>
      </c>
      <c r="X57" s="40">
        <v>0</v>
      </c>
      <c r="Y57" s="40">
        <v>0</v>
      </c>
      <c r="Z57" s="40">
        <v>0</v>
      </c>
    </row>
    <row r="58" spans="1:26" s="16" customFormat="1" x14ac:dyDescent="0.25">
      <c r="A58" s="2" t="s">
        <v>14</v>
      </c>
      <c r="B58" s="40">
        <v>0</v>
      </c>
      <c r="C58" s="40">
        <v>0</v>
      </c>
      <c r="D58" s="40">
        <v>0</v>
      </c>
      <c r="E58" s="40">
        <v>0</v>
      </c>
      <c r="F58" s="40">
        <v>0</v>
      </c>
      <c r="G58" s="40">
        <v>0</v>
      </c>
      <c r="H58" s="40">
        <v>0</v>
      </c>
      <c r="I58" s="40">
        <v>0</v>
      </c>
      <c r="J58" s="40">
        <v>0</v>
      </c>
      <c r="K58" s="40">
        <v>17.5</v>
      </c>
      <c r="L58" s="40">
        <v>2346.761</v>
      </c>
      <c r="M58" s="40">
        <v>11.965</v>
      </c>
      <c r="N58" s="40">
        <v>139.07304999999999</v>
      </c>
      <c r="O58" s="40">
        <v>1672.6034</v>
      </c>
      <c r="P58" s="40">
        <v>0</v>
      </c>
      <c r="Q58" s="40">
        <v>0</v>
      </c>
      <c r="R58" s="40">
        <v>265.89</v>
      </c>
      <c r="S58" s="40">
        <v>0</v>
      </c>
      <c r="T58" s="40">
        <v>0</v>
      </c>
      <c r="U58" s="40">
        <v>32.607999999999997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</row>
    <row r="59" spans="1:26" s="16" customFormat="1" x14ac:dyDescent="0.25">
      <c r="A59" s="2" t="s">
        <v>28</v>
      </c>
      <c r="B59" s="40">
        <v>0</v>
      </c>
      <c r="C59" s="40">
        <v>0</v>
      </c>
      <c r="D59" s="40">
        <v>0</v>
      </c>
      <c r="E59" s="40">
        <v>0</v>
      </c>
      <c r="F59" s="40">
        <v>0</v>
      </c>
      <c r="G59" s="40">
        <v>0</v>
      </c>
      <c r="H59" s="40">
        <v>0</v>
      </c>
      <c r="I59" s="40">
        <v>0</v>
      </c>
      <c r="J59" s="40">
        <v>0</v>
      </c>
      <c r="K59" s="40">
        <v>18.7</v>
      </c>
      <c r="L59" s="40">
        <v>1243.3491000000001</v>
      </c>
      <c r="M59" s="40">
        <v>50.840150000000001</v>
      </c>
      <c r="N59" s="40">
        <v>15.532999999999999</v>
      </c>
      <c r="O59" s="40">
        <v>1.8855500000000001</v>
      </c>
      <c r="P59" s="40">
        <v>0</v>
      </c>
      <c r="Q59" s="40">
        <v>911.89347999999995</v>
      </c>
      <c r="R59" s="40">
        <v>14.3527</v>
      </c>
      <c r="S59" s="40">
        <v>0</v>
      </c>
      <c r="T59" s="40">
        <v>0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</row>
    <row r="60" spans="1:26" s="16" customFormat="1" x14ac:dyDescent="0.25">
      <c r="A60" s="2" t="s">
        <v>29</v>
      </c>
      <c r="B60" s="40">
        <v>0</v>
      </c>
      <c r="C60" s="40">
        <v>0</v>
      </c>
      <c r="D60" s="40">
        <v>0</v>
      </c>
      <c r="E60" s="40">
        <v>0</v>
      </c>
      <c r="F60" s="40">
        <v>700</v>
      </c>
      <c r="G60" s="40">
        <v>7.7658000000000005</v>
      </c>
      <c r="H60" s="40">
        <v>133.30449999999999</v>
      </c>
      <c r="I60" s="40">
        <v>0</v>
      </c>
      <c r="J60" s="40">
        <v>0</v>
      </c>
      <c r="K60" s="40">
        <v>283.95415000000003</v>
      </c>
      <c r="L60" s="40">
        <v>2995.9856500000001</v>
      </c>
      <c r="M60" s="40">
        <v>0</v>
      </c>
      <c r="N60" s="40">
        <v>0</v>
      </c>
      <c r="O60" s="40">
        <v>0</v>
      </c>
      <c r="P60" s="40">
        <v>0</v>
      </c>
      <c r="Q60" s="40">
        <v>-172.91900000000001</v>
      </c>
      <c r="R60" s="40">
        <v>30</v>
      </c>
      <c r="S60" s="40">
        <v>0</v>
      </c>
      <c r="T60" s="40">
        <v>75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</row>
    <row r="61" spans="1:26" s="16" customFormat="1" x14ac:dyDescent="0.25">
      <c r="A61" s="2" t="s">
        <v>74</v>
      </c>
      <c r="B61" s="40">
        <v>0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326.99799999999999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</row>
    <row r="62" spans="1:26" s="16" customFormat="1" x14ac:dyDescent="0.25">
      <c r="A62" s="2" t="s">
        <v>75</v>
      </c>
      <c r="B62" s="40">
        <v>0</v>
      </c>
      <c r="C62" s="40">
        <v>0</v>
      </c>
      <c r="D62" s="40">
        <v>0</v>
      </c>
      <c r="E62" s="40">
        <v>0</v>
      </c>
      <c r="F62" s="40">
        <v>0</v>
      </c>
      <c r="G62" s="40">
        <v>0</v>
      </c>
      <c r="H62" s="40">
        <v>0</v>
      </c>
      <c r="I62" s="40">
        <v>0</v>
      </c>
      <c r="J62" s="40">
        <v>0</v>
      </c>
      <c r="K62" s="40">
        <v>1023.97815</v>
      </c>
      <c r="L62" s="40">
        <v>1354.64105</v>
      </c>
      <c r="M62" s="40">
        <v>102.20269999999999</v>
      </c>
      <c r="N62" s="40">
        <v>0</v>
      </c>
      <c r="O62" s="40">
        <v>33.300150000000002</v>
      </c>
      <c r="P62" s="40">
        <v>5</v>
      </c>
      <c r="Q62" s="40">
        <v>126.54430000000001</v>
      </c>
      <c r="R62" s="40">
        <v>175.93055999999999</v>
      </c>
      <c r="S62" s="40">
        <v>0</v>
      </c>
      <c r="T62" s="40">
        <v>0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</row>
    <row r="63" spans="1:26" s="16" customFormat="1" x14ac:dyDescent="0.25">
      <c r="A63" s="2" t="s">
        <v>76</v>
      </c>
      <c r="B63" s="40">
        <v>0</v>
      </c>
      <c r="C63" s="40">
        <v>0</v>
      </c>
      <c r="D63" s="40">
        <v>789</v>
      </c>
      <c r="E63" s="40">
        <v>0</v>
      </c>
      <c r="F63" s="40">
        <v>0</v>
      </c>
      <c r="G63" s="40">
        <v>11.579499999999999</v>
      </c>
      <c r="H63" s="40">
        <v>0</v>
      </c>
      <c r="I63" s="40">
        <v>0</v>
      </c>
      <c r="J63" s="40">
        <v>0</v>
      </c>
      <c r="K63" s="40">
        <v>0</v>
      </c>
      <c r="L63" s="40">
        <v>0</v>
      </c>
      <c r="M63" s="40">
        <v>0</v>
      </c>
      <c r="N63" s="40">
        <v>0</v>
      </c>
      <c r="O63" s="40">
        <v>0</v>
      </c>
      <c r="P63" s="40">
        <v>0</v>
      </c>
      <c r="Q63" s="40">
        <v>69.36760000000001</v>
      </c>
      <c r="R63" s="40">
        <v>144.67165</v>
      </c>
      <c r="S63" s="40">
        <v>0</v>
      </c>
      <c r="T63" s="40">
        <v>0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</row>
    <row r="64" spans="1:26" s="16" customFormat="1" x14ac:dyDescent="0.25">
      <c r="A64" s="2" t="s">
        <v>77</v>
      </c>
      <c r="B64" s="40">
        <v>0</v>
      </c>
      <c r="C64" s="40">
        <v>0</v>
      </c>
      <c r="D64" s="40">
        <v>0</v>
      </c>
      <c r="E64" s="40">
        <v>0</v>
      </c>
      <c r="F64" s="40">
        <v>0</v>
      </c>
      <c r="G64" s="40">
        <v>0</v>
      </c>
      <c r="H64" s="40">
        <v>0</v>
      </c>
      <c r="I64" s="40">
        <v>0</v>
      </c>
      <c r="J64" s="40">
        <v>0</v>
      </c>
      <c r="K64" s="40">
        <v>0</v>
      </c>
      <c r="L64" s="40">
        <v>0</v>
      </c>
      <c r="M64" s="40">
        <v>0</v>
      </c>
      <c r="N64" s="40">
        <v>0</v>
      </c>
      <c r="O64" s="40">
        <v>0</v>
      </c>
      <c r="P64" s="40">
        <v>0</v>
      </c>
      <c r="Q64" s="40">
        <v>0</v>
      </c>
      <c r="R64" s="40">
        <v>150</v>
      </c>
      <c r="S64" s="40">
        <v>0</v>
      </c>
      <c r="T64" s="40">
        <v>0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</row>
    <row r="65" spans="1:26" s="16" customFormat="1" ht="12.75" customHeight="1" x14ac:dyDescent="0.25">
      <c r="A65" s="2" t="s">
        <v>15</v>
      </c>
      <c r="B65" s="40">
        <v>0</v>
      </c>
      <c r="C65" s="40">
        <v>0</v>
      </c>
      <c r="D65" s="40">
        <v>0</v>
      </c>
      <c r="E65" s="40">
        <v>0</v>
      </c>
      <c r="F65" s="40">
        <v>0</v>
      </c>
      <c r="G65" s="40">
        <v>0</v>
      </c>
      <c r="H65" s="40">
        <v>0</v>
      </c>
      <c r="I65" s="40">
        <v>0</v>
      </c>
      <c r="J65" s="40">
        <v>0</v>
      </c>
      <c r="K65" s="40">
        <v>0</v>
      </c>
      <c r="L65" s="40">
        <v>97.106979999999993</v>
      </c>
      <c r="M65" s="40">
        <v>81.547149999999988</v>
      </c>
      <c r="N65" s="40">
        <v>0</v>
      </c>
      <c r="O65" s="40">
        <v>0</v>
      </c>
      <c r="P65" s="40">
        <v>0</v>
      </c>
      <c r="Q65" s="40">
        <v>815.47537</v>
      </c>
      <c r="R65" s="40">
        <v>0</v>
      </c>
      <c r="S65" s="40">
        <v>0</v>
      </c>
      <c r="T65" s="40">
        <v>0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</row>
    <row r="66" spans="1:26" s="16" customFormat="1" x14ac:dyDescent="0.25">
      <c r="A66" s="2" t="s">
        <v>78</v>
      </c>
      <c r="B66" s="40">
        <v>0</v>
      </c>
      <c r="C66" s="40">
        <v>0</v>
      </c>
      <c r="D66" s="40">
        <v>0</v>
      </c>
      <c r="E66" s="40">
        <v>0</v>
      </c>
      <c r="F66" s="40">
        <v>0</v>
      </c>
      <c r="G66" s="40">
        <v>0</v>
      </c>
      <c r="H66" s="40">
        <v>0</v>
      </c>
      <c r="I66" s="40">
        <v>0</v>
      </c>
      <c r="J66" s="40">
        <v>0</v>
      </c>
      <c r="K66" s="40">
        <v>40.89</v>
      </c>
      <c r="L66" s="40">
        <v>700.3818</v>
      </c>
      <c r="M66" s="40">
        <v>6.593</v>
      </c>
      <c r="N66" s="40">
        <v>0</v>
      </c>
      <c r="O66" s="40">
        <v>0</v>
      </c>
      <c r="P66" s="40">
        <v>0</v>
      </c>
      <c r="Q66" s="40">
        <v>0</v>
      </c>
      <c r="R66" s="40">
        <v>0</v>
      </c>
      <c r="S66" s="40">
        <v>0</v>
      </c>
      <c r="T66" s="40">
        <v>0</v>
      </c>
      <c r="U66" s="40">
        <v>48.478499999999997</v>
      </c>
      <c r="V66" s="40">
        <v>0</v>
      </c>
      <c r="W66" s="40">
        <v>0</v>
      </c>
      <c r="X66" s="40">
        <v>0</v>
      </c>
      <c r="Y66" s="40">
        <v>0</v>
      </c>
      <c r="Z66" s="40">
        <v>1</v>
      </c>
    </row>
    <row r="67" spans="1:26" s="16" customFormat="1" ht="12.75" customHeight="1" x14ac:dyDescent="0.25">
      <c r="A67" s="2" t="s">
        <v>16</v>
      </c>
      <c r="B67" s="40">
        <v>0</v>
      </c>
      <c r="C67" s="40">
        <v>0</v>
      </c>
      <c r="D67" s="40">
        <v>0</v>
      </c>
      <c r="E67" s="40">
        <v>0</v>
      </c>
      <c r="F67" s="40">
        <v>0</v>
      </c>
      <c r="G67" s="40">
        <v>0</v>
      </c>
      <c r="H67" s="40">
        <v>0</v>
      </c>
      <c r="I67" s="40">
        <v>0</v>
      </c>
      <c r="J67" s="40">
        <v>0</v>
      </c>
      <c r="K67" s="40">
        <v>0</v>
      </c>
      <c r="L67" s="40">
        <v>244.99985000000001</v>
      </c>
      <c r="M67" s="40">
        <v>0</v>
      </c>
      <c r="N67" s="40">
        <v>0</v>
      </c>
      <c r="O67" s="40">
        <v>783.62900000000002</v>
      </c>
      <c r="P67" s="40">
        <v>0</v>
      </c>
      <c r="Q67" s="40">
        <v>748.41869999999994</v>
      </c>
      <c r="R67" s="40">
        <v>134.4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</row>
    <row r="68" spans="1:26" s="16" customFormat="1" x14ac:dyDescent="0.25">
      <c r="A68" s="2" t="s">
        <v>79</v>
      </c>
      <c r="B68" s="40">
        <v>0</v>
      </c>
      <c r="C68" s="40">
        <v>0</v>
      </c>
      <c r="D68" s="40">
        <v>0</v>
      </c>
      <c r="E68" s="40">
        <v>0</v>
      </c>
      <c r="F68" s="40">
        <v>0</v>
      </c>
      <c r="G68" s="40">
        <v>0</v>
      </c>
      <c r="H68" s="40">
        <v>0</v>
      </c>
      <c r="I68" s="40">
        <v>0</v>
      </c>
      <c r="J68" s="40">
        <v>0</v>
      </c>
      <c r="K68" s="40">
        <v>0</v>
      </c>
      <c r="L68" s="40">
        <v>50.349139999999998</v>
      </c>
      <c r="M68" s="40">
        <v>0</v>
      </c>
      <c r="N68" s="40">
        <v>0</v>
      </c>
      <c r="O68" s="40">
        <v>0</v>
      </c>
      <c r="P68" s="40">
        <v>0</v>
      </c>
      <c r="Q68" s="40">
        <v>0</v>
      </c>
      <c r="R68" s="40">
        <v>0</v>
      </c>
      <c r="S68" s="40">
        <v>0</v>
      </c>
      <c r="T68" s="40">
        <v>0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0</v>
      </c>
    </row>
    <row r="69" spans="1:26" s="16" customFormat="1" x14ac:dyDescent="0.25">
      <c r="A69" s="2" t="s">
        <v>80</v>
      </c>
      <c r="B69" s="40">
        <v>0</v>
      </c>
      <c r="C69" s="40">
        <v>0</v>
      </c>
      <c r="D69" s="40">
        <v>0</v>
      </c>
      <c r="E69" s="40">
        <v>0</v>
      </c>
      <c r="F69" s="40">
        <v>0</v>
      </c>
      <c r="G69" s="40">
        <v>0</v>
      </c>
      <c r="H69" s="40">
        <v>0</v>
      </c>
      <c r="I69" s="40">
        <v>0</v>
      </c>
      <c r="J69" s="40">
        <v>0</v>
      </c>
      <c r="K69" s="40">
        <v>0</v>
      </c>
      <c r="L69" s="40">
        <v>0</v>
      </c>
      <c r="M69" s="40">
        <v>27.768249999999998</v>
      </c>
      <c r="N69" s="40">
        <v>0</v>
      </c>
      <c r="O69" s="40">
        <v>0</v>
      </c>
      <c r="P69" s="40">
        <v>0</v>
      </c>
      <c r="Q69" s="40">
        <v>5.7711999999999994</v>
      </c>
      <c r="R69" s="40">
        <v>626.68449999999996</v>
      </c>
      <c r="S69" s="40">
        <v>0</v>
      </c>
      <c r="T69" s="40">
        <v>0</v>
      </c>
      <c r="U69" s="40">
        <v>0</v>
      </c>
      <c r="V69" s="40">
        <v>0</v>
      </c>
      <c r="W69" s="40">
        <v>0</v>
      </c>
      <c r="X69" s="40">
        <v>0</v>
      </c>
      <c r="Y69" s="40">
        <v>0</v>
      </c>
      <c r="Z69" s="40">
        <v>0</v>
      </c>
    </row>
    <row r="70" spans="1:26" s="16" customFormat="1" x14ac:dyDescent="0.25">
      <c r="A70" s="2" t="s">
        <v>81</v>
      </c>
      <c r="B70" s="40">
        <v>0</v>
      </c>
      <c r="C70" s="40">
        <v>0</v>
      </c>
      <c r="D70" s="40">
        <v>0</v>
      </c>
      <c r="E70" s="40">
        <v>0</v>
      </c>
      <c r="F70" s="40">
        <v>0</v>
      </c>
      <c r="G70" s="40">
        <v>0</v>
      </c>
      <c r="H70" s="40">
        <v>0</v>
      </c>
      <c r="I70" s="40">
        <v>0</v>
      </c>
      <c r="J70" s="40">
        <v>0</v>
      </c>
      <c r="K70" s="40">
        <v>4.9241000000000001</v>
      </c>
      <c r="L70" s="40">
        <v>4.9241000000000001</v>
      </c>
      <c r="M70" s="40">
        <v>161.94274999999999</v>
      </c>
      <c r="N70" s="40">
        <v>0</v>
      </c>
      <c r="O70" s="40">
        <v>0</v>
      </c>
      <c r="P70" s="40">
        <v>63.9373</v>
      </c>
      <c r="Q70" s="40">
        <v>-3.4889999999999999</v>
      </c>
      <c r="R70" s="40">
        <v>32</v>
      </c>
      <c r="S70" s="40">
        <v>0</v>
      </c>
      <c r="T70" s="40">
        <v>0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</row>
    <row r="71" spans="1:26" s="16" customFormat="1" x14ac:dyDescent="0.25">
      <c r="A71" s="2" t="s">
        <v>17</v>
      </c>
      <c r="B71" s="40">
        <v>0</v>
      </c>
      <c r="C71" s="40">
        <v>0</v>
      </c>
      <c r="D71" s="40">
        <v>0</v>
      </c>
      <c r="E71" s="40">
        <v>0</v>
      </c>
      <c r="F71" s="40">
        <v>0</v>
      </c>
      <c r="G71" s="40">
        <v>0</v>
      </c>
      <c r="H71" s="40">
        <v>0</v>
      </c>
      <c r="I71" s="40">
        <v>0</v>
      </c>
      <c r="J71" s="40">
        <v>0</v>
      </c>
      <c r="K71" s="40">
        <v>0</v>
      </c>
      <c r="L71" s="40">
        <v>20.46</v>
      </c>
      <c r="M71" s="40">
        <v>0</v>
      </c>
      <c r="N71" s="40">
        <v>0</v>
      </c>
      <c r="O71" s="40">
        <v>0</v>
      </c>
      <c r="P71" s="40">
        <v>0</v>
      </c>
      <c r="Q71" s="40">
        <v>13.19595</v>
      </c>
      <c r="R71" s="40">
        <v>0</v>
      </c>
      <c r="S71" s="40">
        <v>0</v>
      </c>
      <c r="T71" s="40">
        <v>0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</row>
    <row r="72" spans="1:26" s="16" customFormat="1" x14ac:dyDescent="0.25">
      <c r="A72" s="2" t="s">
        <v>82</v>
      </c>
      <c r="B72" s="40">
        <v>0</v>
      </c>
      <c r="C72" s="40">
        <v>0</v>
      </c>
      <c r="D72" s="40">
        <v>0</v>
      </c>
      <c r="E72" s="40">
        <v>0</v>
      </c>
      <c r="F72" s="40">
        <v>0</v>
      </c>
      <c r="G72" s="40">
        <v>0</v>
      </c>
      <c r="H72" s="40">
        <v>0</v>
      </c>
      <c r="I72" s="40">
        <v>0</v>
      </c>
      <c r="J72" s="40">
        <v>0</v>
      </c>
      <c r="K72" s="40">
        <v>0</v>
      </c>
      <c r="L72" s="40">
        <v>570.70894999999996</v>
      </c>
      <c r="M72" s="40">
        <v>0</v>
      </c>
      <c r="N72" s="40">
        <v>0</v>
      </c>
      <c r="O72" s="40">
        <v>0</v>
      </c>
      <c r="P72" s="40">
        <v>0</v>
      </c>
      <c r="Q72" s="40">
        <v>1351.6383999999998</v>
      </c>
      <c r="R72" s="40">
        <v>14.16156</v>
      </c>
      <c r="S72" s="40">
        <v>0</v>
      </c>
      <c r="T72" s="40">
        <v>0</v>
      </c>
      <c r="U72" s="40">
        <v>0</v>
      </c>
      <c r="V72" s="40">
        <v>8.8000000000000007</v>
      </c>
      <c r="W72" s="40">
        <v>0</v>
      </c>
      <c r="X72" s="40">
        <v>0</v>
      </c>
      <c r="Y72" s="40">
        <v>0</v>
      </c>
      <c r="Z72" s="40">
        <v>0</v>
      </c>
    </row>
    <row r="73" spans="1:26" s="16" customFormat="1" x14ac:dyDescent="0.25">
      <c r="A73" s="2" t="s">
        <v>18</v>
      </c>
      <c r="B73" s="40">
        <v>0</v>
      </c>
      <c r="C73" s="40">
        <v>0</v>
      </c>
      <c r="D73" s="40">
        <v>0</v>
      </c>
      <c r="E73" s="40">
        <v>0</v>
      </c>
      <c r="F73" s="40">
        <v>0</v>
      </c>
      <c r="G73" s="40">
        <v>0</v>
      </c>
      <c r="H73" s="40">
        <v>0</v>
      </c>
      <c r="I73" s="40">
        <v>0</v>
      </c>
      <c r="J73" s="40">
        <v>0</v>
      </c>
      <c r="K73" s="40">
        <v>7.2070500000000006</v>
      </c>
      <c r="L73" s="40">
        <v>18.308949999999999</v>
      </c>
      <c r="M73" s="40">
        <v>60</v>
      </c>
      <c r="N73" s="40">
        <v>0</v>
      </c>
      <c r="O73" s="40">
        <v>0</v>
      </c>
      <c r="P73" s="40">
        <v>0</v>
      </c>
      <c r="Q73" s="40">
        <v>0</v>
      </c>
      <c r="R73" s="40">
        <v>0</v>
      </c>
      <c r="S73" s="40">
        <v>0</v>
      </c>
      <c r="T73" s="40">
        <v>0</v>
      </c>
      <c r="U73" s="40">
        <v>0</v>
      </c>
      <c r="V73" s="40">
        <v>0</v>
      </c>
      <c r="W73" s="40">
        <v>0</v>
      </c>
      <c r="X73" s="40">
        <v>0</v>
      </c>
      <c r="Y73" s="40">
        <v>0</v>
      </c>
      <c r="Z73" s="40">
        <v>0</v>
      </c>
    </row>
    <row r="74" spans="1:26" s="16" customFormat="1" x14ac:dyDescent="0.25">
      <c r="A74" s="2" t="s">
        <v>83</v>
      </c>
      <c r="B74" s="40">
        <v>0</v>
      </c>
      <c r="C74" s="40">
        <v>0</v>
      </c>
      <c r="D74" s="40">
        <v>0</v>
      </c>
      <c r="E74" s="40">
        <v>0</v>
      </c>
      <c r="F74" s="40">
        <v>0</v>
      </c>
      <c r="G74" s="40">
        <v>0</v>
      </c>
      <c r="H74" s="40">
        <v>0</v>
      </c>
      <c r="I74" s="40">
        <v>0</v>
      </c>
      <c r="J74" s="40">
        <v>0</v>
      </c>
      <c r="K74" s="40">
        <v>0</v>
      </c>
      <c r="L74" s="40">
        <v>454.95299999999997</v>
      </c>
      <c r="M74" s="40">
        <v>0</v>
      </c>
      <c r="N74" s="40">
        <v>0</v>
      </c>
      <c r="O74" s="40">
        <v>0</v>
      </c>
      <c r="P74" s="40">
        <v>0</v>
      </c>
      <c r="Q74" s="40">
        <v>0</v>
      </c>
      <c r="R74" s="40">
        <v>0</v>
      </c>
      <c r="S74" s="40">
        <v>0</v>
      </c>
      <c r="T74" s="40">
        <v>0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</row>
    <row r="75" spans="1:26" s="16" customFormat="1" x14ac:dyDescent="0.25">
      <c r="A75" s="2" t="s">
        <v>19</v>
      </c>
      <c r="B75" s="40">
        <v>0</v>
      </c>
      <c r="C75" s="40">
        <v>0</v>
      </c>
      <c r="D75" s="40">
        <v>0</v>
      </c>
      <c r="E75" s="40">
        <v>0</v>
      </c>
      <c r="F75" s="40">
        <v>0</v>
      </c>
      <c r="G75" s="40">
        <v>0</v>
      </c>
      <c r="H75" s="40">
        <v>0</v>
      </c>
      <c r="I75" s="40">
        <v>0</v>
      </c>
      <c r="J75" s="40">
        <v>0</v>
      </c>
      <c r="K75" s="40">
        <v>0</v>
      </c>
      <c r="L75" s="40">
        <v>312.73604999999998</v>
      </c>
      <c r="M75" s="40">
        <v>0</v>
      </c>
      <c r="N75" s="40">
        <v>0</v>
      </c>
      <c r="O75" s="40">
        <v>0</v>
      </c>
      <c r="P75" s="40">
        <v>0</v>
      </c>
      <c r="Q75" s="40">
        <v>0</v>
      </c>
      <c r="R75" s="40">
        <v>0</v>
      </c>
      <c r="S75" s="40">
        <v>0</v>
      </c>
      <c r="T75" s="40">
        <v>0</v>
      </c>
      <c r="U75" s="40">
        <v>0</v>
      </c>
      <c r="V75" s="40">
        <v>0</v>
      </c>
      <c r="W75" s="40">
        <v>0</v>
      </c>
      <c r="X75" s="40">
        <v>0</v>
      </c>
      <c r="Y75" s="40">
        <v>0</v>
      </c>
      <c r="Z75" s="40">
        <v>0</v>
      </c>
    </row>
    <row r="76" spans="1:26" s="16" customFormat="1" x14ac:dyDescent="0.25">
      <c r="A76" s="2" t="s">
        <v>84</v>
      </c>
      <c r="B76" s="40">
        <v>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18.416150000000002</v>
      </c>
      <c r="L76" s="40">
        <v>33.268000000000001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34.29045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</row>
    <row r="77" spans="1:26" s="16" customFormat="1" x14ac:dyDescent="0.25">
      <c r="A77" s="2" t="s">
        <v>85</v>
      </c>
      <c r="B77" s="40">
        <v>0</v>
      </c>
      <c r="C77" s="40">
        <v>0</v>
      </c>
      <c r="D77" s="40">
        <v>0</v>
      </c>
      <c r="E77" s="40">
        <v>0</v>
      </c>
      <c r="F77" s="40">
        <v>0</v>
      </c>
      <c r="G77" s="40">
        <v>0</v>
      </c>
      <c r="H77" s="40">
        <v>0</v>
      </c>
      <c r="I77" s="40">
        <v>0</v>
      </c>
      <c r="J77" s="40">
        <v>0</v>
      </c>
      <c r="K77" s="40">
        <v>0</v>
      </c>
      <c r="L77" s="40">
        <v>466.48599999999999</v>
      </c>
      <c r="M77" s="40">
        <v>30</v>
      </c>
      <c r="N77" s="40">
        <v>0</v>
      </c>
      <c r="O77" s="40">
        <v>0</v>
      </c>
      <c r="P77" s="40">
        <v>0</v>
      </c>
      <c r="Q77" s="40">
        <v>0</v>
      </c>
      <c r="R77" s="40">
        <v>0</v>
      </c>
      <c r="S77" s="40">
        <v>0</v>
      </c>
      <c r="T77" s="40">
        <v>0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</row>
    <row r="78" spans="1:26" s="16" customFormat="1" x14ac:dyDescent="0.25">
      <c r="A78" s="2" t="s">
        <v>86</v>
      </c>
      <c r="B78" s="40">
        <v>0</v>
      </c>
      <c r="C78" s="40">
        <v>0</v>
      </c>
      <c r="D78" s="40">
        <v>0</v>
      </c>
      <c r="E78" s="40">
        <v>0</v>
      </c>
      <c r="F78" s="40">
        <v>0</v>
      </c>
      <c r="G78" s="40">
        <v>0</v>
      </c>
      <c r="H78" s="40">
        <v>0</v>
      </c>
      <c r="I78" s="40">
        <v>0</v>
      </c>
      <c r="J78" s="40">
        <v>0</v>
      </c>
      <c r="K78" s="40">
        <v>0</v>
      </c>
      <c r="L78" s="40">
        <v>0</v>
      </c>
      <c r="M78" s="40">
        <v>0</v>
      </c>
      <c r="N78" s="40">
        <v>0</v>
      </c>
      <c r="O78" s="40">
        <v>0</v>
      </c>
      <c r="P78" s="40">
        <v>0</v>
      </c>
      <c r="Q78" s="40">
        <v>0</v>
      </c>
      <c r="R78" s="40">
        <v>0</v>
      </c>
      <c r="S78" s="40">
        <v>0</v>
      </c>
      <c r="T78" s="40">
        <v>0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</row>
    <row r="79" spans="1:26" s="16" customFormat="1" x14ac:dyDescent="0.25">
      <c r="A79" s="2" t="s">
        <v>20</v>
      </c>
      <c r="B79" s="40">
        <v>0</v>
      </c>
      <c r="C79" s="40">
        <v>0</v>
      </c>
      <c r="D79" s="40">
        <v>0</v>
      </c>
      <c r="E79" s="40">
        <v>0</v>
      </c>
      <c r="F79" s="40">
        <v>0</v>
      </c>
      <c r="G79" s="40">
        <v>0</v>
      </c>
      <c r="H79" s="40">
        <v>0</v>
      </c>
      <c r="I79" s="40">
        <v>0</v>
      </c>
      <c r="J79" s="40">
        <v>0</v>
      </c>
      <c r="K79" s="40">
        <v>30</v>
      </c>
      <c r="L79" s="40">
        <v>129.959</v>
      </c>
      <c r="M79" s="40">
        <v>0</v>
      </c>
      <c r="N79" s="40">
        <v>0</v>
      </c>
      <c r="O79" s="40">
        <v>0</v>
      </c>
      <c r="P79" s="40">
        <v>0</v>
      </c>
      <c r="Q79" s="40">
        <v>39.67698</v>
      </c>
      <c r="R79" s="40">
        <v>0</v>
      </c>
      <c r="S79" s="40">
        <v>0</v>
      </c>
      <c r="T79" s="40">
        <v>0</v>
      </c>
      <c r="U79" s="40">
        <v>0</v>
      </c>
      <c r="V79" s="40">
        <v>0</v>
      </c>
      <c r="W79" s="40">
        <v>0</v>
      </c>
      <c r="X79" s="40">
        <v>0</v>
      </c>
      <c r="Y79" s="40">
        <v>0</v>
      </c>
      <c r="Z79" s="40">
        <v>0</v>
      </c>
    </row>
    <row r="80" spans="1:26" s="16" customFormat="1" x14ac:dyDescent="0.25">
      <c r="A80" s="2" t="s">
        <v>87</v>
      </c>
      <c r="B80" s="40">
        <v>0</v>
      </c>
      <c r="C80" s="40">
        <v>0</v>
      </c>
      <c r="D80" s="40">
        <v>0</v>
      </c>
      <c r="E80" s="40">
        <v>0</v>
      </c>
      <c r="F80" s="40">
        <v>0</v>
      </c>
      <c r="G80" s="40">
        <v>0</v>
      </c>
      <c r="H80" s="40">
        <v>0</v>
      </c>
      <c r="I80" s="40">
        <v>0</v>
      </c>
      <c r="J80" s="40">
        <v>0</v>
      </c>
      <c r="K80" s="40">
        <v>0</v>
      </c>
      <c r="L80" s="40">
        <v>80.990139999999997</v>
      </c>
      <c r="M80" s="40">
        <v>0</v>
      </c>
      <c r="N80" s="40">
        <v>0</v>
      </c>
      <c r="O80" s="40">
        <v>0</v>
      </c>
      <c r="P80" s="40">
        <v>0</v>
      </c>
      <c r="Q80" s="40">
        <v>0</v>
      </c>
      <c r="R80" s="40">
        <v>0</v>
      </c>
      <c r="S80" s="40">
        <v>0</v>
      </c>
      <c r="T80" s="40">
        <v>0</v>
      </c>
      <c r="U80" s="40">
        <v>0</v>
      </c>
      <c r="V80" s="40">
        <v>0</v>
      </c>
      <c r="W80" s="40">
        <v>0</v>
      </c>
      <c r="X80" s="40">
        <v>0</v>
      </c>
      <c r="Y80" s="40">
        <v>0</v>
      </c>
      <c r="Z80" s="40">
        <v>0</v>
      </c>
    </row>
    <row r="81" spans="1:26" s="16" customFormat="1" x14ac:dyDescent="0.25">
      <c r="A81" s="2" t="s">
        <v>30</v>
      </c>
      <c r="B81" s="40">
        <v>0</v>
      </c>
      <c r="C81" s="40">
        <v>0</v>
      </c>
      <c r="D81" s="40">
        <v>0</v>
      </c>
      <c r="E81" s="40">
        <v>0</v>
      </c>
      <c r="F81" s="40">
        <v>0</v>
      </c>
      <c r="G81" s="40">
        <v>0</v>
      </c>
      <c r="H81" s="40">
        <v>0</v>
      </c>
      <c r="I81" s="40">
        <v>0</v>
      </c>
      <c r="J81" s="40">
        <v>0</v>
      </c>
      <c r="K81" s="40">
        <v>0</v>
      </c>
      <c r="L81" s="40">
        <v>20.05</v>
      </c>
      <c r="M81" s="40">
        <v>0</v>
      </c>
      <c r="N81" s="40">
        <v>0</v>
      </c>
      <c r="O81" s="40">
        <v>0</v>
      </c>
      <c r="P81" s="40">
        <v>0</v>
      </c>
      <c r="Q81" s="40">
        <v>0</v>
      </c>
      <c r="R81" s="40">
        <v>0</v>
      </c>
      <c r="S81" s="40">
        <v>0</v>
      </c>
      <c r="T81" s="40">
        <v>0</v>
      </c>
      <c r="U81" s="40">
        <v>0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</row>
    <row r="82" spans="1:26" s="16" customFormat="1" x14ac:dyDescent="0.25">
      <c r="A82" s="2" t="s">
        <v>88</v>
      </c>
      <c r="B82" s="40">
        <v>0</v>
      </c>
      <c r="C82" s="40">
        <v>0</v>
      </c>
      <c r="D82" s="40">
        <v>0</v>
      </c>
      <c r="E82" s="40">
        <v>0</v>
      </c>
      <c r="F82" s="40">
        <v>0</v>
      </c>
      <c r="G82" s="40">
        <v>0</v>
      </c>
      <c r="H82" s="40">
        <v>0</v>
      </c>
      <c r="I82" s="40">
        <v>0</v>
      </c>
      <c r="J82" s="40">
        <v>0</v>
      </c>
      <c r="K82" s="40">
        <v>37.130000000000003</v>
      </c>
      <c r="L82" s="40">
        <v>68.703999999999994</v>
      </c>
      <c r="M82" s="40">
        <v>58.475000000000001</v>
      </c>
      <c r="N82" s="40">
        <v>0</v>
      </c>
      <c r="O82" s="40">
        <v>0</v>
      </c>
      <c r="P82" s="40">
        <v>0</v>
      </c>
      <c r="Q82" s="40">
        <v>0</v>
      </c>
      <c r="R82" s="40">
        <v>15.117749999999999</v>
      </c>
      <c r="S82" s="40">
        <v>0</v>
      </c>
      <c r="T82" s="40">
        <v>0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</row>
    <row r="83" spans="1:26" s="16" customFormat="1" x14ac:dyDescent="0.25">
      <c r="A83" s="2" t="s">
        <v>89</v>
      </c>
      <c r="B83" s="40">
        <v>0</v>
      </c>
      <c r="C83" s="40">
        <v>0</v>
      </c>
      <c r="D83" s="40">
        <v>0</v>
      </c>
      <c r="E83" s="40">
        <v>0</v>
      </c>
      <c r="F83" s="40">
        <v>0</v>
      </c>
      <c r="G83" s="40">
        <v>0</v>
      </c>
      <c r="H83" s="40">
        <v>0</v>
      </c>
      <c r="I83" s="40">
        <v>0</v>
      </c>
      <c r="J83" s="40">
        <v>0</v>
      </c>
      <c r="K83" s="40">
        <v>0</v>
      </c>
      <c r="L83" s="40">
        <v>0</v>
      </c>
      <c r="M83" s="40">
        <v>0</v>
      </c>
      <c r="N83" s="40">
        <v>0</v>
      </c>
      <c r="O83" s="40">
        <v>0</v>
      </c>
      <c r="P83" s="40">
        <v>0</v>
      </c>
      <c r="Q83" s="40">
        <v>0</v>
      </c>
      <c r="R83" s="40">
        <v>64.257689999999997</v>
      </c>
      <c r="S83" s="40">
        <v>0</v>
      </c>
      <c r="T83" s="40">
        <v>0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</row>
    <row r="84" spans="1:26" s="16" customFormat="1" x14ac:dyDescent="0.25">
      <c r="A84" s="2" t="s">
        <v>90</v>
      </c>
      <c r="B84" s="40">
        <v>0</v>
      </c>
      <c r="C84" s="40">
        <v>0</v>
      </c>
      <c r="D84" s="40">
        <v>0</v>
      </c>
      <c r="E84" s="40">
        <v>0</v>
      </c>
      <c r="F84" s="40">
        <v>0</v>
      </c>
      <c r="G84" s="40">
        <v>0</v>
      </c>
      <c r="H84" s="40">
        <v>0</v>
      </c>
      <c r="I84" s="40">
        <v>0</v>
      </c>
      <c r="J84" s="40">
        <v>0</v>
      </c>
      <c r="K84" s="40">
        <v>0</v>
      </c>
      <c r="L84" s="40">
        <v>54.161000000000001</v>
      </c>
      <c r="M84" s="40">
        <v>0</v>
      </c>
      <c r="N84" s="40">
        <v>0</v>
      </c>
      <c r="O84" s="40">
        <v>0</v>
      </c>
      <c r="P84" s="40">
        <v>0</v>
      </c>
      <c r="Q84" s="40">
        <v>7.6892500000000004</v>
      </c>
      <c r="R84" s="40">
        <v>0</v>
      </c>
      <c r="S84" s="40">
        <v>0</v>
      </c>
      <c r="T84" s="40">
        <v>0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</row>
    <row r="85" spans="1:26" s="16" customFormat="1" x14ac:dyDescent="0.25">
      <c r="A85" s="2" t="s">
        <v>91</v>
      </c>
      <c r="B85" s="40">
        <v>0</v>
      </c>
      <c r="C85" s="40">
        <v>0</v>
      </c>
      <c r="D85" s="40">
        <v>0</v>
      </c>
      <c r="E85" s="40">
        <v>0</v>
      </c>
      <c r="F85" s="40">
        <v>0</v>
      </c>
      <c r="G85" s="40">
        <v>0</v>
      </c>
      <c r="H85" s="40">
        <v>0</v>
      </c>
      <c r="I85" s="40">
        <v>0</v>
      </c>
      <c r="J85" s="40">
        <v>0</v>
      </c>
      <c r="K85" s="40">
        <v>0</v>
      </c>
      <c r="L85" s="40">
        <v>0</v>
      </c>
      <c r="M85" s="40">
        <v>0</v>
      </c>
      <c r="N85" s="40">
        <v>0</v>
      </c>
      <c r="O85" s="40">
        <v>0</v>
      </c>
      <c r="P85" s="40">
        <v>36.5</v>
      </c>
      <c r="Q85" s="40">
        <v>0</v>
      </c>
      <c r="R85" s="40">
        <v>0</v>
      </c>
      <c r="S85" s="40">
        <v>0</v>
      </c>
      <c r="T85" s="40">
        <v>0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</row>
    <row r="86" spans="1:26" s="16" customFormat="1" x14ac:dyDescent="0.25">
      <c r="A86" s="2" t="s">
        <v>92</v>
      </c>
      <c r="B86" s="40">
        <v>0</v>
      </c>
      <c r="C86" s="40">
        <v>0</v>
      </c>
      <c r="D86" s="40">
        <v>0</v>
      </c>
      <c r="E86" s="40">
        <v>0</v>
      </c>
      <c r="F86" s="40">
        <v>0</v>
      </c>
      <c r="G86" s="40">
        <v>0</v>
      </c>
      <c r="H86" s="40">
        <v>0</v>
      </c>
      <c r="I86" s="40">
        <v>0</v>
      </c>
      <c r="J86" s="40">
        <v>0</v>
      </c>
      <c r="K86" s="40">
        <v>0</v>
      </c>
      <c r="L86" s="40">
        <v>0</v>
      </c>
      <c r="M86" s="40">
        <v>0</v>
      </c>
      <c r="N86" s="40">
        <v>0</v>
      </c>
      <c r="O86" s="40">
        <v>0</v>
      </c>
      <c r="P86" s="40">
        <v>0</v>
      </c>
      <c r="Q86" s="40">
        <v>0</v>
      </c>
      <c r="R86" s="40">
        <v>0</v>
      </c>
      <c r="S86" s="40">
        <v>0</v>
      </c>
      <c r="T86" s="40">
        <v>0</v>
      </c>
      <c r="U86" s="40">
        <v>0</v>
      </c>
      <c r="V86" s="40">
        <v>0</v>
      </c>
      <c r="W86" s="40">
        <v>0</v>
      </c>
      <c r="X86" s="40">
        <v>0</v>
      </c>
      <c r="Y86" s="40">
        <v>0</v>
      </c>
      <c r="Z86" s="40">
        <v>0</v>
      </c>
    </row>
    <row r="87" spans="1:26" s="16" customFormat="1" x14ac:dyDescent="0.25">
      <c r="A87" s="2" t="s">
        <v>93</v>
      </c>
      <c r="B87" s="40">
        <v>0</v>
      </c>
      <c r="C87" s="40">
        <v>0</v>
      </c>
      <c r="D87" s="40">
        <v>0</v>
      </c>
      <c r="E87" s="40">
        <v>0</v>
      </c>
      <c r="F87" s="40">
        <v>0</v>
      </c>
      <c r="G87" s="40">
        <v>0</v>
      </c>
      <c r="H87" s="40">
        <v>0</v>
      </c>
      <c r="I87" s="40">
        <v>0</v>
      </c>
      <c r="J87" s="40">
        <v>0</v>
      </c>
      <c r="K87" s="40">
        <v>0</v>
      </c>
      <c r="L87" s="40">
        <v>0</v>
      </c>
      <c r="M87" s="40">
        <v>0</v>
      </c>
      <c r="N87" s="40">
        <v>0</v>
      </c>
      <c r="O87" s="40">
        <v>0</v>
      </c>
      <c r="P87" s="40">
        <v>0</v>
      </c>
      <c r="Q87" s="40">
        <v>21.11505</v>
      </c>
      <c r="R87" s="40">
        <v>0</v>
      </c>
      <c r="S87" s="40">
        <v>0</v>
      </c>
      <c r="T87" s="40">
        <v>0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</row>
    <row r="88" spans="1:26" s="16" customFormat="1" ht="12.75" customHeight="1" x14ac:dyDescent="0.25">
      <c r="A88" s="2" t="s">
        <v>94</v>
      </c>
      <c r="B88" s="40">
        <v>0</v>
      </c>
      <c r="C88" s="40">
        <v>0</v>
      </c>
      <c r="D88" s="40">
        <v>0</v>
      </c>
      <c r="E88" s="40">
        <v>0</v>
      </c>
      <c r="F88" s="40">
        <v>0</v>
      </c>
      <c r="G88" s="40">
        <v>0</v>
      </c>
      <c r="H88" s="40">
        <v>0</v>
      </c>
      <c r="I88" s="40">
        <v>0</v>
      </c>
      <c r="J88" s="40">
        <v>0</v>
      </c>
      <c r="K88" s="40">
        <v>0</v>
      </c>
      <c r="L88" s="40">
        <v>0</v>
      </c>
      <c r="M88" s="40">
        <v>0</v>
      </c>
      <c r="N88" s="40">
        <v>0</v>
      </c>
      <c r="O88" s="40">
        <v>184.34120000000001</v>
      </c>
      <c r="P88" s="40">
        <v>0</v>
      </c>
      <c r="Q88" s="40">
        <v>0</v>
      </c>
      <c r="R88" s="40">
        <v>0</v>
      </c>
      <c r="S88" s="40">
        <v>0</v>
      </c>
      <c r="T88" s="40">
        <v>0</v>
      </c>
      <c r="U88" s="40">
        <v>0</v>
      </c>
      <c r="V88" s="40">
        <v>0</v>
      </c>
      <c r="W88" s="40">
        <v>0</v>
      </c>
      <c r="X88" s="40">
        <v>0</v>
      </c>
      <c r="Y88" s="40">
        <v>0</v>
      </c>
      <c r="Z88" s="40">
        <v>0</v>
      </c>
    </row>
    <row r="89" spans="1:26" s="16" customFormat="1" x14ac:dyDescent="0.25">
      <c r="A89" s="2" t="s">
        <v>95</v>
      </c>
      <c r="B89" s="40">
        <v>0</v>
      </c>
      <c r="C89" s="40">
        <v>0</v>
      </c>
      <c r="D89" s="40">
        <v>0</v>
      </c>
      <c r="E89" s="40">
        <v>0</v>
      </c>
      <c r="F89" s="40">
        <v>0</v>
      </c>
      <c r="G89" s="40">
        <v>0</v>
      </c>
      <c r="H89" s="40">
        <v>0</v>
      </c>
      <c r="I89" s="40">
        <v>0</v>
      </c>
      <c r="J89" s="40">
        <v>0</v>
      </c>
      <c r="K89" s="40">
        <v>0</v>
      </c>
      <c r="L89" s="40">
        <v>0</v>
      </c>
      <c r="M89" s="40">
        <v>0</v>
      </c>
      <c r="N89" s="40">
        <v>0</v>
      </c>
      <c r="O89" s="40">
        <v>0</v>
      </c>
      <c r="P89" s="40">
        <v>0</v>
      </c>
      <c r="Q89" s="40">
        <v>14.80875</v>
      </c>
      <c r="R89" s="40">
        <v>54.70617</v>
      </c>
      <c r="S89" s="40">
        <v>0</v>
      </c>
      <c r="T89" s="40">
        <v>0</v>
      </c>
      <c r="U89" s="40">
        <v>0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</row>
    <row r="90" spans="1:26" s="16" customFormat="1" x14ac:dyDescent="0.25">
      <c r="A90" s="2" t="s">
        <v>96</v>
      </c>
      <c r="B90" s="40">
        <v>0</v>
      </c>
      <c r="C90" s="40">
        <v>0</v>
      </c>
      <c r="D90" s="40">
        <v>0</v>
      </c>
      <c r="E90" s="40">
        <v>0</v>
      </c>
      <c r="F90" s="40">
        <v>0</v>
      </c>
      <c r="G90" s="40">
        <v>0</v>
      </c>
      <c r="H90" s="40">
        <v>0</v>
      </c>
      <c r="I90" s="40">
        <v>0</v>
      </c>
      <c r="J90" s="40">
        <v>0</v>
      </c>
      <c r="K90" s="40">
        <v>47.216300000000004</v>
      </c>
      <c r="L90" s="40">
        <v>142.72379999999998</v>
      </c>
      <c r="M90" s="40">
        <v>11.00515</v>
      </c>
      <c r="N90" s="40">
        <v>0</v>
      </c>
      <c r="O90" s="40">
        <v>0</v>
      </c>
      <c r="P90" s="40">
        <v>120</v>
      </c>
      <c r="Q90" s="40">
        <v>0</v>
      </c>
      <c r="R90" s="40">
        <v>0</v>
      </c>
      <c r="S90" s="40">
        <v>0</v>
      </c>
      <c r="T90" s="40">
        <v>0</v>
      </c>
      <c r="U90" s="40">
        <v>0</v>
      </c>
      <c r="V90" s="40">
        <v>0</v>
      </c>
      <c r="W90" s="40">
        <v>0</v>
      </c>
      <c r="X90" s="40">
        <v>0</v>
      </c>
      <c r="Y90" s="40">
        <v>0</v>
      </c>
      <c r="Z90" s="40">
        <v>0</v>
      </c>
    </row>
    <row r="91" spans="1:26" s="16" customFormat="1" x14ac:dyDescent="0.25">
      <c r="A91" s="2" t="s">
        <v>97</v>
      </c>
      <c r="B91" s="40">
        <v>0</v>
      </c>
      <c r="C91" s="40">
        <v>0</v>
      </c>
      <c r="D91" s="40">
        <v>0</v>
      </c>
      <c r="E91" s="40">
        <v>0</v>
      </c>
      <c r="F91" s="40">
        <v>0</v>
      </c>
      <c r="G91" s="40">
        <v>0</v>
      </c>
      <c r="H91" s="40">
        <v>0</v>
      </c>
      <c r="I91" s="40">
        <v>0</v>
      </c>
      <c r="J91" s="40">
        <v>0</v>
      </c>
      <c r="K91" s="40">
        <v>70</v>
      </c>
      <c r="L91" s="40">
        <v>147.57599999999999</v>
      </c>
      <c r="M91" s="40">
        <v>0</v>
      </c>
      <c r="N91" s="40">
        <v>0</v>
      </c>
      <c r="O91" s="40">
        <v>0</v>
      </c>
      <c r="P91" s="40">
        <v>0</v>
      </c>
      <c r="Q91" s="40">
        <v>-20.850650000000002</v>
      </c>
      <c r="R91" s="40">
        <v>0</v>
      </c>
      <c r="S91" s="40">
        <v>0</v>
      </c>
      <c r="T91" s="40">
        <v>0</v>
      </c>
      <c r="U91" s="40">
        <v>0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</row>
    <row r="92" spans="1:26" s="16" customFormat="1" ht="12.75" customHeight="1" x14ac:dyDescent="0.25">
      <c r="A92" s="2" t="s">
        <v>98</v>
      </c>
      <c r="B92" s="40">
        <v>0</v>
      </c>
      <c r="C92" s="40">
        <v>0</v>
      </c>
      <c r="D92" s="40">
        <v>0</v>
      </c>
      <c r="E92" s="40">
        <v>0</v>
      </c>
      <c r="F92" s="40">
        <v>0</v>
      </c>
      <c r="G92" s="40">
        <v>0</v>
      </c>
      <c r="H92" s="40">
        <v>0</v>
      </c>
      <c r="I92" s="40">
        <v>0</v>
      </c>
      <c r="J92" s="40">
        <v>0</v>
      </c>
      <c r="K92" s="40">
        <v>141.5386</v>
      </c>
      <c r="L92" s="40">
        <v>390.40370000000001</v>
      </c>
      <c r="M92" s="40">
        <v>0</v>
      </c>
      <c r="N92" s="40">
        <v>0</v>
      </c>
      <c r="O92" s="40">
        <v>0</v>
      </c>
      <c r="P92" s="40">
        <v>0</v>
      </c>
      <c r="Q92" s="40">
        <v>123.90635</v>
      </c>
      <c r="R92" s="40">
        <v>435.18128000000002</v>
      </c>
      <c r="S92" s="40">
        <v>0</v>
      </c>
      <c r="T92" s="40">
        <v>0</v>
      </c>
      <c r="U92" s="40">
        <v>0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</row>
    <row r="93" spans="1:26" s="16" customFormat="1" x14ac:dyDescent="0.25">
      <c r="A93" s="2" t="s">
        <v>99</v>
      </c>
      <c r="B93" s="40">
        <v>0</v>
      </c>
      <c r="C93" s="40">
        <v>0</v>
      </c>
      <c r="D93" s="40">
        <v>0</v>
      </c>
      <c r="E93" s="40">
        <v>0</v>
      </c>
      <c r="F93" s="40">
        <v>0</v>
      </c>
      <c r="G93" s="40">
        <v>0</v>
      </c>
      <c r="H93" s="40">
        <v>0</v>
      </c>
      <c r="I93" s="40">
        <v>0</v>
      </c>
      <c r="J93" s="40">
        <v>0</v>
      </c>
      <c r="K93" s="40">
        <v>31.842749999999999</v>
      </c>
      <c r="L93" s="40">
        <v>21.817900000000002</v>
      </c>
      <c r="M93" s="40">
        <v>0</v>
      </c>
      <c r="N93" s="40">
        <v>0</v>
      </c>
      <c r="O93" s="40">
        <v>0</v>
      </c>
      <c r="P93" s="40">
        <v>0</v>
      </c>
      <c r="Q93" s="40">
        <v>0</v>
      </c>
      <c r="R93" s="40">
        <v>0</v>
      </c>
      <c r="S93" s="40">
        <v>0</v>
      </c>
      <c r="T93" s="40">
        <v>0</v>
      </c>
      <c r="U93" s="40">
        <v>0</v>
      </c>
      <c r="V93" s="40">
        <v>0</v>
      </c>
      <c r="W93" s="40">
        <v>0</v>
      </c>
      <c r="X93" s="40">
        <v>0</v>
      </c>
      <c r="Y93" s="40">
        <v>0</v>
      </c>
      <c r="Z93" s="40">
        <v>0</v>
      </c>
    </row>
    <row r="94" spans="1:26" s="16" customFormat="1" x14ac:dyDescent="0.25">
      <c r="A94" s="2" t="s">
        <v>590</v>
      </c>
      <c r="B94" s="40">
        <v>0</v>
      </c>
      <c r="C94" s="40">
        <v>0</v>
      </c>
      <c r="D94" s="40">
        <v>0</v>
      </c>
      <c r="E94" s="40">
        <v>0</v>
      </c>
      <c r="F94" s="40">
        <v>0</v>
      </c>
      <c r="G94" s="40">
        <v>0</v>
      </c>
      <c r="H94" s="40">
        <v>0</v>
      </c>
      <c r="I94" s="40">
        <v>0</v>
      </c>
      <c r="J94" s="40">
        <v>0</v>
      </c>
      <c r="K94" s="40">
        <v>0</v>
      </c>
      <c r="L94" s="40">
        <v>0</v>
      </c>
      <c r="M94" s="40">
        <v>0</v>
      </c>
      <c r="N94" s="40">
        <v>0</v>
      </c>
      <c r="O94" s="40">
        <v>0</v>
      </c>
      <c r="P94" s="40">
        <v>4</v>
      </c>
      <c r="Q94" s="40">
        <v>72.782250000000005</v>
      </c>
      <c r="R94" s="40">
        <v>-13.011749999999999</v>
      </c>
      <c r="S94" s="40">
        <v>0</v>
      </c>
      <c r="T94" s="40">
        <v>0</v>
      </c>
      <c r="U94" s="40">
        <v>0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</row>
    <row r="95" spans="1:26" s="16" customFormat="1" ht="12.75" customHeight="1" x14ac:dyDescent="0.25">
      <c r="A95" s="2" t="s">
        <v>22</v>
      </c>
      <c r="B95" s="40">
        <v>0</v>
      </c>
      <c r="C95" s="40">
        <v>0</v>
      </c>
      <c r="D95" s="40">
        <v>0</v>
      </c>
      <c r="E95" s="40">
        <v>0</v>
      </c>
      <c r="F95" s="40">
        <v>0</v>
      </c>
      <c r="G95" s="40">
        <v>0</v>
      </c>
      <c r="H95" s="40">
        <v>0</v>
      </c>
      <c r="I95" s="40">
        <v>0</v>
      </c>
      <c r="J95" s="40">
        <v>0</v>
      </c>
      <c r="K95" s="40">
        <v>0</v>
      </c>
      <c r="L95" s="40">
        <v>804.73019999999997</v>
      </c>
      <c r="M95" s="40">
        <v>0</v>
      </c>
      <c r="N95" s="40">
        <v>0</v>
      </c>
      <c r="O95" s="40">
        <v>0</v>
      </c>
      <c r="P95" s="40">
        <v>0</v>
      </c>
      <c r="Q95" s="40">
        <v>0</v>
      </c>
      <c r="R95" s="40">
        <v>0</v>
      </c>
      <c r="S95" s="40">
        <v>0</v>
      </c>
      <c r="T95" s="40">
        <v>0</v>
      </c>
      <c r="U95" s="40">
        <v>0</v>
      </c>
      <c r="V95" s="40">
        <v>0</v>
      </c>
      <c r="W95" s="40">
        <v>0</v>
      </c>
      <c r="X95" s="40">
        <v>0</v>
      </c>
      <c r="Y95" s="40">
        <v>0</v>
      </c>
      <c r="Z95" s="40">
        <v>0</v>
      </c>
    </row>
    <row r="96" spans="1:26" s="16" customFormat="1" x14ac:dyDescent="0.25">
      <c r="A96" s="2" t="s">
        <v>100</v>
      </c>
      <c r="B96" s="40">
        <v>0</v>
      </c>
      <c r="C96" s="40">
        <v>0</v>
      </c>
      <c r="D96" s="40">
        <v>0</v>
      </c>
      <c r="E96" s="40">
        <v>0</v>
      </c>
      <c r="F96" s="40">
        <v>0</v>
      </c>
      <c r="G96" s="40">
        <v>0</v>
      </c>
      <c r="H96" s="40">
        <v>0</v>
      </c>
      <c r="I96" s="40">
        <v>0</v>
      </c>
      <c r="J96" s="40">
        <v>0</v>
      </c>
      <c r="K96" s="40">
        <v>0</v>
      </c>
      <c r="L96" s="40">
        <v>516.23590000000002</v>
      </c>
      <c r="M96" s="40">
        <v>0</v>
      </c>
      <c r="N96" s="40">
        <v>0</v>
      </c>
      <c r="O96" s="40">
        <v>0</v>
      </c>
      <c r="P96" s="40">
        <v>0</v>
      </c>
      <c r="Q96" s="40">
        <v>-0.73929999999999996</v>
      </c>
      <c r="R96" s="40">
        <v>83.264009999999999</v>
      </c>
      <c r="S96" s="40">
        <v>0</v>
      </c>
      <c r="T96" s="40">
        <v>0</v>
      </c>
      <c r="U96" s="40">
        <v>0</v>
      </c>
      <c r="V96" s="40">
        <v>0</v>
      </c>
      <c r="W96" s="40">
        <v>0</v>
      </c>
      <c r="X96" s="40">
        <v>0</v>
      </c>
      <c r="Y96" s="40">
        <v>0</v>
      </c>
      <c r="Z96" s="40">
        <v>0</v>
      </c>
    </row>
    <row r="97" spans="1:26" s="16" customFormat="1" ht="12.75" customHeight="1" x14ac:dyDescent="0.25">
      <c r="A97" s="2" t="s">
        <v>101</v>
      </c>
      <c r="B97" s="40">
        <v>0</v>
      </c>
      <c r="C97" s="40">
        <v>0</v>
      </c>
      <c r="D97" s="40">
        <v>0</v>
      </c>
      <c r="E97" s="40">
        <v>0</v>
      </c>
      <c r="F97" s="40">
        <v>0</v>
      </c>
      <c r="G97" s="40">
        <v>0</v>
      </c>
      <c r="H97" s="40">
        <v>0</v>
      </c>
      <c r="I97" s="40">
        <v>0</v>
      </c>
      <c r="J97" s="40">
        <v>0</v>
      </c>
      <c r="K97" s="40">
        <v>0</v>
      </c>
      <c r="L97" s="40">
        <v>75.789450000000002</v>
      </c>
      <c r="M97" s="40">
        <v>0</v>
      </c>
      <c r="N97" s="40">
        <v>0</v>
      </c>
      <c r="O97" s="40">
        <v>0</v>
      </c>
      <c r="P97" s="40">
        <v>0</v>
      </c>
      <c r="Q97" s="40">
        <v>0</v>
      </c>
      <c r="R97" s="40">
        <v>57.5</v>
      </c>
      <c r="S97" s="40">
        <v>0</v>
      </c>
      <c r="T97" s="40">
        <v>0</v>
      </c>
      <c r="U97" s="40">
        <v>0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</row>
    <row r="98" spans="1:26" s="16" customFormat="1" x14ac:dyDescent="0.25">
      <c r="A98" s="2" t="s">
        <v>23</v>
      </c>
      <c r="B98" s="40">
        <v>0</v>
      </c>
      <c r="C98" s="40">
        <v>0</v>
      </c>
      <c r="D98" s="40">
        <v>0</v>
      </c>
      <c r="E98" s="40">
        <v>0</v>
      </c>
      <c r="F98" s="40">
        <v>0</v>
      </c>
      <c r="G98" s="40">
        <v>0</v>
      </c>
      <c r="H98" s="40">
        <v>0</v>
      </c>
      <c r="I98" s="40">
        <v>0</v>
      </c>
      <c r="J98" s="40">
        <v>0</v>
      </c>
      <c r="K98" s="40">
        <v>0</v>
      </c>
      <c r="L98" s="40">
        <v>142.50135</v>
      </c>
      <c r="M98" s="40">
        <v>0</v>
      </c>
      <c r="N98" s="40">
        <v>0</v>
      </c>
      <c r="O98" s="40">
        <v>0</v>
      </c>
      <c r="P98" s="40">
        <v>67.725300000000004</v>
      </c>
      <c r="Q98" s="40">
        <v>319.90825000000001</v>
      </c>
      <c r="R98" s="40">
        <v>0</v>
      </c>
      <c r="S98" s="40">
        <v>0</v>
      </c>
      <c r="T98" s="40">
        <v>0</v>
      </c>
      <c r="U98" s="40">
        <v>0</v>
      </c>
      <c r="V98" s="40">
        <v>0</v>
      </c>
      <c r="W98" s="40">
        <v>0</v>
      </c>
      <c r="X98" s="40">
        <v>0</v>
      </c>
      <c r="Y98" s="40">
        <v>0</v>
      </c>
      <c r="Z98" s="40">
        <v>0</v>
      </c>
    </row>
    <row r="99" spans="1:26" s="16" customFormat="1" x14ac:dyDescent="0.25">
      <c r="A99" s="2" t="s">
        <v>102</v>
      </c>
      <c r="B99" s="40">
        <v>0</v>
      </c>
      <c r="C99" s="40">
        <v>0</v>
      </c>
      <c r="D99" s="40">
        <v>0</v>
      </c>
      <c r="E99" s="40">
        <v>0</v>
      </c>
      <c r="F99" s="40">
        <v>0</v>
      </c>
      <c r="G99" s="40">
        <v>0</v>
      </c>
      <c r="H99" s="40">
        <v>0</v>
      </c>
      <c r="I99" s="40">
        <v>0</v>
      </c>
      <c r="J99" s="40">
        <v>0</v>
      </c>
      <c r="K99" s="40">
        <v>0</v>
      </c>
      <c r="L99" s="40">
        <v>202.78035</v>
      </c>
      <c r="M99" s="40">
        <v>0</v>
      </c>
      <c r="N99" s="40">
        <v>0</v>
      </c>
      <c r="O99" s="40">
        <v>0</v>
      </c>
      <c r="P99" s="40">
        <v>0</v>
      </c>
      <c r="Q99" s="40">
        <v>517.30315000000007</v>
      </c>
      <c r="R99" s="40">
        <v>180.60310000000001</v>
      </c>
      <c r="S99" s="40">
        <v>0</v>
      </c>
      <c r="T99" s="40">
        <v>0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</row>
    <row r="100" spans="1:26" s="16" customFormat="1" x14ac:dyDescent="0.25">
      <c r="A100" s="2" t="s">
        <v>24</v>
      </c>
      <c r="B100" s="40">
        <v>0</v>
      </c>
      <c r="C100" s="40">
        <v>0</v>
      </c>
      <c r="D100" s="40">
        <v>0</v>
      </c>
      <c r="E100" s="40">
        <v>0</v>
      </c>
      <c r="F100" s="40">
        <v>0</v>
      </c>
      <c r="G100" s="40">
        <v>0</v>
      </c>
      <c r="H100" s="40">
        <v>0</v>
      </c>
      <c r="I100" s="40">
        <v>0</v>
      </c>
      <c r="J100" s="40">
        <v>0</v>
      </c>
      <c r="K100" s="40">
        <v>0</v>
      </c>
      <c r="L100" s="40">
        <v>0</v>
      </c>
      <c r="M100" s="40">
        <v>0</v>
      </c>
      <c r="N100" s="40">
        <v>0</v>
      </c>
      <c r="O100" s="40">
        <v>0</v>
      </c>
      <c r="P100" s="40">
        <v>0</v>
      </c>
      <c r="Q100" s="40">
        <v>380.15979999999996</v>
      </c>
      <c r="R100" s="40">
        <v>38.2727</v>
      </c>
      <c r="S100" s="40">
        <v>0</v>
      </c>
      <c r="T100" s="40">
        <v>0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</row>
    <row r="101" spans="1:26" s="16" customFormat="1" x14ac:dyDescent="0.25">
      <c r="A101" s="3" t="s">
        <v>103</v>
      </c>
      <c r="B101" s="40">
        <v>0</v>
      </c>
      <c r="C101" s="40">
        <v>0</v>
      </c>
      <c r="D101" s="40">
        <v>0</v>
      </c>
      <c r="E101" s="40">
        <v>0</v>
      </c>
      <c r="F101" s="40">
        <v>0</v>
      </c>
      <c r="G101" s="40">
        <v>0</v>
      </c>
      <c r="H101" s="40">
        <v>0</v>
      </c>
      <c r="I101" s="40">
        <v>0</v>
      </c>
      <c r="J101" s="40">
        <v>0</v>
      </c>
      <c r="K101" s="40">
        <v>653.25781000000006</v>
      </c>
      <c r="L101" s="40">
        <v>22.271000000000001</v>
      </c>
      <c r="M101" s="40">
        <v>0</v>
      </c>
      <c r="N101" s="40">
        <v>0</v>
      </c>
      <c r="O101" s="40">
        <v>0</v>
      </c>
      <c r="P101" s="40">
        <v>0</v>
      </c>
      <c r="Q101" s="40">
        <v>355.31630000000001</v>
      </c>
      <c r="R101" s="40">
        <v>0</v>
      </c>
      <c r="S101" s="40">
        <v>2.88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</row>
    <row r="102" spans="1:26" s="16" customFormat="1" x14ac:dyDescent="0.25">
      <c r="A102" s="2" t="s">
        <v>104</v>
      </c>
      <c r="B102" s="40">
        <v>0</v>
      </c>
      <c r="C102" s="40">
        <v>0</v>
      </c>
      <c r="D102" s="40">
        <v>0</v>
      </c>
      <c r="E102" s="40">
        <v>0</v>
      </c>
      <c r="F102" s="40">
        <v>0</v>
      </c>
      <c r="G102" s="40">
        <v>0</v>
      </c>
      <c r="H102" s="40">
        <v>0</v>
      </c>
      <c r="I102" s="40">
        <v>0</v>
      </c>
      <c r="J102" s="40">
        <v>0</v>
      </c>
      <c r="K102" s="40">
        <v>0</v>
      </c>
      <c r="L102" s="40">
        <v>11.471500000000001</v>
      </c>
      <c r="M102" s="40">
        <v>0</v>
      </c>
      <c r="N102" s="40">
        <v>0</v>
      </c>
      <c r="O102" s="40">
        <v>0</v>
      </c>
      <c r="P102" s="40">
        <v>0</v>
      </c>
      <c r="Q102" s="40">
        <v>90.687950000000001</v>
      </c>
      <c r="R102" s="40">
        <v>0</v>
      </c>
      <c r="S102" s="40">
        <v>0</v>
      </c>
      <c r="T102" s="40">
        <v>0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</row>
    <row r="103" spans="1:26" s="16" customFormat="1" x14ac:dyDescent="0.25">
      <c r="A103" s="2" t="s">
        <v>25</v>
      </c>
      <c r="B103" s="40">
        <v>0</v>
      </c>
      <c r="C103" s="40">
        <v>0</v>
      </c>
      <c r="D103" s="40">
        <v>0</v>
      </c>
      <c r="E103" s="40">
        <v>0</v>
      </c>
      <c r="F103" s="40">
        <v>0</v>
      </c>
      <c r="G103" s="40">
        <v>0</v>
      </c>
      <c r="H103" s="40">
        <v>0</v>
      </c>
      <c r="I103" s="40">
        <v>0</v>
      </c>
      <c r="J103" s="40">
        <v>0</v>
      </c>
      <c r="K103" s="40">
        <v>85.643799999999999</v>
      </c>
      <c r="L103" s="40">
        <v>184.70489999999998</v>
      </c>
      <c r="M103" s="40">
        <v>0</v>
      </c>
      <c r="N103" s="40">
        <v>0</v>
      </c>
      <c r="O103" s="40">
        <v>0</v>
      </c>
      <c r="P103" s="40">
        <v>0</v>
      </c>
      <c r="Q103" s="40">
        <v>0</v>
      </c>
      <c r="R103" s="40">
        <v>111.477</v>
      </c>
      <c r="S103" s="40">
        <v>0</v>
      </c>
      <c r="T103" s="40">
        <v>0</v>
      </c>
      <c r="U103" s="40">
        <v>0</v>
      </c>
      <c r="V103" s="40">
        <v>0</v>
      </c>
      <c r="W103" s="40">
        <v>0</v>
      </c>
      <c r="X103" s="40">
        <v>60</v>
      </c>
      <c r="Y103" s="40">
        <v>0</v>
      </c>
      <c r="Z103" s="40">
        <v>0</v>
      </c>
    </row>
    <row r="104" spans="1:26" s="16" customFormat="1" x14ac:dyDescent="0.25">
      <c r="A104" s="2" t="s">
        <v>105</v>
      </c>
      <c r="B104" s="40">
        <v>0</v>
      </c>
      <c r="C104" s="40">
        <v>0</v>
      </c>
      <c r="D104" s="40">
        <v>0</v>
      </c>
      <c r="E104" s="40">
        <v>0</v>
      </c>
      <c r="F104" s="40">
        <v>0</v>
      </c>
      <c r="G104" s="40">
        <v>0</v>
      </c>
      <c r="H104" s="40">
        <v>0</v>
      </c>
      <c r="I104" s="40">
        <v>115.884</v>
      </c>
      <c r="J104" s="40">
        <v>0</v>
      </c>
      <c r="K104" s="40">
        <v>48.994</v>
      </c>
      <c r="L104" s="40">
        <v>121.55095</v>
      </c>
      <c r="M104" s="40">
        <v>0</v>
      </c>
      <c r="N104" s="40">
        <v>0</v>
      </c>
      <c r="O104" s="40">
        <v>0</v>
      </c>
      <c r="P104" s="40">
        <v>0</v>
      </c>
      <c r="Q104" s="40">
        <v>0</v>
      </c>
      <c r="R104" s="40">
        <v>58.374000000000002</v>
      </c>
      <c r="S104" s="40">
        <v>0</v>
      </c>
      <c r="T104" s="40">
        <v>0</v>
      </c>
      <c r="U104" s="40">
        <v>0</v>
      </c>
      <c r="V104" s="40">
        <v>0</v>
      </c>
      <c r="W104" s="40">
        <v>0</v>
      </c>
      <c r="X104" s="40">
        <v>0</v>
      </c>
      <c r="Y104" s="40">
        <v>0</v>
      </c>
      <c r="Z104" s="40">
        <v>0</v>
      </c>
    </row>
    <row r="105" spans="1:26" s="16" customFormat="1" x14ac:dyDescent="0.25">
      <c r="A105" s="2" t="s">
        <v>106</v>
      </c>
      <c r="B105" s="40">
        <v>0</v>
      </c>
      <c r="C105" s="40">
        <v>0</v>
      </c>
      <c r="D105" s="40">
        <v>0</v>
      </c>
      <c r="E105" s="40">
        <v>0</v>
      </c>
      <c r="F105" s="40">
        <v>0</v>
      </c>
      <c r="G105" s="40">
        <v>0</v>
      </c>
      <c r="H105" s="40">
        <v>0</v>
      </c>
      <c r="I105" s="40">
        <v>0</v>
      </c>
      <c r="J105" s="40">
        <v>0</v>
      </c>
      <c r="K105" s="40">
        <v>0</v>
      </c>
      <c r="L105" s="40">
        <v>0</v>
      </c>
      <c r="M105" s="40">
        <v>225.0179</v>
      </c>
      <c r="N105" s="40">
        <v>0</v>
      </c>
      <c r="O105" s="40">
        <v>0</v>
      </c>
      <c r="P105" s="40">
        <v>0</v>
      </c>
      <c r="Q105" s="40">
        <v>45.410150000000002</v>
      </c>
      <c r="R105" s="40">
        <v>0</v>
      </c>
      <c r="S105" s="40">
        <v>0</v>
      </c>
      <c r="T105" s="40">
        <v>0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</row>
    <row r="106" spans="1:26" s="16" customFormat="1" x14ac:dyDescent="0.25">
      <c r="A106" s="2" t="s">
        <v>107</v>
      </c>
      <c r="B106" s="40">
        <v>0</v>
      </c>
      <c r="C106" s="40">
        <v>0</v>
      </c>
      <c r="D106" s="40">
        <v>0</v>
      </c>
      <c r="E106" s="40">
        <v>0</v>
      </c>
      <c r="F106" s="40">
        <v>0</v>
      </c>
      <c r="G106" s="40">
        <v>0</v>
      </c>
      <c r="H106" s="40">
        <v>0</v>
      </c>
      <c r="I106" s="40">
        <v>0</v>
      </c>
      <c r="J106" s="40">
        <v>0</v>
      </c>
      <c r="K106" s="40">
        <v>7</v>
      </c>
      <c r="L106" s="40">
        <v>327.01344</v>
      </c>
      <c r="M106" s="40">
        <v>0</v>
      </c>
      <c r="N106" s="40">
        <v>0</v>
      </c>
      <c r="O106" s="40">
        <v>0</v>
      </c>
      <c r="P106" s="40">
        <v>44.508559999999996</v>
      </c>
      <c r="Q106" s="40">
        <v>37.951050000000002</v>
      </c>
      <c r="R106" s="40">
        <v>20.039400000000001</v>
      </c>
      <c r="S106" s="40">
        <v>0</v>
      </c>
      <c r="T106" s="40">
        <v>0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</row>
    <row r="107" spans="1:26" s="16" customFormat="1" x14ac:dyDescent="0.25">
      <c r="A107" s="2" t="s">
        <v>108</v>
      </c>
      <c r="B107" s="40">
        <v>0</v>
      </c>
      <c r="C107" s="40">
        <v>0</v>
      </c>
      <c r="D107" s="40">
        <v>0</v>
      </c>
      <c r="E107" s="40">
        <v>0</v>
      </c>
      <c r="F107" s="40">
        <v>0</v>
      </c>
      <c r="G107" s="40">
        <v>15.5909</v>
      </c>
      <c r="H107" s="40">
        <v>0</v>
      </c>
      <c r="I107" s="40">
        <v>0</v>
      </c>
      <c r="J107" s="40">
        <v>0</v>
      </c>
      <c r="K107" s="40">
        <v>0</v>
      </c>
      <c r="L107" s="40">
        <v>42.5227</v>
      </c>
      <c r="M107" s="40">
        <v>0</v>
      </c>
      <c r="N107" s="40">
        <v>0</v>
      </c>
      <c r="O107" s="40">
        <v>0</v>
      </c>
      <c r="P107" s="40">
        <v>0</v>
      </c>
      <c r="Q107" s="40">
        <v>0</v>
      </c>
      <c r="R107" s="40">
        <v>0</v>
      </c>
      <c r="S107" s="40">
        <v>0</v>
      </c>
      <c r="T107" s="40">
        <v>0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</row>
    <row r="108" spans="1:26" s="16" customFormat="1" x14ac:dyDescent="0.25">
      <c r="A108" s="2" t="s">
        <v>109</v>
      </c>
      <c r="B108" s="40">
        <v>0</v>
      </c>
      <c r="C108" s="40">
        <v>0</v>
      </c>
      <c r="D108" s="40">
        <v>0</v>
      </c>
      <c r="E108" s="40">
        <v>0</v>
      </c>
      <c r="F108" s="40">
        <v>0</v>
      </c>
      <c r="G108" s="40">
        <v>0</v>
      </c>
      <c r="H108" s="40">
        <v>0</v>
      </c>
      <c r="I108" s="40">
        <v>0</v>
      </c>
      <c r="J108" s="40">
        <v>0</v>
      </c>
      <c r="K108" s="40">
        <v>0</v>
      </c>
      <c r="L108" s="40">
        <v>0</v>
      </c>
      <c r="M108" s="40">
        <v>0</v>
      </c>
      <c r="N108" s="40">
        <v>0</v>
      </c>
      <c r="O108" s="40">
        <v>0</v>
      </c>
      <c r="P108" s="40">
        <v>0</v>
      </c>
      <c r="Q108" s="40">
        <v>0</v>
      </c>
      <c r="R108" s="40">
        <v>7.7408999999999999</v>
      </c>
      <c r="S108" s="40">
        <v>0</v>
      </c>
      <c r="T108" s="40">
        <v>0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</row>
    <row r="109" spans="1:26" s="23" customFormat="1" ht="18" customHeight="1" x14ac:dyDescent="0.25">
      <c r="A109" s="17" t="s">
        <v>224</v>
      </c>
      <c r="B109" s="43">
        <v>199.589</v>
      </c>
      <c r="C109" s="43">
        <v>13.471</v>
      </c>
      <c r="D109" s="43">
        <v>789</v>
      </c>
      <c r="E109" s="43">
        <v>2.1549999999999998</v>
      </c>
      <c r="F109" s="43">
        <v>1044.97315</v>
      </c>
      <c r="G109" s="43">
        <v>353.28958</v>
      </c>
      <c r="H109" s="43">
        <v>265.17695000000003</v>
      </c>
      <c r="I109" s="43">
        <v>115.884</v>
      </c>
      <c r="J109" s="43">
        <v>66.5</v>
      </c>
      <c r="K109" s="43">
        <v>4537.6508600000006</v>
      </c>
      <c r="L109" s="43">
        <v>34748.350279999991</v>
      </c>
      <c r="M109" s="43">
        <v>2154.54475</v>
      </c>
      <c r="N109" s="43">
        <v>719.48549999999989</v>
      </c>
      <c r="O109" s="43">
        <v>5707.1439499999997</v>
      </c>
      <c r="P109" s="43">
        <v>955.00315999999998</v>
      </c>
      <c r="Q109" s="43">
        <v>13702.284169999997</v>
      </c>
      <c r="R109" s="43">
        <v>8567.7223700000031</v>
      </c>
      <c r="S109" s="43">
        <v>720.67759999999998</v>
      </c>
      <c r="T109" s="43">
        <v>195</v>
      </c>
      <c r="U109" s="43">
        <v>139.50649999999999</v>
      </c>
      <c r="V109" s="43">
        <v>78.3</v>
      </c>
      <c r="W109" s="43">
        <v>22.858699999999999</v>
      </c>
      <c r="X109" s="43">
        <v>120</v>
      </c>
      <c r="Y109" s="43">
        <v>23</v>
      </c>
      <c r="Z109" s="43">
        <v>1</v>
      </c>
    </row>
    <row r="110" spans="1:26" s="23" customFormat="1" ht="18" customHeight="1" x14ac:dyDescent="0.15">
      <c r="A110" s="23" t="s">
        <v>225</v>
      </c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5"/>
      <c r="Z110" s="44"/>
    </row>
    <row r="111" spans="1:26" x14ac:dyDescent="0.25"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59"/>
    </row>
    <row r="112" spans="1:26" x14ac:dyDescent="0.25"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59"/>
    </row>
    <row r="113" spans="2:26" x14ac:dyDescent="0.25"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59"/>
    </row>
    <row r="114" spans="2:26" x14ac:dyDescent="0.25"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59"/>
    </row>
    <row r="115" spans="2:26" x14ac:dyDescent="0.25"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59"/>
    </row>
    <row r="116" spans="2:26" x14ac:dyDescent="0.25"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59"/>
    </row>
    <row r="117" spans="2:26" x14ac:dyDescent="0.25"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59"/>
    </row>
    <row r="118" spans="2:26" x14ac:dyDescent="0.25"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59"/>
    </row>
    <row r="119" spans="2:26" x14ac:dyDescent="0.25"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59"/>
    </row>
    <row r="120" spans="2:26" x14ac:dyDescent="0.25"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59"/>
    </row>
    <row r="121" spans="2:26" x14ac:dyDescent="0.25"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59"/>
    </row>
    <row r="122" spans="2:26" x14ac:dyDescent="0.25"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59"/>
    </row>
    <row r="123" spans="2:26" x14ac:dyDescent="0.25"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59"/>
    </row>
    <row r="124" spans="2:26" x14ac:dyDescent="0.25"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59"/>
    </row>
    <row r="125" spans="2:26" x14ac:dyDescent="0.25"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59"/>
    </row>
    <row r="126" spans="2:26" x14ac:dyDescent="0.25"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59"/>
    </row>
    <row r="127" spans="2:26" x14ac:dyDescent="0.25"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59"/>
    </row>
    <row r="128" spans="2:26" x14ac:dyDescent="0.25"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59"/>
    </row>
    <row r="129" spans="2:26" x14ac:dyDescent="0.25"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59"/>
    </row>
    <row r="130" spans="2:26" x14ac:dyDescent="0.25"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59"/>
    </row>
    <row r="131" spans="2:26" x14ac:dyDescent="0.25"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59"/>
    </row>
    <row r="132" spans="2:26" x14ac:dyDescent="0.25"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59"/>
    </row>
    <row r="133" spans="2:26" x14ac:dyDescent="0.25"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59"/>
    </row>
    <row r="134" spans="2:26" x14ac:dyDescent="0.25"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59"/>
    </row>
    <row r="135" spans="2:26" x14ac:dyDescent="0.25"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59"/>
    </row>
    <row r="136" spans="2:26" x14ac:dyDescent="0.25"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59"/>
    </row>
    <row r="137" spans="2:26" x14ac:dyDescent="0.25"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59"/>
    </row>
    <row r="138" spans="2:26" x14ac:dyDescent="0.25"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59"/>
    </row>
    <row r="139" spans="2:26" x14ac:dyDescent="0.25"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59"/>
    </row>
    <row r="140" spans="2:26" x14ac:dyDescent="0.25"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59"/>
    </row>
    <row r="141" spans="2:26" x14ac:dyDescent="0.25"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59"/>
    </row>
    <row r="142" spans="2:26" x14ac:dyDescent="0.25"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59"/>
    </row>
    <row r="143" spans="2:26" x14ac:dyDescent="0.25"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59"/>
    </row>
    <row r="144" spans="2:26" x14ac:dyDescent="0.25"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59"/>
    </row>
    <row r="145" spans="2:26" x14ac:dyDescent="0.25"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59"/>
    </row>
    <row r="146" spans="2:26" x14ac:dyDescent="0.25"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59"/>
    </row>
    <row r="147" spans="2:26" x14ac:dyDescent="0.25"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59"/>
    </row>
    <row r="148" spans="2:26" x14ac:dyDescent="0.25"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59"/>
    </row>
    <row r="149" spans="2:26" x14ac:dyDescent="0.25"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59"/>
    </row>
    <row r="150" spans="2:26" x14ac:dyDescent="0.25"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59"/>
    </row>
    <row r="151" spans="2:26" x14ac:dyDescent="0.25"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59"/>
    </row>
    <row r="152" spans="2:26" x14ac:dyDescent="0.25"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59"/>
    </row>
    <row r="153" spans="2:26" x14ac:dyDescent="0.25"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59"/>
    </row>
    <row r="154" spans="2:26" x14ac:dyDescent="0.25"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59"/>
    </row>
    <row r="155" spans="2:26" x14ac:dyDescent="0.25"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59"/>
    </row>
    <row r="156" spans="2:26" x14ac:dyDescent="0.25"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59"/>
    </row>
    <row r="157" spans="2:26" x14ac:dyDescent="0.25"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59"/>
    </row>
    <row r="158" spans="2:26" x14ac:dyDescent="0.25"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59"/>
    </row>
    <row r="159" spans="2:26" x14ac:dyDescent="0.25"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59"/>
    </row>
    <row r="160" spans="2:26" x14ac:dyDescent="0.25"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59"/>
    </row>
    <row r="161" spans="2:26" x14ac:dyDescent="0.25"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59"/>
    </row>
    <row r="162" spans="2:26" x14ac:dyDescent="0.25"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59"/>
    </row>
    <row r="163" spans="2:26" x14ac:dyDescent="0.25"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59"/>
    </row>
    <row r="164" spans="2:26" x14ac:dyDescent="0.25"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59"/>
    </row>
    <row r="165" spans="2:26" x14ac:dyDescent="0.25"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59"/>
    </row>
    <row r="166" spans="2:26" x14ac:dyDescent="0.25"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59"/>
    </row>
    <row r="167" spans="2:26" x14ac:dyDescent="0.25"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59"/>
    </row>
    <row r="168" spans="2:26" x14ac:dyDescent="0.25"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59"/>
    </row>
    <row r="169" spans="2:26" x14ac:dyDescent="0.25"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59"/>
    </row>
    <row r="170" spans="2:26" x14ac:dyDescent="0.25"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59"/>
    </row>
    <row r="171" spans="2:26" x14ac:dyDescent="0.25"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59"/>
    </row>
    <row r="172" spans="2:26" x14ac:dyDescent="0.25"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59"/>
    </row>
    <row r="173" spans="2:26" x14ac:dyDescent="0.25"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59"/>
    </row>
    <row r="174" spans="2:26" x14ac:dyDescent="0.25"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59"/>
    </row>
    <row r="175" spans="2:26" x14ac:dyDescent="0.25"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59"/>
    </row>
    <row r="176" spans="2:26" x14ac:dyDescent="0.25"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59"/>
    </row>
    <row r="177" spans="2:26" x14ac:dyDescent="0.25"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59"/>
    </row>
    <row r="178" spans="2:26" x14ac:dyDescent="0.25"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59"/>
    </row>
    <row r="179" spans="2:26" x14ac:dyDescent="0.25"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59"/>
    </row>
    <row r="180" spans="2:26" x14ac:dyDescent="0.25"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59"/>
    </row>
    <row r="181" spans="2:26" x14ac:dyDescent="0.25"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59"/>
    </row>
    <row r="182" spans="2:26" x14ac:dyDescent="0.25"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59"/>
    </row>
    <row r="183" spans="2:26" x14ac:dyDescent="0.25"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59"/>
    </row>
    <row r="184" spans="2:26" x14ac:dyDescent="0.25"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59"/>
    </row>
    <row r="185" spans="2:26" x14ac:dyDescent="0.25"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59"/>
    </row>
    <row r="186" spans="2:26" x14ac:dyDescent="0.25"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59"/>
    </row>
    <row r="187" spans="2:26" x14ac:dyDescent="0.25"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59"/>
    </row>
    <row r="188" spans="2:26" x14ac:dyDescent="0.25"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59"/>
    </row>
    <row r="189" spans="2:26" x14ac:dyDescent="0.25"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59"/>
    </row>
    <row r="190" spans="2:26" x14ac:dyDescent="0.25"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59"/>
    </row>
    <row r="191" spans="2:26" x14ac:dyDescent="0.25"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59"/>
    </row>
    <row r="192" spans="2:26" x14ac:dyDescent="0.25"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59"/>
    </row>
    <row r="193" spans="2:26" x14ac:dyDescent="0.25"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59"/>
    </row>
    <row r="194" spans="2:26" x14ac:dyDescent="0.25"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59"/>
    </row>
    <row r="195" spans="2:26" x14ac:dyDescent="0.25"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59"/>
    </row>
    <row r="196" spans="2:26" x14ac:dyDescent="0.25"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59"/>
    </row>
    <row r="197" spans="2:26" x14ac:dyDescent="0.25"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59"/>
    </row>
    <row r="198" spans="2:26" x14ac:dyDescent="0.25"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59"/>
    </row>
    <row r="199" spans="2:26" x14ac:dyDescent="0.25"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59"/>
    </row>
    <row r="200" spans="2:26" x14ac:dyDescent="0.25"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59"/>
    </row>
    <row r="201" spans="2:26" x14ac:dyDescent="0.25"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59"/>
    </row>
    <row r="202" spans="2:26" x14ac:dyDescent="0.25"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59"/>
    </row>
    <row r="203" spans="2:26" x14ac:dyDescent="0.25"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59"/>
    </row>
    <row r="204" spans="2:26" x14ac:dyDescent="0.25"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59"/>
    </row>
    <row r="205" spans="2:26" x14ac:dyDescent="0.25"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59"/>
    </row>
    <row r="206" spans="2:26" x14ac:dyDescent="0.25"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59"/>
    </row>
    <row r="207" spans="2:26" x14ac:dyDescent="0.25"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59"/>
    </row>
    <row r="208" spans="2:26" x14ac:dyDescent="0.25"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59"/>
    </row>
    <row r="209" spans="2:26" x14ac:dyDescent="0.25"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59"/>
    </row>
    <row r="210" spans="2:26" x14ac:dyDescent="0.25"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59"/>
    </row>
    <row r="211" spans="2:26" x14ac:dyDescent="0.25"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59"/>
    </row>
    <row r="212" spans="2:26" x14ac:dyDescent="0.25"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59"/>
    </row>
    <row r="213" spans="2:26" x14ac:dyDescent="0.25"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59"/>
    </row>
    <row r="214" spans="2:26" x14ac:dyDescent="0.25"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59"/>
    </row>
  </sheetData>
  <printOptions horizontalCentered="1" verticalCentered="1"/>
  <pageMargins left="0.31496062992125984" right="0.31496062992125984" top="0.55118110236220474" bottom="0.35433070866141736" header="0.31496062992125984" footer="3.937007874015748E-2"/>
  <pageSetup paperSize="9" firstPageNumber="57" orientation="landscape" useFirstPageNumber="1" horizontalDpi="1200" verticalDpi="1200" r:id="rId1"/>
  <headerFooter>
    <oddFooter>&amp;C&amp;"Arial Narrow,Corsivo"&amp;7- pagina &amp;P -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12"/>
  <sheetViews>
    <sheetView zoomScale="150" zoomScaleNormal="150" workbookViewId="0">
      <pane ySplit="3" topLeftCell="A92" activePane="bottomLeft" state="frozenSplit"/>
      <selection pane="bottomLeft" activeCell="A110" sqref="A110"/>
    </sheetView>
  </sheetViews>
  <sheetFormatPr defaultRowHeight="13.5" x14ac:dyDescent="0.25"/>
  <cols>
    <col min="1" max="1" width="14.7109375" style="16" customWidth="1"/>
    <col min="2" max="2" width="2.42578125" style="16" customWidth="1"/>
    <col min="3" max="4" width="8.85546875" style="16" customWidth="1"/>
    <col min="5" max="5" width="9.28515625" style="16" customWidth="1"/>
    <col min="6" max="6" width="2.42578125" style="16" customWidth="1"/>
    <col min="7" max="8" width="8.85546875" style="16" customWidth="1"/>
    <col min="9" max="9" width="8.85546875" style="59" customWidth="1"/>
    <col min="10" max="10" width="9.28515625" style="16" customWidth="1"/>
    <col min="11" max="246" width="9.140625" style="51"/>
    <col min="247" max="247" width="18.42578125" style="51" customWidth="1"/>
    <col min="248" max="248" width="2.42578125" style="51" customWidth="1"/>
    <col min="249" max="250" width="8.85546875" style="51" customWidth="1"/>
    <col min="251" max="251" width="9.28515625" style="51" customWidth="1"/>
    <col min="252" max="252" width="2.42578125" style="51" customWidth="1"/>
    <col min="253" max="255" width="8.85546875" style="51" customWidth="1"/>
    <col min="256" max="256" width="9.28515625" style="51" customWidth="1"/>
    <col min="257" max="257" width="10.42578125" style="51" customWidth="1"/>
    <col min="258" max="258" width="9" style="51" bestFit="1" customWidth="1"/>
    <col min="259" max="259" width="10" style="51" bestFit="1" customWidth="1"/>
    <col min="260" max="502" width="9.140625" style="51"/>
    <col min="503" max="503" width="18.42578125" style="51" customWidth="1"/>
    <col min="504" max="504" width="2.42578125" style="51" customWidth="1"/>
    <col min="505" max="506" width="8.85546875" style="51" customWidth="1"/>
    <col min="507" max="507" width="9.28515625" style="51" customWidth="1"/>
    <col min="508" max="508" width="2.42578125" style="51" customWidth="1"/>
    <col min="509" max="511" width="8.85546875" style="51" customWidth="1"/>
    <col min="512" max="512" width="9.28515625" style="51" customWidth="1"/>
    <col min="513" max="513" width="10.42578125" style="51" customWidth="1"/>
    <col min="514" max="514" width="9" style="51" bestFit="1" customWidth="1"/>
    <col min="515" max="515" width="10" style="51" bestFit="1" customWidth="1"/>
    <col min="516" max="758" width="9.140625" style="51"/>
    <col min="759" max="759" width="18.42578125" style="51" customWidth="1"/>
    <col min="760" max="760" width="2.42578125" style="51" customWidth="1"/>
    <col min="761" max="762" width="8.85546875" style="51" customWidth="1"/>
    <col min="763" max="763" width="9.28515625" style="51" customWidth="1"/>
    <col min="764" max="764" width="2.42578125" style="51" customWidth="1"/>
    <col min="765" max="767" width="8.85546875" style="51" customWidth="1"/>
    <col min="768" max="768" width="9.28515625" style="51" customWidth="1"/>
    <col min="769" max="769" width="10.42578125" style="51" customWidth="1"/>
    <col min="770" max="770" width="9" style="51" bestFit="1" customWidth="1"/>
    <col min="771" max="771" width="10" style="51" bestFit="1" customWidth="1"/>
    <col min="772" max="1014" width="9.140625" style="51"/>
    <col min="1015" max="1015" width="18.42578125" style="51" customWidth="1"/>
    <col min="1016" max="1016" width="2.42578125" style="51" customWidth="1"/>
    <col min="1017" max="1018" width="8.85546875" style="51" customWidth="1"/>
    <col min="1019" max="1019" width="9.28515625" style="51" customWidth="1"/>
    <col min="1020" max="1020" width="2.42578125" style="51" customWidth="1"/>
    <col min="1021" max="1023" width="8.85546875" style="51" customWidth="1"/>
    <col min="1024" max="1024" width="9.28515625" style="51" customWidth="1"/>
    <col min="1025" max="1025" width="10.42578125" style="51" customWidth="1"/>
    <col min="1026" max="1026" width="9" style="51" bestFit="1" customWidth="1"/>
    <col min="1027" max="1027" width="10" style="51" bestFit="1" customWidth="1"/>
    <col min="1028" max="1270" width="9.140625" style="51"/>
    <col min="1271" max="1271" width="18.42578125" style="51" customWidth="1"/>
    <col min="1272" max="1272" width="2.42578125" style="51" customWidth="1"/>
    <col min="1273" max="1274" width="8.85546875" style="51" customWidth="1"/>
    <col min="1275" max="1275" width="9.28515625" style="51" customWidth="1"/>
    <col min="1276" max="1276" width="2.42578125" style="51" customWidth="1"/>
    <col min="1277" max="1279" width="8.85546875" style="51" customWidth="1"/>
    <col min="1280" max="1280" width="9.28515625" style="51" customWidth="1"/>
    <col min="1281" max="1281" width="10.42578125" style="51" customWidth="1"/>
    <col min="1282" max="1282" width="9" style="51" bestFit="1" customWidth="1"/>
    <col min="1283" max="1283" width="10" style="51" bestFit="1" customWidth="1"/>
    <col min="1284" max="1526" width="9.140625" style="51"/>
    <col min="1527" max="1527" width="18.42578125" style="51" customWidth="1"/>
    <col min="1528" max="1528" width="2.42578125" style="51" customWidth="1"/>
    <col min="1529" max="1530" width="8.85546875" style="51" customWidth="1"/>
    <col min="1531" max="1531" width="9.28515625" style="51" customWidth="1"/>
    <col min="1532" max="1532" width="2.42578125" style="51" customWidth="1"/>
    <col min="1533" max="1535" width="8.85546875" style="51" customWidth="1"/>
    <col min="1536" max="1536" width="9.28515625" style="51" customWidth="1"/>
    <col min="1537" max="1537" width="10.42578125" style="51" customWidth="1"/>
    <col min="1538" max="1538" width="9" style="51" bestFit="1" customWidth="1"/>
    <col min="1539" max="1539" width="10" style="51" bestFit="1" customWidth="1"/>
    <col min="1540" max="1782" width="9.140625" style="51"/>
    <col min="1783" max="1783" width="18.42578125" style="51" customWidth="1"/>
    <col min="1784" max="1784" width="2.42578125" style="51" customWidth="1"/>
    <col min="1785" max="1786" width="8.85546875" style="51" customWidth="1"/>
    <col min="1787" max="1787" width="9.28515625" style="51" customWidth="1"/>
    <col min="1788" max="1788" width="2.42578125" style="51" customWidth="1"/>
    <col min="1789" max="1791" width="8.85546875" style="51" customWidth="1"/>
    <col min="1792" max="1792" width="9.28515625" style="51" customWidth="1"/>
    <col min="1793" max="1793" width="10.42578125" style="51" customWidth="1"/>
    <col min="1794" max="1794" width="9" style="51" bestFit="1" customWidth="1"/>
    <col min="1795" max="1795" width="10" style="51" bestFit="1" customWidth="1"/>
    <col min="1796" max="2038" width="9.140625" style="51"/>
    <col min="2039" max="2039" width="18.42578125" style="51" customWidth="1"/>
    <col min="2040" max="2040" width="2.42578125" style="51" customWidth="1"/>
    <col min="2041" max="2042" width="8.85546875" style="51" customWidth="1"/>
    <col min="2043" max="2043" width="9.28515625" style="51" customWidth="1"/>
    <col min="2044" max="2044" width="2.42578125" style="51" customWidth="1"/>
    <col min="2045" max="2047" width="8.85546875" style="51" customWidth="1"/>
    <col min="2048" max="2048" width="9.28515625" style="51" customWidth="1"/>
    <col min="2049" max="2049" width="10.42578125" style="51" customWidth="1"/>
    <col min="2050" max="2050" width="9" style="51" bestFit="1" customWidth="1"/>
    <col min="2051" max="2051" width="10" style="51" bestFit="1" customWidth="1"/>
    <col min="2052" max="2294" width="9.140625" style="51"/>
    <col min="2295" max="2295" width="18.42578125" style="51" customWidth="1"/>
    <col min="2296" max="2296" width="2.42578125" style="51" customWidth="1"/>
    <col min="2297" max="2298" width="8.85546875" style="51" customWidth="1"/>
    <col min="2299" max="2299" width="9.28515625" style="51" customWidth="1"/>
    <col min="2300" max="2300" width="2.42578125" style="51" customWidth="1"/>
    <col min="2301" max="2303" width="8.85546875" style="51" customWidth="1"/>
    <col min="2304" max="2304" width="9.28515625" style="51" customWidth="1"/>
    <col min="2305" max="2305" width="10.42578125" style="51" customWidth="1"/>
    <col min="2306" max="2306" width="9" style="51" bestFit="1" customWidth="1"/>
    <col min="2307" max="2307" width="10" style="51" bestFit="1" customWidth="1"/>
    <col min="2308" max="2550" width="9.140625" style="51"/>
    <col min="2551" max="2551" width="18.42578125" style="51" customWidth="1"/>
    <col min="2552" max="2552" width="2.42578125" style="51" customWidth="1"/>
    <col min="2553" max="2554" width="8.85546875" style="51" customWidth="1"/>
    <col min="2555" max="2555" width="9.28515625" style="51" customWidth="1"/>
    <col min="2556" max="2556" width="2.42578125" style="51" customWidth="1"/>
    <col min="2557" max="2559" width="8.85546875" style="51" customWidth="1"/>
    <col min="2560" max="2560" width="9.28515625" style="51" customWidth="1"/>
    <col min="2561" max="2561" width="10.42578125" style="51" customWidth="1"/>
    <col min="2562" max="2562" width="9" style="51" bestFit="1" customWidth="1"/>
    <col min="2563" max="2563" width="10" style="51" bestFit="1" customWidth="1"/>
    <col min="2564" max="2806" width="9.140625" style="51"/>
    <col min="2807" max="2807" width="18.42578125" style="51" customWidth="1"/>
    <col min="2808" max="2808" width="2.42578125" style="51" customWidth="1"/>
    <col min="2809" max="2810" width="8.85546875" style="51" customWidth="1"/>
    <col min="2811" max="2811" width="9.28515625" style="51" customWidth="1"/>
    <col min="2812" max="2812" width="2.42578125" style="51" customWidth="1"/>
    <col min="2813" max="2815" width="8.85546875" style="51" customWidth="1"/>
    <col min="2816" max="2816" width="9.28515625" style="51" customWidth="1"/>
    <col min="2817" max="2817" width="10.42578125" style="51" customWidth="1"/>
    <col min="2818" max="2818" width="9" style="51" bestFit="1" customWidth="1"/>
    <col min="2819" max="2819" width="10" style="51" bestFit="1" customWidth="1"/>
    <col min="2820" max="3062" width="9.140625" style="51"/>
    <col min="3063" max="3063" width="18.42578125" style="51" customWidth="1"/>
    <col min="3064" max="3064" width="2.42578125" style="51" customWidth="1"/>
    <col min="3065" max="3066" width="8.85546875" style="51" customWidth="1"/>
    <col min="3067" max="3067" width="9.28515625" style="51" customWidth="1"/>
    <col min="3068" max="3068" width="2.42578125" style="51" customWidth="1"/>
    <col min="3069" max="3071" width="8.85546875" style="51" customWidth="1"/>
    <col min="3072" max="3072" width="9.28515625" style="51" customWidth="1"/>
    <col min="3073" max="3073" width="10.42578125" style="51" customWidth="1"/>
    <col min="3074" max="3074" width="9" style="51" bestFit="1" customWidth="1"/>
    <col min="3075" max="3075" width="10" style="51" bestFit="1" customWidth="1"/>
    <col min="3076" max="3318" width="9.140625" style="51"/>
    <col min="3319" max="3319" width="18.42578125" style="51" customWidth="1"/>
    <col min="3320" max="3320" width="2.42578125" style="51" customWidth="1"/>
    <col min="3321" max="3322" width="8.85546875" style="51" customWidth="1"/>
    <col min="3323" max="3323" width="9.28515625" style="51" customWidth="1"/>
    <col min="3324" max="3324" width="2.42578125" style="51" customWidth="1"/>
    <col min="3325" max="3327" width="8.85546875" style="51" customWidth="1"/>
    <col min="3328" max="3328" width="9.28515625" style="51" customWidth="1"/>
    <col min="3329" max="3329" width="10.42578125" style="51" customWidth="1"/>
    <col min="3330" max="3330" width="9" style="51" bestFit="1" customWidth="1"/>
    <col min="3331" max="3331" width="10" style="51" bestFit="1" customWidth="1"/>
    <col min="3332" max="3574" width="9.140625" style="51"/>
    <col min="3575" max="3575" width="18.42578125" style="51" customWidth="1"/>
    <col min="3576" max="3576" width="2.42578125" style="51" customWidth="1"/>
    <col min="3577" max="3578" width="8.85546875" style="51" customWidth="1"/>
    <col min="3579" max="3579" width="9.28515625" style="51" customWidth="1"/>
    <col min="3580" max="3580" width="2.42578125" style="51" customWidth="1"/>
    <col min="3581" max="3583" width="8.85546875" style="51" customWidth="1"/>
    <col min="3584" max="3584" width="9.28515625" style="51" customWidth="1"/>
    <col min="3585" max="3585" width="10.42578125" style="51" customWidth="1"/>
    <col min="3586" max="3586" width="9" style="51" bestFit="1" customWidth="1"/>
    <col min="3587" max="3587" width="10" style="51" bestFit="1" customWidth="1"/>
    <col min="3588" max="3830" width="9.140625" style="51"/>
    <col min="3831" max="3831" width="18.42578125" style="51" customWidth="1"/>
    <col min="3832" max="3832" width="2.42578125" style="51" customWidth="1"/>
    <col min="3833" max="3834" width="8.85546875" style="51" customWidth="1"/>
    <col min="3835" max="3835" width="9.28515625" style="51" customWidth="1"/>
    <col min="3836" max="3836" width="2.42578125" style="51" customWidth="1"/>
    <col min="3837" max="3839" width="8.85546875" style="51" customWidth="1"/>
    <col min="3840" max="3840" width="9.28515625" style="51" customWidth="1"/>
    <col min="3841" max="3841" width="10.42578125" style="51" customWidth="1"/>
    <col min="3842" max="3842" width="9" style="51" bestFit="1" customWidth="1"/>
    <col min="3843" max="3843" width="10" style="51" bestFit="1" customWidth="1"/>
    <col min="3844" max="4086" width="9.140625" style="51"/>
    <col min="4087" max="4087" width="18.42578125" style="51" customWidth="1"/>
    <col min="4088" max="4088" width="2.42578125" style="51" customWidth="1"/>
    <col min="4089" max="4090" width="8.85546875" style="51" customWidth="1"/>
    <col min="4091" max="4091" width="9.28515625" style="51" customWidth="1"/>
    <col min="4092" max="4092" width="2.42578125" style="51" customWidth="1"/>
    <col min="4093" max="4095" width="8.85546875" style="51" customWidth="1"/>
    <col min="4096" max="4096" width="9.28515625" style="51" customWidth="1"/>
    <col min="4097" max="4097" width="10.42578125" style="51" customWidth="1"/>
    <col min="4098" max="4098" width="9" style="51" bestFit="1" customWidth="1"/>
    <col min="4099" max="4099" width="10" style="51" bestFit="1" customWidth="1"/>
    <col min="4100" max="4342" width="9.140625" style="51"/>
    <col min="4343" max="4343" width="18.42578125" style="51" customWidth="1"/>
    <col min="4344" max="4344" width="2.42578125" style="51" customWidth="1"/>
    <col min="4345" max="4346" width="8.85546875" style="51" customWidth="1"/>
    <col min="4347" max="4347" width="9.28515625" style="51" customWidth="1"/>
    <col min="4348" max="4348" width="2.42578125" style="51" customWidth="1"/>
    <col min="4349" max="4351" width="8.85546875" style="51" customWidth="1"/>
    <col min="4352" max="4352" width="9.28515625" style="51" customWidth="1"/>
    <col min="4353" max="4353" width="10.42578125" style="51" customWidth="1"/>
    <col min="4354" max="4354" width="9" style="51" bestFit="1" customWidth="1"/>
    <col min="4355" max="4355" width="10" style="51" bestFit="1" customWidth="1"/>
    <col min="4356" max="4598" width="9.140625" style="51"/>
    <col min="4599" max="4599" width="18.42578125" style="51" customWidth="1"/>
    <col min="4600" max="4600" width="2.42578125" style="51" customWidth="1"/>
    <col min="4601" max="4602" width="8.85546875" style="51" customWidth="1"/>
    <col min="4603" max="4603" width="9.28515625" style="51" customWidth="1"/>
    <col min="4604" max="4604" width="2.42578125" style="51" customWidth="1"/>
    <col min="4605" max="4607" width="8.85546875" style="51" customWidth="1"/>
    <col min="4608" max="4608" width="9.28515625" style="51" customWidth="1"/>
    <col min="4609" max="4609" width="10.42578125" style="51" customWidth="1"/>
    <col min="4610" max="4610" width="9" style="51" bestFit="1" customWidth="1"/>
    <col min="4611" max="4611" width="10" style="51" bestFit="1" customWidth="1"/>
    <col min="4612" max="4854" width="9.140625" style="51"/>
    <col min="4855" max="4855" width="18.42578125" style="51" customWidth="1"/>
    <col min="4856" max="4856" width="2.42578125" style="51" customWidth="1"/>
    <col min="4857" max="4858" width="8.85546875" style="51" customWidth="1"/>
    <col min="4859" max="4859" width="9.28515625" style="51" customWidth="1"/>
    <col min="4860" max="4860" width="2.42578125" style="51" customWidth="1"/>
    <col min="4861" max="4863" width="8.85546875" style="51" customWidth="1"/>
    <col min="4864" max="4864" width="9.28515625" style="51" customWidth="1"/>
    <col min="4865" max="4865" width="10.42578125" style="51" customWidth="1"/>
    <col min="4866" max="4866" width="9" style="51" bestFit="1" customWidth="1"/>
    <col min="4867" max="4867" width="10" style="51" bestFit="1" customWidth="1"/>
    <col min="4868" max="5110" width="9.140625" style="51"/>
    <col min="5111" max="5111" width="18.42578125" style="51" customWidth="1"/>
    <col min="5112" max="5112" width="2.42578125" style="51" customWidth="1"/>
    <col min="5113" max="5114" width="8.85546875" style="51" customWidth="1"/>
    <col min="5115" max="5115" width="9.28515625" style="51" customWidth="1"/>
    <col min="5116" max="5116" width="2.42578125" style="51" customWidth="1"/>
    <col min="5117" max="5119" width="8.85546875" style="51" customWidth="1"/>
    <col min="5120" max="5120" width="9.28515625" style="51" customWidth="1"/>
    <col min="5121" max="5121" width="10.42578125" style="51" customWidth="1"/>
    <col min="5122" max="5122" width="9" style="51" bestFit="1" customWidth="1"/>
    <col min="5123" max="5123" width="10" style="51" bestFit="1" customWidth="1"/>
    <col min="5124" max="5366" width="9.140625" style="51"/>
    <col min="5367" max="5367" width="18.42578125" style="51" customWidth="1"/>
    <col min="5368" max="5368" width="2.42578125" style="51" customWidth="1"/>
    <col min="5369" max="5370" width="8.85546875" style="51" customWidth="1"/>
    <col min="5371" max="5371" width="9.28515625" style="51" customWidth="1"/>
    <col min="5372" max="5372" width="2.42578125" style="51" customWidth="1"/>
    <col min="5373" max="5375" width="8.85546875" style="51" customWidth="1"/>
    <col min="5376" max="5376" width="9.28515625" style="51" customWidth="1"/>
    <col min="5377" max="5377" width="10.42578125" style="51" customWidth="1"/>
    <col min="5378" max="5378" width="9" style="51" bestFit="1" customWidth="1"/>
    <col min="5379" max="5379" width="10" style="51" bestFit="1" customWidth="1"/>
    <col min="5380" max="5622" width="9.140625" style="51"/>
    <col min="5623" max="5623" width="18.42578125" style="51" customWidth="1"/>
    <col min="5624" max="5624" width="2.42578125" style="51" customWidth="1"/>
    <col min="5625" max="5626" width="8.85546875" style="51" customWidth="1"/>
    <col min="5627" max="5627" width="9.28515625" style="51" customWidth="1"/>
    <col min="5628" max="5628" width="2.42578125" style="51" customWidth="1"/>
    <col min="5629" max="5631" width="8.85546875" style="51" customWidth="1"/>
    <col min="5632" max="5632" width="9.28515625" style="51" customWidth="1"/>
    <col min="5633" max="5633" width="10.42578125" style="51" customWidth="1"/>
    <col min="5634" max="5634" width="9" style="51" bestFit="1" customWidth="1"/>
    <col min="5635" max="5635" width="10" style="51" bestFit="1" customWidth="1"/>
    <col min="5636" max="5878" width="9.140625" style="51"/>
    <col min="5879" max="5879" width="18.42578125" style="51" customWidth="1"/>
    <col min="5880" max="5880" width="2.42578125" style="51" customWidth="1"/>
    <col min="5881" max="5882" width="8.85546875" style="51" customWidth="1"/>
    <col min="5883" max="5883" width="9.28515625" style="51" customWidth="1"/>
    <col min="5884" max="5884" width="2.42578125" style="51" customWidth="1"/>
    <col min="5885" max="5887" width="8.85546875" style="51" customWidth="1"/>
    <col min="5888" max="5888" width="9.28515625" style="51" customWidth="1"/>
    <col min="5889" max="5889" width="10.42578125" style="51" customWidth="1"/>
    <col min="5890" max="5890" width="9" style="51" bestFit="1" customWidth="1"/>
    <col min="5891" max="5891" width="10" style="51" bestFit="1" customWidth="1"/>
    <col min="5892" max="6134" width="9.140625" style="51"/>
    <col min="6135" max="6135" width="18.42578125" style="51" customWidth="1"/>
    <col min="6136" max="6136" width="2.42578125" style="51" customWidth="1"/>
    <col min="6137" max="6138" width="8.85546875" style="51" customWidth="1"/>
    <col min="6139" max="6139" width="9.28515625" style="51" customWidth="1"/>
    <col min="6140" max="6140" width="2.42578125" style="51" customWidth="1"/>
    <col min="6141" max="6143" width="8.85546875" style="51" customWidth="1"/>
    <col min="6144" max="6144" width="9.28515625" style="51" customWidth="1"/>
    <col min="6145" max="6145" width="10.42578125" style="51" customWidth="1"/>
    <col min="6146" max="6146" width="9" style="51" bestFit="1" customWidth="1"/>
    <col min="6147" max="6147" width="10" style="51" bestFit="1" customWidth="1"/>
    <col min="6148" max="6390" width="9.140625" style="51"/>
    <col min="6391" max="6391" width="18.42578125" style="51" customWidth="1"/>
    <col min="6392" max="6392" width="2.42578125" style="51" customWidth="1"/>
    <col min="6393" max="6394" width="8.85546875" style="51" customWidth="1"/>
    <col min="6395" max="6395" width="9.28515625" style="51" customWidth="1"/>
    <col min="6396" max="6396" width="2.42578125" style="51" customWidth="1"/>
    <col min="6397" max="6399" width="8.85546875" style="51" customWidth="1"/>
    <col min="6400" max="6400" width="9.28515625" style="51" customWidth="1"/>
    <col min="6401" max="6401" width="10.42578125" style="51" customWidth="1"/>
    <col min="6402" max="6402" width="9" style="51" bestFit="1" customWidth="1"/>
    <col min="6403" max="6403" width="10" style="51" bestFit="1" customWidth="1"/>
    <col min="6404" max="6646" width="9.140625" style="51"/>
    <col min="6647" max="6647" width="18.42578125" style="51" customWidth="1"/>
    <col min="6648" max="6648" width="2.42578125" style="51" customWidth="1"/>
    <col min="6649" max="6650" width="8.85546875" style="51" customWidth="1"/>
    <col min="6651" max="6651" width="9.28515625" style="51" customWidth="1"/>
    <col min="6652" max="6652" width="2.42578125" style="51" customWidth="1"/>
    <col min="6653" max="6655" width="8.85546875" style="51" customWidth="1"/>
    <col min="6656" max="6656" width="9.28515625" style="51" customWidth="1"/>
    <col min="6657" max="6657" width="10.42578125" style="51" customWidth="1"/>
    <col min="6658" max="6658" width="9" style="51" bestFit="1" customWidth="1"/>
    <col min="6659" max="6659" width="10" style="51" bestFit="1" customWidth="1"/>
    <col min="6660" max="6902" width="9.140625" style="51"/>
    <col min="6903" max="6903" width="18.42578125" style="51" customWidth="1"/>
    <col min="6904" max="6904" width="2.42578125" style="51" customWidth="1"/>
    <col min="6905" max="6906" width="8.85546875" style="51" customWidth="1"/>
    <col min="6907" max="6907" width="9.28515625" style="51" customWidth="1"/>
    <col min="6908" max="6908" width="2.42578125" style="51" customWidth="1"/>
    <col min="6909" max="6911" width="8.85546875" style="51" customWidth="1"/>
    <col min="6912" max="6912" width="9.28515625" style="51" customWidth="1"/>
    <col min="6913" max="6913" width="10.42578125" style="51" customWidth="1"/>
    <col min="6914" max="6914" width="9" style="51" bestFit="1" customWidth="1"/>
    <col min="6915" max="6915" width="10" style="51" bestFit="1" customWidth="1"/>
    <col min="6916" max="7158" width="9.140625" style="51"/>
    <col min="7159" max="7159" width="18.42578125" style="51" customWidth="1"/>
    <col min="7160" max="7160" width="2.42578125" style="51" customWidth="1"/>
    <col min="7161" max="7162" width="8.85546875" style="51" customWidth="1"/>
    <col min="7163" max="7163" width="9.28515625" style="51" customWidth="1"/>
    <col min="7164" max="7164" width="2.42578125" style="51" customWidth="1"/>
    <col min="7165" max="7167" width="8.85546875" style="51" customWidth="1"/>
    <col min="7168" max="7168" width="9.28515625" style="51" customWidth="1"/>
    <col min="7169" max="7169" width="10.42578125" style="51" customWidth="1"/>
    <col min="7170" max="7170" width="9" style="51" bestFit="1" customWidth="1"/>
    <col min="7171" max="7171" width="10" style="51" bestFit="1" customWidth="1"/>
    <col min="7172" max="7414" width="9.140625" style="51"/>
    <col min="7415" max="7415" width="18.42578125" style="51" customWidth="1"/>
    <col min="7416" max="7416" width="2.42578125" style="51" customWidth="1"/>
    <col min="7417" max="7418" width="8.85546875" style="51" customWidth="1"/>
    <col min="7419" max="7419" width="9.28515625" style="51" customWidth="1"/>
    <col min="7420" max="7420" width="2.42578125" style="51" customWidth="1"/>
    <col min="7421" max="7423" width="8.85546875" style="51" customWidth="1"/>
    <col min="7424" max="7424" width="9.28515625" style="51" customWidth="1"/>
    <col min="7425" max="7425" width="10.42578125" style="51" customWidth="1"/>
    <col min="7426" max="7426" width="9" style="51" bestFit="1" customWidth="1"/>
    <col min="7427" max="7427" width="10" style="51" bestFit="1" customWidth="1"/>
    <col min="7428" max="7670" width="9.140625" style="51"/>
    <col min="7671" max="7671" width="18.42578125" style="51" customWidth="1"/>
    <col min="7672" max="7672" width="2.42578125" style="51" customWidth="1"/>
    <col min="7673" max="7674" width="8.85546875" style="51" customWidth="1"/>
    <col min="7675" max="7675" width="9.28515625" style="51" customWidth="1"/>
    <col min="7676" max="7676" width="2.42578125" style="51" customWidth="1"/>
    <col min="7677" max="7679" width="8.85546875" style="51" customWidth="1"/>
    <col min="7680" max="7680" width="9.28515625" style="51" customWidth="1"/>
    <col min="7681" max="7681" width="10.42578125" style="51" customWidth="1"/>
    <col min="7682" max="7682" width="9" style="51" bestFit="1" customWidth="1"/>
    <col min="7683" max="7683" width="10" style="51" bestFit="1" customWidth="1"/>
    <col min="7684" max="7926" width="9.140625" style="51"/>
    <col min="7927" max="7927" width="18.42578125" style="51" customWidth="1"/>
    <col min="7928" max="7928" width="2.42578125" style="51" customWidth="1"/>
    <col min="7929" max="7930" width="8.85546875" style="51" customWidth="1"/>
    <col min="7931" max="7931" width="9.28515625" style="51" customWidth="1"/>
    <col min="7932" max="7932" width="2.42578125" style="51" customWidth="1"/>
    <col min="7933" max="7935" width="8.85546875" style="51" customWidth="1"/>
    <col min="7936" max="7936" width="9.28515625" style="51" customWidth="1"/>
    <col min="7937" max="7937" width="10.42578125" style="51" customWidth="1"/>
    <col min="7938" max="7938" width="9" style="51" bestFit="1" customWidth="1"/>
    <col min="7939" max="7939" width="10" style="51" bestFit="1" customWidth="1"/>
    <col min="7940" max="8182" width="9.140625" style="51"/>
    <col min="8183" max="8183" width="18.42578125" style="51" customWidth="1"/>
    <col min="8184" max="8184" width="2.42578125" style="51" customWidth="1"/>
    <col min="8185" max="8186" width="8.85546875" style="51" customWidth="1"/>
    <col min="8187" max="8187" width="9.28515625" style="51" customWidth="1"/>
    <col min="8188" max="8188" width="2.42578125" style="51" customWidth="1"/>
    <col min="8189" max="8191" width="8.85546875" style="51" customWidth="1"/>
    <col min="8192" max="8192" width="9.28515625" style="51" customWidth="1"/>
    <col min="8193" max="8193" width="10.42578125" style="51" customWidth="1"/>
    <col min="8194" max="8194" width="9" style="51" bestFit="1" customWidth="1"/>
    <col min="8195" max="8195" width="10" style="51" bestFit="1" customWidth="1"/>
    <col min="8196" max="8438" width="9.140625" style="51"/>
    <col min="8439" max="8439" width="18.42578125" style="51" customWidth="1"/>
    <col min="8440" max="8440" width="2.42578125" style="51" customWidth="1"/>
    <col min="8441" max="8442" width="8.85546875" style="51" customWidth="1"/>
    <col min="8443" max="8443" width="9.28515625" style="51" customWidth="1"/>
    <col min="8444" max="8444" width="2.42578125" style="51" customWidth="1"/>
    <col min="8445" max="8447" width="8.85546875" style="51" customWidth="1"/>
    <col min="8448" max="8448" width="9.28515625" style="51" customWidth="1"/>
    <col min="8449" max="8449" width="10.42578125" style="51" customWidth="1"/>
    <col min="8450" max="8450" width="9" style="51" bestFit="1" customWidth="1"/>
    <col min="8451" max="8451" width="10" style="51" bestFit="1" customWidth="1"/>
    <col min="8452" max="8694" width="9.140625" style="51"/>
    <col min="8695" max="8695" width="18.42578125" style="51" customWidth="1"/>
    <col min="8696" max="8696" width="2.42578125" style="51" customWidth="1"/>
    <col min="8697" max="8698" width="8.85546875" style="51" customWidth="1"/>
    <col min="8699" max="8699" width="9.28515625" style="51" customWidth="1"/>
    <col min="8700" max="8700" width="2.42578125" style="51" customWidth="1"/>
    <col min="8701" max="8703" width="8.85546875" style="51" customWidth="1"/>
    <col min="8704" max="8704" width="9.28515625" style="51" customWidth="1"/>
    <col min="8705" max="8705" width="10.42578125" style="51" customWidth="1"/>
    <col min="8706" max="8706" width="9" style="51" bestFit="1" customWidth="1"/>
    <col min="8707" max="8707" width="10" style="51" bestFit="1" customWidth="1"/>
    <col min="8708" max="8950" width="9.140625" style="51"/>
    <col min="8951" max="8951" width="18.42578125" style="51" customWidth="1"/>
    <col min="8952" max="8952" width="2.42578125" style="51" customWidth="1"/>
    <col min="8953" max="8954" width="8.85546875" style="51" customWidth="1"/>
    <col min="8955" max="8955" width="9.28515625" style="51" customWidth="1"/>
    <col min="8956" max="8956" width="2.42578125" style="51" customWidth="1"/>
    <col min="8957" max="8959" width="8.85546875" style="51" customWidth="1"/>
    <col min="8960" max="8960" width="9.28515625" style="51" customWidth="1"/>
    <col min="8961" max="8961" width="10.42578125" style="51" customWidth="1"/>
    <col min="8962" max="8962" width="9" style="51" bestFit="1" customWidth="1"/>
    <col min="8963" max="8963" width="10" style="51" bestFit="1" customWidth="1"/>
    <col min="8964" max="9206" width="9.140625" style="51"/>
    <col min="9207" max="9207" width="18.42578125" style="51" customWidth="1"/>
    <col min="9208" max="9208" width="2.42578125" style="51" customWidth="1"/>
    <col min="9209" max="9210" width="8.85546875" style="51" customWidth="1"/>
    <col min="9211" max="9211" width="9.28515625" style="51" customWidth="1"/>
    <col min="9212" max="9212" width="2.42578125" style="51" customWidth="1"/>
    <col min="9213" max="9215" width="8.85546875" style="51" customWidth="1"/>
    <col min="9216" max="9216" width="9.28515625" style="51" customWidth="1"/>
    <col min="9217" max="9217" width="10.42578125" style="51" customWidth="1"/>
    <col min="9218" max="9218" width="9" style="51" bestFit="1" customWidth="1"/>
    <col min="9219" max="9219" width="10" style="51" bestFit="1" customWidth="1"/>
    <col min="9220" max="9462" width="9.140625" style="51"/>
    <col min="9463" max="9463" width="18.42578125" style="51" customWidth="1"/>
    <col min="9464" max="9464" width="2.42578125" style="51" customWidth="1"/>
    <col min="9465" max="9466" width="8.85546875" style="51" customWidth="1"/>
    <col min="9467" max="9467" width="9.28515625" style="51" customWidth="1"/>
    <col min="9468" max="9468" width="2.42578125" style="51" customWidth="1"/>
    <col min="9469" max="9471" width="8.85546875" style="51" customWidth="1"/>
    <col min="9472" max="9472" width="9.28515625" style="51" customWidth="1"/>
    <col min="9473" max="9473" width="10.42578125" style="51" customWidth="1"/>
    <col min="9474" max="9474" width="9" style="51" bestFit="1" customWidth="1"/>
    <col min="9475" max="9475" width="10" style="51" bestFit="1" customWidth="1"/>
    <col min="9476" max="9718" width="9.140625" style="51"/>
    <col min="9719" max="9719" width="18.42578125" style="51" customWidth="1"/>
    <col min="9720" max="9720" width="2.42578125" style="51" customWidth="1"/>
    <col min="9721" max="9722" width="8.85546875" style="51" customWidth="1"/>
    <col min="9723" max="9723" width="9.28515625" style="51" customWidth="1"/>
    <col min="9724" max="9724" width="2.42578125" style="51" customWidth="1"/>
    <col min="9725" max="9727" width="8.85546875" style="51" customWidth="1"/>
    <col min="9728" max="9728" width="9.28515625" style="51" customWidth="1"/>
    <col min="9729" max="9729" width="10.42578125" style="51" customWidth="1"/>
    <col min="9730" max="9730" width="9" style="51" bestFit="1" customWidth="1"/>
    <col min="9731" max="9731" width="10" style="51" bestFit="1" customWidth="1"/>
    <col min="9732" max="9974" width="9.140625" style="51"/>
    <col min="9975" max="9975" width="18.42578125" style="51" customWidth="1"/>
    <col min="9976" max="9976" width="2.42578125" style="51" customWidth="1"/>
    <col min="9977" max="9978" width="8.85546875" style="51" customWidth="1"/>
    <col min="9979" max="9979" width="9.28515625" style="51" customWidth="1"/>
    <col min="9980" max="9980" width="2.42578125" style="51" customWidth="1"/>
    <col min="9981" max="9983" width="8.85546875" style="51" customWidth="1"/>
    <col min="9984" max="9984" width="9.28515625" style="51" customWidth="1"/>
    <col min="9985" max="9985" width="10.42578125" style="51" customWidth="1"/>
    <col min="9986" max="9986" width="9" style="51" bestFit="1" customWidth="1"/>
    <col min="9987" max="9987" width="10" style="51" bestFit="1" customWidth="1"/>
    <col min="9988" max="10230" width="9.140625" style="51"/>
    <col min="10231" max="10231" width="18.42578125" style="51" customWidth="1"/>
    <col min="10232" max="10232" width="2.42578125" style="51" customWidth="1"/>
    <col min="10233" max="10234" width="8.85546875" style="51" customWidth="1"/>
    <col min="10235" max="10235" width="9.28515625" style="51" customWidth="1"/>
    <col min="10236" max="10236" width="2.42578125" style="51" customWidth="1"/>
    <col min="10237" max="10239" width="8.85546875" style="51" customWidth="1"/>
    <col min="10240" max="10240" width="9.28515625" style="51" customWidth="1"/>
    <col min="10241" max="10241" width="10.42578125" style="51" customWidth="1"/>
    <col min="10242" max="10242" width="9" style="51" bestFit="1" customWidth="1"/>
    <col min="10243" max="10243" width="10" style="51" bestFit="1" customWidth="1"/>
    <col min="10244" max="10486" width="9.140625" style="51"/>
    <col min="10487" max="10487" width="18.42578125" style="51" customWidth="1"/>
    <col min="10488" max="10488" width="2.42578125" style="51" customWidth="1"/>
    <col min="10489" max="10490" width="8.85546875" style="51" customWidth="1"/>
    <col min="10491" max="10491" width="9.28515625" style="51" customWidth="1"/>
    <col min="10492" max="10492" width="2.42578125" style="51" customWidth="1"/>
    <col min="10493" max="10495" width="8.85546875" style="51" customWidth="1"/>
    <col min="10496" max="10496" width="9.28515625" style="51" customWidth="1"/>
    <col min="10497" max="10497" width="10.42578125" style="51" customWidth="1"/>
    <col min="10498" max="10498" width="9" style="51" bestFit="1" customWidth="1"/>
    <col min="10499" max="10499" width="10" style="51" bestFit="1" customWidth="1"/>
    <col min="10500" max="10742" width="9.140625" style="51"/>
    <col min="10743" max="10743" width="18.42578125" style="51" customWidth="1"/>
    <col min="10744" max="10744" width="2.42578125" style="51" customWidth="1"/>
    <col min="10745" max="10746" width="8.85546875" style="51" customWidth="1"/>
    <col min="10747" max="10747" width="9.28515625" style="51" customWidth="1"/>
    <col min="10748" max="10748" width="2.42578125" style="51" customWidth="1"/>
    <col min="10749" max="10751" width="8.85546875" style="51" customWidth="1"/>
    <col min="10752" max="10752" width="9.28515625" style="51" customWidth="1"/>
    <col min="10753" max="10753" width="10.42578125" style="51" customWidth="1"/>
    <col min="10754" max="10754" width="9" style="51" bestFit="1" customWidth="1"/>
    <col min="10755" max="10755" width="10" style="51" bestFit="1" customWidth="1"/>
    <col min="10756" max="10998" width="9.140625" style="51"/>
    <col min="10999" max="10999" width="18.42578125" style="51" customWidth="1"/>
    <col min="11000" max="11000" width="2.42578125" style="51" customWidth="1"/>
    <col min="11001" max="11002" width="8.85546875" style="51" customWidth="1"/>
    <col min="11003" max="11003" width="9.28515625" style="51" customWidth="1"/>
    <col min="11004" max="11004" width="2.42578125" style="51" customWidth="1"/>
    <col min="11005" max="11007" width="8.85546875" style="51" customWidth="1"/>
    <col min="11008" max="11008" width="9.28515625" style="51" customWidth="1"/>
    <col min="11009" max="11009" width="10.42578125" style="51" customWidth="1"/>
    <col min="11010" max="11010" width="9" style="51" bestFit="1" customWidth="1"/>
    <col min="11011" max="11011" width="10" style="51" bestFit="1" customWidth="1"/>
    <col min="11012" max="11254" width="9.140625" style="51"/>
    <col min="11255" max="11255" width="18.42578125" style="51" customWidth="1"/>
    <col min="11256" max="11256" width="2.42578125" style="51" customWidth="1"/>
    <col min="11257" max="11258" width="8.85546875" style="51" customWidth="1"/>
    <col min="11259" max="11259" width="9.28515625" style="51" customWidth="1"/>
    <col min="11260" max="11260" width="2.42578125" style="51" customWidth="1"/>
    <col min="11261" max="11263" width="8.85546875" style="51" customWidth="1"/>
    <col min="11264" max="11264" width="9.28515625" style="51" customWidth="1"/>
    <col min="11265" max="11265" width="10.42578125" style="51" customWidth="1"/>
    <col min="11266" max="11266" width="9" style="51" bestFit="1" customWidth="1"/>
    <col min="11267" max="11267" width="10" style="51" bestFit="1" customWidth="1"/>
    <col min="11268" max="11510" width="9.140625" style="51"/>
    <col min="11511" max="11511" width="18.42578125" style="51" customWidth="1"/>
    <col min="11512" max="11512" width="2.42578125" style="51" customWidth="1"/>
    <col min="11513" max="11514" width="8.85546875" style="51" customWidth="1"/>
    <col min="11515" max="11515" width="9.28515625" style="51" customWidth="1"/>
    <col min="11516" max="11516" width="2.42578125" style="51" customWidth="1"/>
    <col min="11517" max="11519" width="8.85546875" style="51" customWidth="1"/>
    <col min="11520" max="11520" width="9.28515625" style="51" customWidth="1"/>
    <col min="11521" max="11521" width="10.42578125" style="51" customWidth="1"/>
    <col min="11522" max="11522" width="9" style="51" bestFit="1" customWidth="1"/>
    <col min="11523" max="11523" width="10" style="51" bestFit="1" customWidth="1"/>
    <col min="11524" max="11766" width="9.140625" style="51"/>
    <col min="11767" max="11767" width="18.42578125" style="51" customWidth="1"/>
    <col min="11768" max="11768" width="2.42578125" style="51" customWidth="1"/>
    <col min="11769" max="11770" width="8.85546875" style="51" customWidth="1"/>
    <col min="11771" max="11771" width="9.28515625" style="51" customWidth="1"/>
    <col min="11772" max="11772" width="2.42578125" style="51" customWidth="1"/>
    <col min="11773" max="11775" width="8.85546875" style="51" customWidth="1"/>
    <col min="11776" max="11776" width="9.28515625" style="51" customWidth="1"/>
    <col min="11777" max="11777" width="10.42578125" style="51" customWidth="1"/>
    <col min="11778" max="11778" width="9" style="51" bestFit="1" customWidth="1"/>
    <col min="11779" max="11779" width="10" style="51" bestFit="1" customWidth="1"/>
    <col min="11780" max="12022" width="9.140625" style="51"/>
    <col min="12023" max="12023" width="18.42578125" style="51" customWidth="1"/>
    <col min="12024" max="12024" width="2.42578125" style="51" customWidth="1"/>
    <col min="12025" max="12026" width="8.85546875" style="51" customWidth="1"/>
    <col min="12027" max="12027" width="9.28515625" style="51" customWidth="1"/>
    <col min="12028" max="12028" width="2.42578125" style="51" customWidth="1"/>
    <col min="12029" max="12031" width="8.85546875" style="51" customWidth="1"/>
    <col min="12032" max="12032" width="9.28515625" style="51" customWidth="1"/>
    <col min="12033" max="12033" width="10.42578125" style="51" customWidth="1"/>
    <col min="12034" max="12034" width="9" style="51" bestFit="1" customWidth="1"/>
    <col min="12035" max="12035" width="10" style="51" bestFit="1" customWidth="1"/>
    <col min="12036" max="12278" width="9.140625" style="51"/>
    <col min="12279" max="12279" width="18.42578125" style="51" customWidth="1"/>
    <col min="12280" max="12280" width="2.42578125" style="51" customWidth="1"/>
    <col min="12281" max="12282" width="8.85546875" style="51" customWidth="1"/>
    <col min="12283" max="12283" width="9.28515625" style="51" customWidth="1"/>
    <col min="12284" max="12284" width="2.42578125" style="51" customWidth="1"/>
    <col min="12285" max="12287" width="8.85546875" style="51" customWidth="1"/>
    <col min="12288" max="12288" width="9.28515625" style="51" customWidth="1"/>
    <col min="12289" max="12289" width="10.42578125" style="51" customWidth="1"/>
    <col min="12290" max="12290" width="9" style="51" bestFit="1" customWidth="1"/>
    <col min="12291" max="12291" width="10" style="51" bestFit="1" customWidth="1"/>
    <col min="12292" max="12534" width="9.140625" style="51"/>
    <col min="12535" max="12535" width="18.42578125" style="51" customWidth="1"/>
    <col min="12536" max="12536" width="2.42578125" style="51" customWidth="1"/>
    <col min="12537" max="12538" width="8.85546875" style="51" customWidth="1"/>
    <col min="12539" max="12539" width="9.28515625" style="51" customWidth="1"/>
    <col min="12540" max="12540" width="2.42578125" style="51" customWidth="1"/>
    <col min="12541" max="12543" width="8.85546875" style="51" customWidth="1"/>
    <col min="12544" max="12544" width="9.28515625" style="51" customWidth="1"/>
    <col min="12545" max="12545" width="10.42578125" style="51" customWidth="1"/>
    <col min="12546" max="12546" width="9" style="51" bestFit="1" customWidth="1"/>
    <col min="12547" max="12547" width="10" style="51" bestFit="1" customWidth="1"/>
    <col min="12548" max="12790" width="9.140625" style="51"/>
    <col min="12791" max="12791" width="18.42578125" style="51" customWidth="1"/>
    <col min="12792" max="12792" width="2.42578125" style="51" customWidth="1"/>
    <col min="12793" max="12794" width="8.85546875" style="51" customWidth="1"/>
    <col min="12795" max="12795" width="9.28515625" style="51" customWidth="1"/>
    <col min="12796" max="12796" width="2.42578125" style="51" customWidth="1"/>
    <col min="12797" max="12799" width="8.85546875" style="51" customWidth="1"/>
    <col min="12800" max="12800" width="9.28515625" style="51" customWidth="1"/>
    <col min="12801" max="12801" width="10.42578125" style="51" customWidth="1"/>
    <col min="12802" max="12802" width="9" style="51" bestFit="1" customWidth="1"/>
    <col min="12803" max="12803" width="10" style="51" bestFit="1" customWidth="1"/>
    <col min="12804" max="13046" width="9.140625" style="51"/>
    <col min="13047" max="13047" width="18.42578125" style="51" customWidth="1"/>
    <col min="13048" max="13048" width="2.42578125" style="51" customWidth="1"/>
    <col min="13049" max="13050" width="8.85546875" style="51" customWidth="1"/>
    <col min="13051" max="13051" width="9.28515625" style="51" customWidth="1"/>
    <col min="13052" max="13052" width="2.42578125" style="51" customWidth="1"/>
    <col min="13053" max="13055" width="8.85546875" style="51" customWidth="1"/>
    <col min="13056" max="13056" width="9.28515625" style="51" customWidth="1"/>
    <col min="13057" max="13057" width="10.42578125" style="51" customWidth="1"/>
    <col min="13058" max="13058" width="9" style="51" bestFit="1" customWidth="1"/>
    <col min="13059" max="13059" width="10" style="51" bestFit="1" customWidth="1"/>
    <col min="13060" max="13302" width="9.140625" style="51"/>
    <col min="13303" max="13303" width="18.42578125" style="51" customWidth="1"/>
    <col min="13304" max="13304" width="2.42578125" style="51" customWidth="1"/>
    <col min="13305" max="13306" width="8.85546875" style="51" customWidth="1"/>
    <col min="13307" max="13307" width="9.28515625" style="51" customWidth="1"/>
    <col min="13308" max="13308" width="2.42578125" style="51" customWidth="1"/>
    <col min="13309" max="13311" width="8.85546875" style="51" customWidth="1"/>
    <col min="13312" max="13312" width="9.28515625" style="51" customWidth="1"/>
    <col min="13313" max="13313" width="10.42578125" style="51" customWidth="1"/>
    <col min="13314" max="13314" width="9" style="51" bestFit="1" customWidth="1"/>
    <col min="13315" max="13315" width="10" style="51" bestFit="1" customWidth="1"/>
    <col min="13316" max="13558" width="9.140625" style="51"/>
    <col min="13559" max="13559" width="18.42578125" style="51" customWidth="1"/>
    <col min="13560" max="13560" width="2.42578125" style="51" customWidth="1"/>
    <col min="13561" max="13562" width="8.85546875" style="51" customWidth="1"/>
    <col min="13563" max="13563" width="9.28515625" style="51" customWidth="1"/>
    <col min="13564" max="13564" width="2.42578125" style="51" customWidth="1"/>
    <col min="13565" max="13567" width="8.85546875" style="51" customWidth="1"/>
    <col min="13568" max="13568" width="9.28515625" style="51" customWidth="1"/>
    <col min="13569" max="13569" width="10.42578125" style="51" customWidth="1"/>
    <col min="13570" max="13570" width="9" style="51" bestFit="1" customWidth="1"/>
    <col min="13571" max="13571" width="10" style="51" bestFit="1" customWidth="1"/>
    <col min="13572" max="13814" width="9.140625" style="51"/>
    <col min="13815" max="13815" width="18.42578125" style="51" customWidth="1"/>
    <col min="13816" max="13816" width="2.42578125" style="51" customWidth="1"/>
    <col min="13817" max="13818" width="8.85546875" style="51" customWidth="1"/>
    <col min="13819" max="13819" width="9.28515625" style="51" customWidth="1"/>
    <col min="13820" max="13820" width="2.42578125" style="51" customWidth="1"/>
    <col min="13821" max="13823" width="8.85546875" style="51" customWidth="1"/>
    <col min="13824" max="13824" width="9.28515625" style="51" customWidth="1"/>
    <col min="13825" max="13825" width="10.42578125" style="51" customWidth="1"/>
    <col min="13826" max="13826" width="9" style="51" bestFit="1" customWidth="1"/>
    <col min="13827" max="13827" width="10" style="51" bestFit="1" customWidth="1"/>
    <col min="13828" max="14070" width="9.140625" style="51"/>
    <col min="14071" max="14071" width="18.42578125" style="51" customWidth="1"/>
    <col min="14072" max="14072" width="2.42578125" style="51" customWidth="1"/>
    <col min="14073" max="14074" width="8.85546875" style="51" customWidth="1"/>
    <col min="14075" max="14075" width="9.28515625" style="51" customWidth="1"/>
    <col min="14076" max="14076" width="2.42578125" style="51" customWidth="1"/>
    <col min="14077" max="14079" width="8.85546875" style="51" customWidth="1"/>
    <col min="14080" max="14080" width="9.28515625" style="51" customWidth="1"/>
    <col min="14081" max="14081" width="10.42578125" style="51" customWidth="1"/>
    <col min="14082" max="14082" width="9" style="51" bestFit="1" customWidth="1"/>
    <col min="14083" max="14083" width="10" style="51" bestFit="1" customWidth="1"/>
    <col min="14084" max="14326" width="9.140625" style="51"/>
    <col min="14327" max="14327" width="18.42578125" style="51" customWidth="1"/>
    <col min="14328" max="14328" width="2.42578125" style="51" customWidth="1"/>
    <col min="14329" max="14330" width="8.85546875" style="51" customWidth="1"/>
    <col min="14331" max="14331" width="9.28515625" style="51" customWidth="1"/>
    <col min="14332" max="14332" width="2.42578125" style="51" customWidth="1"/>
    <col min="14333" max="14335" width="8.85546875" style="51" customWidth="1"/>
    <col min="14336" max="14336" width="9.28515625" style="51" customWidth="1"/>
    <col min="14337" max="14337" width="10.42578125" style="51" customWidth="1"/>
    <col min="14338" max="14338" width="9" style="51" bestFit="1" customWidth="1"/>
    <col min="14339" max="14339" width="10" style="51" bestFit="1" customWidth="1"/>
    <col min="14340" max="14582" width="9.140625" style="51"/>
    <col min="14583" max="14583" width="18.42578125" style="51" customWidth="1"/>
    <col min="14584" max="14584" width="2.42578125" style="51" customWidth="1"/>
    <col min="14585" max="14586" width="8.85546875" style="51" customWidth="1"/>
    <col min="14587" max="14587" width="9.28515625" style="51" customWidth="1"/>
    <col min="14588" max="14588" width="2.42578125" style="51" customWidth="1"/>
    <col min="14589" max="14591" width="8.85546875" style="51" customWidth="1"/>
    <col min="14592" max="14592" width="9.28515625" style="51" customWidth="1"/>
    <col min="14593" max="14593" width="10.42578125" style="51" customWidth="1"/>
    <col min="14594" max="14594" width="9" style="51" bestFit="1" customWidth="1"/>
    <col min="14595" max="14595" width="10" style="51" bestFit="1" customWidth="1"/>
    <col min="14596" max="14838" width="9.140625" style="51"/>
    <col min="14839" max="14839" width="18.42578125" style="51" customWidth="1"/>
    <col min="14840" max="14840" width="2.42578125" style="51" customWidth="1"/>
    <col min="14841" max="14842" width="8.85546875" style="51" customWidth="1"/>
    <col min="14843" max="14843" width="9.28515625" style="51" customWidth="1"/>
    <col min="14844" max="14844" width="2.42578125" style="51" customWidth="1"/>
    <col min="14845" max="14847" width="8.85546875" style="51" customWidth="1"/>
    <col min="14848" max="14848" width="9.28515625" style="51" customWidth="1"/>
    <col min="14849" max="14849" width="10.42578125" style="51" customWidth="1"/>
    <col min="14850" max="14850" width="9" style="51" bestFit="1" customWidth="1"/>
    <col min="14851" max="14851" width="10" style="51" bestFit="1" customWidth="1"/>
    <col min="14852" max="15094" width="9.140625" style="51"/>
    <col min="15095" max="15095" width="18.42578125" style="51" customWidth="1"/>
    <col min="15096" max="15096" width="2.42578125" style="51" customWidth="1"/>
    <col min="15097" max="15098" width="8.85546875" style="51" customWidth="1"/>
    <col min="15099" max="15099" width="9.28515625" style="51" customWidth="1"/>
    <col min="15100" max="15100" width="2.42578125" style="51" customWidth="1"/>
    <col min="15101" max="15103" width="8.85546875" style="51" customWidth="1"/>
    <col min="15104" max="15104" width="9.28515625" style="51" customWidth="1"/>
    <col min="15105" max="15105" width="10.42578125" style="51" customWidth="1"/>
    <col min="15106" max="15106" width="9" style="51" bestFit="1" customWidth="1"/>
    <col min="15107" max="15107" width="10" style="51" bestFit="1" customWidth="1"/>
    <col min="15108" max="15350" width="9.140625" style="51"/>
    <col min="15351" max="15351" width="18.42578125" style="51" customWidth="1"/>
    <col min="15352" max="15352" width="2.42578125" style="51" customWidth="1"/>
    <col min="15353" max="15354" width="8.85546875" style="51" customWidth="1"/>
    <col min="15355" max="15355" width="9.28515625" style="51" customWidth="1"/>
    <col min="15356" max="15356" width="2.42578125" style="51" customWidth="1"/>
    <col min="15357" max="15359" width="8.85546875" style="51" customWidth="1"/>
    <col min="15360" max="15360" width="9.28515625" style="51" customWidth="1"/>
    <col min="15361" max="15361" width="10.42578125" style="51" customWidth="1"/>
    <col min="15362" max="15362" width="9" style="51" bestFit="1" customWidth="1"/>
    <col min="15363" max="15363" width="10" style="51" bestFit="1" customWidth="1"/>
    <col min="15364" max="15606" width="9.140625" style="51"/>
    <col min="15607" max="15607" width="18.42578125" style="51" customWidth="1"/>
    <col min="15608" max="15608" width="2.42578125" style="51" customWidth="1"/>
    <col min="15609" max="15610" width="8.85546875" style="51" customWidth="1"/>
    <col min="15611" max="15611" width="9.28515625" style="51" customWidth="1"/>
    <col min="15612" max="15612" width="2.42578125" style="51" customWidth="1"/>
    <col min="15613" max="15615" width="8.85546875" style="51" customWidth="1"/>
    <col min="15616" max="15616" width="9.28515625" style="51" customWidth="1"/>
    <col min="15617" max="15617" width="10.42578125" style="51" customWidth="1"/>
    <col min="15618" max="15618" width="9" style="51" bestFit="1" customWidth="1"/>
    <col min="15619" max="15619" width="10" style="51" bestFit="1" customWidth="1"/>
    <col min="15620" max="15862" width="9.140625" style="51"/>
    <col min="15863" max="15863" width="18.42578125" style="51" customWidth="1"/>
    <col min="15864" max="15864" width="2.42578125" style="51" customWidth="1"/>
    <col min="15865" max="15866" width="8.85546875" style="51" customWidth="1"/>
    <col min="15867" max="15867" width="9.28515625" style="51" customWidth="1"/>
    <col min="15868" max="15868" width="2.42578125" style="51" customWidth="1"/>
    <col min="15869" max="15871" width="8.85546875" style="51" customWidth="1"/>
    <col min="15872" max="15872" width="9.28515625" style="51" customWidth="1"/>
    <col min="15873" max="15873" width="10.42578125" style="51" customWidth="1"/>
    <col min="15874" max="15874" width="9" style="51" bestFit="1" customWidth="1"/>
    <col min="15875" max="15875" width="10" style="51" bestFit="1" customWidth="1"/>
    <col min="15876" max="16118" width="9.140625" style="51"/>
    <col min="16119" max="16119" width="18.42578125" style="51" customWidth="1"/>
    <col min="16120" max="16120" width="2.42578125" style="51" customWidth="1"/>
    <col min="16121" max="16122" width="8.85546875" style="51" customWidth="1"/>
    <col min="16123" max="16123" width="9.28515625" style="51" customWidth="1"/>
    <col min="16124" max="16124" width="2.42578125" style="51" customWidth="1"/>
    <col min="16125" max="16127" width="8.85546875" style="51" customWidth="1"/>
    <col min="16128" max="16128" width="9.28515625" style="51" customWidth="1"/>
    <col min="16129" max="16129" width="10.42578125" style="51" customWidth="1"/>
    <col min="16130" max="16130" width="9" style="51" bestFit="1" customWidth="1"/>
    <col min="16131" max="16131" width="10" style="51" bestFit="1" customWidth="1"/>
    <col min="16132" max="16384" width="9.140625" style="51"/>
  </cols>
  <sheetData>
    <row r="1" spans="1:10" s="68" customFormat="1" ht="20.25" customHeight="1" x14ac:dyDescent="0.25">
      <c r="A1" s="29" t="s">
        <v>619</v>
      </c>
      <c r="B1" s="30"/>
      <c r="C1" s="30"/>
      <c r="D1" s="30"/>
      <c r="E1" s="30"/>
      <c r="F1" s="30"/>
      <c r="G1" s="30"/>
      <c r="H1" s="30"/>
      <c r="I1" s="117"/>
      <c r="J1" s="30"/>
    </row>
    <row r="2" spans="1:10" ht="18" customHeight="1" x14ac:dyDescent="0.2">
      <c r="A2" s="99"/>
      <c r="B2" s="100"/>
      <c r="C2" s="196" t="s">
        <v>341</v>
      </c>
      <c r="D2" s="196"/>
      <c r="E2" s="196"/>
      <c r="F2" s="100"/>
      <c r="G2" s="196" t="s">
        <v>342</v>
      </c>
      <c r="H2" s="196"/>
      <c r="I2" s="196"/>
      <c r="J2" s="196"/>
    </row>
    <row r="3" spans="1:10" s="121" customFormat="1" ht="32.25" customHeight="1" x14ac:dyDescent="0.25">
      <c r="A3" s="118"/>
      <c r="B3" s="118"/>
      <c r="C3" s="119" t="s">
        <v>581</v>
      </c>
      <c r="D3" s="119" t="s">
        <v>582</v>
      </c>
      <c r="E3" s="120" t="s">
        <v>343</v>
      </c>
      <c r="F3" s="167"/>
      <c r="G3" s="119" t="s">
        <v>344</v>
      </c>
      <c r="H3" s="119" t="s">
        <v>583</v>
      </c>
      <c r="I3" s="126" t="s">
        <v>345</v>
      </c>
      <c r="J3" s="120" t="s">
        <v>346</v>
      </c>
    </row>
    <row r="4" spans="1:10" s="16" customFormat="1" x14ac:dyDescent="0.25">
      <c r="A4" s="1" t="s">
        <v>31</v>
      </c>
      <c r="B4" s="122"/>
      <c r="C4" s="40">
        <v>8739.0932300000004</v>
      </c>
      <c r="D4" s="40">
        <v>23849.050279999999</v>
      </c>
      <c r="E4" s="41">
        <v>32588.143510000002</v>
      </c>
      <c r="F4" s="109"/>
      <c r="G4" s="40">
        <v>24626.269120000001</v>
      </c>
      <c r="H4" s="40">
        <v>7961.8743899999999</v>
      </c>
      <c r="I4" s="123">
        <v>7705.5815400000001</v>
      </c>
      <c r="J4" s="41">
        <v>32588.143510000002</v>
      </c>
    </row>
    <row r="5" spans="1:10" s="16" customFormat="1" x14ac:dyDescent="0.25">
      <c r="A5" s="2" t="s">
        <v>32</v>
      </c>
      <c r="C5" s="40">
        <v>17681.014890000002</v>
      </c>
      <c r="D5" s="40">
        <v>28956.621300000003</v>
      </c>
      <c r="E5" s="41">
        <v>46637.636190000005</v>
      </c>
      <c r="F5" s="103"/>
      <c r="G5" s="40">
        <v>40001.112509999999</v>
      </c>
      <c r="H5" s="40">
        <v>6636.5236799999993</v>
      </c>
      <c r="I5" s="123">
        <v>7058.4640199999994</v>
      </c>
      <c r="J5" s="41">
        <v>46637.636189999997</v>
      </c>
    </row>
    <row r="6" spans="1:10" s="16" customFormat="1" x14ac:dyDescent="0.25">
      <c r="A6" s="2" t="s">
        <v>4</v>
      </c>
      <c r="C6" s="40">
        <v>10984.470310000001</v>
      </c>
      <c r="D6" s="40">
        <v>13308.18849</v>
      </c>
      <c r="E6" s="41">
        <v>24292.658800000001</v>
      </c>
      <c r="F6" s="103"/>
      <c r="G6" s="40">
        <v>21109.070540000001</v>
      </c>
      <c r="H6" s="40">
        <v>3183.58826</v>
      </c>
      <c r="I6" s="123">
        <v>3182.0694399999998</v>
      </c>
      <c r="J6" s="41">
        <v>24292.658800000001</v>
      </c>
    </row>
    <row r="7" spans="1:10" s="16" customFormat="1" x14ac:dyDescent="0.25">
      <c r="A7" s="2" t="s">
        <v>33</v>
      </c>
      <c r="C7" s="40">
        <v>4118.5024999999996</v>
      </c>
      <c r="D7" s="40">
        <v>13080.914849999999</v>
      </c>
      <c r="E7" s="41">
        <v>17199.41735</v>
      </c>
      <c r="F7" s="103"/>
      <c r="G7" s="40">
        <v>14333.749619999999</v>
      </c>
      <c r="H7" s="40">
        <v>2865.6677300000001</v>
      </c>
      <c r="I7" s="123">
        <v>3101.1083199999998</v>
      </c>
      <c r="J7" s="41">
        <v>17199.41735</v>
      </c>
    </row>
    <row r="8" spans="1:10" s="16" customFormat="1" x14ac:dyDescent="0.25">
      <c r="A8" s="2" t="s">
        <v>34</v>
      </c>
      <c r="C8" s="40">
        <v>1180.9647600000001</v>
      </c>
      <c r="D8" s="40">
        <v>3513.23614</v>
      </c>
      <c r="E8" s="41">
        <v>4694.2008999999998</v>
      </c>
      <c r="F8" s="103"/>
      <c r="G8" s="40">
        <v>3999.9310299999997</v>
      </c>
      <c r="H8" s="40">
        <v>694.26986999999997</v>
      </c>
      <c r="I8" s="123">
        <v>844.44643000000008</v>
      </c>
      <c r="J8" s="41">
        <v>4694.2008999999998</v>
      </c>
    </row>
    <row r="9" spans="1:10" s="16" customFormat="1" x14ac:dyDescent="0.25">
      <c r="A9" s="2" t="s">
        <v>35</v>
      </c>
      <c r="C9" s="40">
        <v>16330.05286</v>
      </c>
      <c r="D9" s="40">
        <v>28349.901530000003</v>
      </c>
      <c r="E9" s="41">
        <v>44679.954389999999</v>
      </c>
      <c r="F9" s="103"/>
      <c r="G9" s="40">
        <v>36961.740310000001</v>
      </c>
      <c r="H9" s="40">
        <v>7718.2140799999997</v>
      </c>
      <c r="I9" s="123">
        <v>7524.8851699999996</v>
      </c>
      <c r="J9" s="41">
        <v>44679.954389999999</v>
      </c>
    </row>
    <row r="10" spans="1:10" s="16" customFormat="1" x14ac:dyDescent="0.25">
      <c r="A10" s="2" t="s">
        <v>36</v>
      </c>
      <c r="C10" s="40">
        <v>1406.84671</v>
      </c>
      <c r="D10" s="40">
        <v>9041.0868399999999</v>
      </c>
      <c r="E10" s="41">
        <v>10447.93355</v>
      </c>
      <c r="F10" s="103"/>
      <c r="G10" s="40">
        <v>9440.6989400000002</v>
      </c>
      <c r="H10" s="40">
        <v>1007.23461</v>
      </c>
      <c r="I10" s="123">
        <v>1155.5431999999998</v>
      </c>
      <c r="J10" s="41">
        <v>10447.93355</v>
      </c>
    </row>
    <row r="11" spans="1:10" s="16" customFormat="1" x14ac:dyDescent="0.25">
      <c r="A11" s="2" t="s">
        <v>5</v>
      </c>
      <c r="C11" s="40">
        <v>23553.379690000002</v>
      </c>
      <c r="D11" s="40">
        <v>45018.669009999998</v>
      </c>
      <c r="E11" s="41">
        <v>68572.048699999999</v>
      </c>
      <c r="F11" s="103"/>
      <c r="G11" s="40">
        <v>36115.454610000001</v>
      </c>
      <c r="H11" s="40">
        <v>32456.594089999999</v>
      </c>
      <c r="I11" s="123">
        <v>32125.853510000001</v>
      </c>
      <c r="J11" s="41">
        <v>68572.048699999999</v>
      </c>
    </row>
    <row r="12" spans="1:10" s="16" customFormat="1" x14ac:dyDescent="0.25">
      <c r="A12" s="2" t="s">
        <v>37</v>
      </c>
      <c r="C12" s="40">
        <v>1735.18073</v>
      </c>
      <c r="D12" s="40">
        <v>1579.2025100000001</v>
      </c>
      <c r="E12" s="41">
        <v>3314.3832400000001</v>
      </c>
      <c r="F12" s="103"/>
      <c r="G12" s="40">
        <v>3306.01001</v>
      </c>
      <c r="H12" s="40">
        <v>8.3732299999999995</v>
      </c>
      <c r="I12" s="123">
        <v>100.21131</v>
      </c>
      <c r="J12" s="41">
        <v>3314.3832400000001</v>
      </c>
    </row>
    <row r="13" spans="1:10" s="16" customFormat="1" x14ac:dyDescent="0.25">
      <c r="A13" s="2" t="s">
        <v>38</v>
      </c>
      <c r="C13" s="40">
        <v>4144.0475500000002</v>
      </c>
      <c r="D13" s="40">
        <v>10652.107260000001</v>
      </c>
      <c r="E13" s="41">
        <v>14796.15481</v>
      </c>
      <c r="F13" s="103"/>
      <c r="G13" s="40">
        <v>12283.822769999999</v>
      </c>
      <c r="H13" s="40">
        <v>2512.3320400000002</v>
      </c>
      <c r="I13" s="123">
        <v>2562.6575499999999</v>
      </c>
      <c r="J13" s="41">
        <v>14796.15481</v>
      </c>
    </row>
    <row r="14" spans="1:10" s="16" customFormat="1" x14ac:dyDescent="0.25">
      <c r="A14" s="2" t="s">
        <v>6</v>
      </c>
      <c r="C14" s="40">
        <v>15228.10665</v>
      </c>
      <c r="D14" s="40">
        <v>21963.24425</v>
      </c>
      <c r="E14" s="41">
        <v>37191.350899999998</v>
      </c>
      <c r="F14" s="103"/>
      <c r="G14" s="40">
        <v>23950.557710000001</v>
      </c>
      <c r="H14" s="40">
        <v>13240.79319</v>
      </c>
      <c r="I14" s="123">
        <v>18835.951069999999</v>
      </c>
      <c r="J14" s="41">
        <v>37191.350900000005</v>
      </c>
    </row>
    <row r="15" spans="1:10" s="16" customFormat="1" x14ac:dyDescent="0.25">
      <c r="A15" s="2" t="s">
        <v>39</v>
      </c>
      <c r="C15" s="40">
        <v>6689.9225299999998</v>
      </c>
      <c r="D15" s="40">
        <v>18454.40482</v>
      </c>
      <c r="E15" s="41">
        <v>25144.32735</v>
      </c>
      <c r="F15" s="103"/>
      <c r="G15" s="40">
        <v>18863.687670000003</v>
      </c>
      <c r="H15" s="40">
        <v>6280.6396799999993</v>
      </c>
      <c r="I15" s="123">
        <v>6347.26836</v>
      </c>
      <c r="J15" s="41">
        <v>25144.327350000003</v>
      </c>
    </row>
    <row r="16" spans="1:10" s="16" customFormat="1" x14ac:dyDescent="0.25">
      <c r="A16" s="2" t="s">
        <v>40</v>
      </c>
      <c r="C16" s="40">
        <v>3042.10502</v>
      </c>
      <c r="D16" s="40">
        <v>4666.0890300000001</v>
      </c>
      <c r="E16" s="41">
        <v>7708.1940500000001</v>
      </c>
      <c r="F16" s="103"/>
      <c r="G16" s="40">
        <v>5942.68685</v>
      </c>
      <c r="H16" s="40">
        <v>1765.5072</v>
      </c>
      <c r="I16" s="123">
        <v>1481.5507399999999</v>
      </c>
      <c r="J16" s="41">
        <v>7708.1940500000001</v>
      </c>
    </row>
    <row r="17" spans="1:10" s="16" customFormat="1" x14ac:dyDescent="0.25">
      <c r="A17" s="2" t="s">
        <v>41</v>
      </c>
      <c r="C17" s="40">
        <v>1445.58761</v>
      </c>
      <c r="D17" s="40">
        <v>1927.20984</v>
      </c>
      <c r="E17" s="41">
        <v>3372.79745</v>
      </c>
      <c r="F17" s="103"/>
      <c r="G17" s="40">
        <v>2401.49505</v>
      </c>
      <c r="H17" s="40">
        <v>971.30240000000003</v>
      </c>
      <c r="I17" s="123">
        <v>993.99244999999996</v>
      </c>
      <c r="J17" s="41">
        <v>3372.79745</v>
      </c>
    </row>
    <row r="18" spans="1:10" s="16" customFormat="1" x14ac:dyDescent="0.25">
      <c r="A18" s="2" t="s">
        <v>27</v>
      </c>
      <c r="C18" s="40">
        <v>268553.38233999995</v>
      </c>
      <c r="D18" s="40">
        <v>351820.72130999999</v>
      </c>
      <c r="E18" s="41">
        <v>620374.10364999995</v>
      </c>
      <c r="F18" s="103"/>
      <c r="G18" s="40">
        <v>557020.65285000007</v>
      </c>
      <c r="H18" s="40">
        <v>63353.450799999999</v>
      </c>
      <c r="I18" s="123">
        <v>62525.129260000002</v>
      </c>
      <c r="J18" s="41">
        <v>620374.10365000006</v>
      </c>
    </row>
    <row r="19" spans="1:10" s="16" customFormat="1" x14ac:dyDescent="0.25">
      <c r="A19" s="2" t="s">
        <v>7</v>
      </c>
      <c r="C19" s="40">
        <v>15641.677619999999</v>
      </c>
      <c r="D19" s="40">
        <v>38267.238290000001</v>
      </c>
      <c r="E19" s="41">
        <v>53908.915909999996</v>
      </c>
      <c r="F19" s="103"/>
      <c r="G19" s="40">
        <v>38986.406090000004</v>
      </c>
      <c r="H19" s="40">
        <v>14922.509820000001</v>
      </c>
      <c r="I19" s="123">
        <v>14746.3199</v>
      </c>
      <c r="J19" s="41">
        <v>53908.915910000003</v>
      </c>
    </row>
    <row r="20" spans="1:10" s="16" customFormat="1" x14ac:dyDescent="0.25">
      <c r="A20" s="2" t="s">
        <v>42</v>
      </c>
      <c r="C20" s="40">
        <v>21817.70291</v>
      </c>
      <c r="D20" s="40">
        <v>32566.798139999999</v>
      </c>
      <c r="E20" s="41">
        <v>54384.501049999999</v>
      </c>
      <c r="F20" s="103"/>
      <c r="G20" s="40">
        <v>48503.347390000003</v>
      </c>
      <c r="H20" s="40">
        <v>5881.1536599999999</v>
      </c>
      <c r="I20" s="123">
        <v>6777.1961200000005</v>
      </c>
      <c r="J20" s="41">
        <v>54384.501050000006</v>
      </c>
    </row>
    <row r="21" spans="1:10" s="16" customFormat="1" x14ac:dyDescent="0.25">
      <c r="A21" s="2" t="s">
        <v>43</v>
      </c>
      <c r="C21" s="40">
        <v>5225.3608400000003</v>
      </c>
      <c r="D21" s="40">
        <v>10423.40093</v>
      </c>
      <c r="E21" s="41">
        <v>15648.761770000001</v>
      </c>
      <c r="F21" s="103"/>
      <c r="G21" s="40">
        <v>13406.64623</v>
      </c>
      <c r="H21" s="40">
        <v>2242.1155400000002</v>
      </c>
      <c r="I21" s="123">
        <v>2109.6100699999997</v>
      </c>
      <c r="J21" s="41">
        <v>15648.761770000001</v>
      </c>
    </row>
    <row r="22" spans="1:10" s="16" customFormat="1" x14ac:dyDescent="0.25">
      <c r="A22" s="2" t="s">
        <v>44</v>
      </c>
      <c r="C22" s="40">
        <v>5099.3019599999998</v>
      </c>
      <c r="D22" s="40">
        <v>21283.924300000002</v>
      </c>
      <c r="E22" s="41">
        <v>26383.226260000003</v>
      </c>
      <c r="F22" s="103"/>
      <c r="G22" s="40">
        <v>22090.835649999997</v>
      </c>
      <c r="H22" s="40">
        <v>4292.3906100000004</v>
      </c>
      <c r="I22" s="123">
        <v>4256.1158399999995</v>
      </c>
      <c r="J22" s="41">
        <v>26383.226259999996</v>
      </c>
    </row>
    <row r="23" spans="1:10" s="16" customFormat="1" x14ac:dyDescent="0.25">
      <c r="A23" s="2" t="s">
        <v>8</v>
      </c>
      <c r="C23" s="40">
        <v>8068.7176799999997</v>
      </c>
      <c r="D23" s="40">
        <v>4174.3413099999998</v>
      </c>
      <c r="E23" s="41">
        <v>12243.05899</v>
      </c>
      <c r="F23" s="103"/>
      <c r="G23" s="40">
        <v>10294.267699999999</v>
      </c>
      <c r="H23" s="40">
        <v>1948.7912900000001</v>
      </c>
      <c r="I23" s="123">
        <v>1971.40228</v>
      </c>
      <c r="J23" s="41">
        <v>12243.058989999998</v>
      </c>
    </row>
    <row r="24" spans="1:10" s="16" customFormat="1" x14ac:dyDescent="0.25">
      <c r="A24" s="2" t="s">
        <v>45</v>
      </c>
      <c r="C24" s="40">
        <v>774.89900999999998</v>
      </c>
      <c r="D24" s="40">
        <v>2133.8655800000001</v>
      </c>
      <c r="E24" s="41">
        <v>2908.7645900000002</v>
      </c>
      <c r="F24" s="103"/>
      <c r="G24" s="40">
        <v>3932.02162</v>
      </c>
      <c r="H24" s="40">
        <v>-1023.25703</v>
      </c>
      <c r="I24" s="123">
        <v>-1035.44202</v>
      </c>
      <c r="J24" s="41">
        <v>2908.7645899999998</v>
      </c>
    </row>
    <row r="25" spans="1:10" s="16" customFormat="1" x14ac:dyDescent="0.25">
      <c r="A25" s="2" t="s">
        <v>46</v>
      </c>
      <c r="C25" s="40">
        <v>4370.8415999999997</v>
      </c>
      <c r="D25" s="40">
        <v>26610.584930000001</v>
      </c>
      <c r="E25" s="41">
        <v>30981.426530000001</v>
      </c>
      <c r="F25" s="103"/>
      <c r="G25" s="40">
        <v>29236.143120000001</v>
      </c>
      <c r="H25" s="40">
        <v>1745.28341</v>
      </c>
      <c r="I25" s="123">
        <v>1787.1730600000001</v>
      </c>
      <c r="J25" s="41">
        <v>30981.426530000001</v>
      </c>
    </row>
    <row r="26" spans="1:10" s="16" customFormat="1" x14ac:dyDescent="0.25">
      <c r="A26" s="2" t="s">
        <v>47</v>
      </c>
      <c r="C26" s="40">
        <v>3454.3175099999999</v>
      </c>
      <c r="D26" s="40">
        <v>5972.4681100000007</v>
      </c>
      <c r="E26" s="41">
        <v>9426.7856200000006</v>
      </c>
      <c r="F26" s="103"/>
      <c r="G26" s="40">
        <v>8190.1010500000002</v>
      </c>
      <c r="H26" s="40">
        <v>1236.6845700000001</v>
      </c>
      <c r="I26" s="123">
        <v>1254.49324</v>
      </c>
      <c r="J26" s="41">
        <v>9426.7856200000006</v>
      </c>
    </row>
    <row r="27" spans="1:10" s="16" customFormat="1" x14ac:dyDescent="0.25">
      <c r="A27" s="2" t="s">
        <v>48</v>
      </c>
      <c r="C27" s="40">
        <v>4544.8972000000003</v>
      </c>
      <c r="D27" s="40">
        <v>33650.751859999997</v>
      </c>
      <c r="E27" s="41">
        <v>38195.649059999996</v>
      </c>
      <c r="F27" s="103"/>
      <c r="G27" s="40">
        <v>27883.930629999999</v>
      </c>
      <c r="H27" s="40">
        <v>10311.718429999999</v>
      </c>
      <c r="I27" s="123">
        <v>6046.0034699999997</v>
      </c>
      <c r="J27" s="41">
        <v>38195.649059999996</v>
      </c>
    </row>
    <row r="28" spans="1:10" s="16" customFormat="1" x14ac:dyDescent="0.25">
      <c r="A28" s="2" t="s">
        <v>49</v>
      </c>
      <c r="C28" s="40">
        <v>2646.0536699999998</v>
      </c>
      <c r="D28" s="40">
        <v>8065.7933300000004</v>
      </c>
      <c r="E28" s="41">
        <v>10711.847</v>
      </c>
      <c r="F28" s="103"/>
      <c r="G28" s="40">
        <v>6033.9235699999999</v>
      </c>
      <c r="H28" s="40">
        <v>4677.9234299999998</v>
      </c>
      <c r="I28" s="123">
        <v>4744.86283</v>
      </c>
      <c r="J28" s="41">
        <v>10711.847</v>
      </c>
    </row>
    <row r="29" spans="1:10" s="16" customFormat="1" x14ac:dyDescent="0.25">
      <c r="A29" s="2" t="s">
        <v>50</v>
      </c>
      <c r="C29" s="40">
        <v>4185.6636900000003</v>
      </c>
      <c r="D29" s="40">
        <v>8589.2938000000013</v>
      </c>
      <c r="E29" s="41">
        <v>12774.957490000001</v>
      </c>
      <c r="F29" s="103"/>
      <c r="G29" s="40">
        <v>12241.48929</v>
      </c>
      <c r="H29" s="40">
        <v>533.46819999999991</v>
      </c>
      <c r="I29" s="123">
        <v>733.17813000000001</v>
      </c>
      <c r="J29" s="41">
        <v>12774.957489999999</v>
      </c>
    </row>
    <row r="30" spans="1:10" s="16" customFormat="1" x14ac:dyDescent="0.25">
      <c r="A30" s="2" t="s">
        <v>51</v>
      </c>
      <c r="C30" s="40">
        <v>8844.9609299999993</v>
      </c>
      <c r="D30" s="40">
        <v>13372.944730000001</v>
      </c>
      <c r="E30" s="41">
        <v>22217.90566</v>
      </c>
      <c r="F30" s="103"/>
      <c r="G30" s="40">
        <v>15061.477869999999</v>
      </c>
      <c r="H30" s="40">
        <v>7156.4277899999997</v>
      </c>
      <c r="I30" s="123">
        <v>7536.5156799999995</v>
      </c>
      <c r="J30" s="41">
        <v>22217.905659999997</v>
      </c>
    </row>
    <row r="31" spans="1:10" s="16" customFormat="1" x14ac:dyDescent="0.25">
      <c r="A31" s="2" t="s">
        <v>52</v>
      </c>
      <c r="C31" s="40">
        <v>6993.8113200000007</v>
      </c>
      <c r="D31" s="40">
        <v>18981.151280000002</v>
      </c>
      <c r="E31" s="41">
        <v>25974.962600000003</v>
      </c>
      <c r="F31" s="103"/>
      <c r="G31" s="40">
        <v>18665.364610000001</v>
      </c>
      <c r="H31" s="40">
        <v>7309.5979900000002</v>
      </c>
      <c r="I31" s="123">
        <v>6638.5494000000008</v>
      </c>
      <c r="J31" s="41">
        <v>25974.962599999999</v>
      </c>
    </row>
    <row r="32" spans="1:10" s="16" customFormat="1" x14ac:dyDescent="0.25">
      <c r="A32" s="2" t="s">
        <v>9</v>
      </c>
      <c r="C32" s="40">
        <v>3569.1537499999999</v>
      </c>
      <c r="D32" s="40">
        <v>850.86806000000001</v>
      </c>
      <c r="E32" s="41">
        <v>4420.0218100000002</v>
      </c>
      <c r="F32" s="103"/>
      <c r="G32" s="40">
        <v>2720.56862</v>
      </c>
      <c r="H32" s="40">
        <v>1699.4531899999999</v>
      </c>
      <c r="I32" s="123">
        <v>1696.7662399999999</v>
      </c>
      <c r="J32" s="41">
        <v>4420.0218100000002</v>
      </c>
    </row>
    <row r="33" spans="1:10" s="16" customFormat="1" x14ac:dyDescent="0.25">
      <c r="A33" s="2" t="s">
        <v>10</v>
      </c>
      <c r="C33" s="40">
        <v>7132.5848499999993</v>
      </c>
      <c r="D33" s="40">
        <v>13873.149150000001</v>
      </c>
      <c r="E33" s="41">
        <v>21005.734</v>
      </c>
      <c r="F33" s="103"/>
      <c r="G33" s="40">
        <v>17621.368200000001</v>
      </c>
      <c r="H33" s="40">
        <v>3384.3658</v>
      </c>
      <c r="I33" s="123">
        <v>3504.9285</v>
      </c>
      <c r="J33" s="41">
        <v>21005.734</v>
      </c>
    </row>
    <row r="34" spans="1:10" s="16" customFormat="1" x14ac:dyDescent="0.25">
      <c r="A34" s="2" t="s">
        <v>53</v>
      </c>
      <c r="C34" s="40">
        <v>15825.932349999999</v>
      </c>
      <c r="D34" s="40">
        <v>70876.112779999996</v>
      </c>
      <c r="E34" s="41">
        <v>86702.045129999999</v>
      </c>
      <c r="F34" s="103"/>
      <c r="G34" s="40">
        <v>76483.281279999996</v>
      </c>
      <c r="H34" s="40">
        <v>10218.763849999999</v>
      </c>
      <c r="I34" s="123">
        <v>11402.85169</v>
      </c>
      <c r="J34" s="41">
        <v>86702.045129999999</v>
      </c>
    </row>
    <row r="35" spans="1:10" s="16" customFormat="1" x14ac:dyDescent="0.25">
      <c r="A35" s="2" t="s">
        <v>54</v>
      </c>
      <c r="C35" s="40">
        <v>9986.0811999999987</v>
      </c>
      <c r="D35" s="40">
        <v>32367.029850000003</v>
      </c>
      <c r="E35" s="41">
        <v>42353.11105</v>
      </c>
      <c r="F35" s="103"/>
      <c r="G35" s="40">
        <v>37616.189720000002</v>
      </c>
      <c r="H35" s="40">
        <v>4736.9213300000001</v>
      </c>
      <c r="I35" s="123">
        <v>5133.2253799999999</v>
      </c>
      <c r="J35" s="41">
        <v>42353.11105</v>
      </c>
    </row>
    <row r="36" spans="1:10" s="16" customFormat="1" x14ac:dyDescent="0.25">
      <c r="A36" s="2" t="s">
        <v>55</v>
      </c>
      <c r="C36" s="40">
        <v>2789.1323900000002</v>
      </c>
      <c r="D36" s="40">
        <v>37669.715630000006</v>
      </c>
      <c r="E36" s="41">
        <v>40458.848020000005</v>
      </c>
      <c r="F36" s="103"/>
      <c r="G36" s="40">
        <v>17323.452000000001</v>
      </c>
      <c r="H36" s="40">
        <v>23135.39602</v>
      </c>
      <c r="I36" s="123">
        <v>23469.87643</v>
      </c>
      <c r="J36" s="41">
        <v>40458.848020000005</v>
      </c>
    </row>
    <row r="37" spans="1:10" s="16" customFormat="1" x14ac:dyDescent="0.25">
      <c r="A37" s="2" t="s">
        <v>56</v>
      </c>
      <c r="C37" s="40">
        <v>5240.4752099999996</v>
      </c>
      <c r="D37" s="40">
        <v>13094.954970000001</v>
      </c>
      <c r="E37" s="41">
        <v>18335.430179999999</v>
      </c>
      <c r="F37" s="103"/>
      <c r="G37" s="40">
        <v>16369.4476</v>
      </c>
      <c r="H37" s="40">
        <v>1965.9825800000001</v>
      </c>
      <c r="I37" s="123">
        <v>1648.58401</v>
      </c>
      <c r="J37" s="41">
        <v>18335.430179999999</v>
      </c>
    </row>
    <row r="38" spans="1:10" s="16" customFormat="1" x14ac:dyDescent="0.25">
      <c r="A38" s="2" t="s">
        <v>57</v>
      </c>
      <c r="C38" s="40">
        <v>1056.55576</v>
      </c>
      <c r="D38" s="40">
        <v>3098.4105399999999</v>
      </c>
      <c r="E38" s="41">
        <v>4154.9663</v>
      </c>
      <c r="F38" s="103"/>
      <c r="G38" s="40">
        <v>3834.2754599999998</v>
      </c>
      <c r="H38" s="40">
        <v>320.69084000000004</v>
      </c>
      <c r="I38" s="123">
        <v>237.71761999999998</v>
      </c>
      <c r="J38" s="41">
        <v>4154.9663</v>
      </c>
    </row>
    <row r="39" spans="1:10" s="16" customFormat="1" x14ac:dyDescent="0.25">
      <c r="A39" s="2" t="s">
        <v>58</v>
      </c>
      <c r="C39" s="40">
        <v>10861.80351</v>
      </c>
      <c r="D39" s="40">
        <v>9847.0389400000004</v>
      </c>
      <c r="E39" s="41">
        <v>20708.84245</v>
      </c>
      <c r="F39" s="103"/>
      <c r="G39" s="40">
        <v>18730.778019999998</v>
      </c>
      <c r="H39" s="40">
        <v>1978.0644299999999</v>
      </c>
      <c r="I39" s="123">
        <v>1767.77802</v>
      </c>
      <c r="J39" s="41">
        <v>20708.842449999996</v>
      </c>
    </row>
    <row r="40" spans="1:10" s="16" customFormat="1" x14ac:dyDescent="0.25">
      <c r="A40" s="2" t="s">
        <v>11</v>
      </c>
      <c r="C40" s="40">
        <v>51897.364719999998</v>
      </c>
      <c r="D40" s="40">
        <v>80061.426670000001</v>
      </c>
      <c r="E40" s="41">
        <v>131958.79139</v>
      </c>
      <c r="F40" s="103"/>
      <c r="G40" s="40">
        <v>117954.43136</v>
      </c>
      <c r="H40" s="40">
        <v>14004.36003</v>
      </c>
      <c r="I40" s="123">
        <v>13998.9977</v>
      </c>
      <c r="J40" s="41">
        <v>131958.79139</v>
      </c>
    </row>
    <row r="41" spans="1:10" s="16" customFormat="1" x14ac:dyDescent="0.25">
      <c r="A41" s="3" t="s">
        <v>59</v>
      </c>
      <c r="C41" s="40">
        <v>8704.5696500000013</v>
      </c>
      <c r="D41" s="40">
        <v>31249.934000000001</v>
      </c>
      <c r="E41" s="41">
        <v>39954.503649999999</v>
      </c>
      <c r="F41" s="103"/>
      <c r="G41" s="40">
        <v>34410.944859999996</v>
      </c>
      <c r="H41" s="40">
        <v>5543.55879</v>
      </c>
      <c r="I41" s="123">
        <v>5157.1292999999996</v>
      </c>
      <c r="J41" s="41">
        <v>39954.503649999999</v>
      </c>
    </row>
    <row r="42" spans="1:10" s="16" customFormat="1" x14ac:dyDescent="0.25">
      <c r="A42" s="2" t="s">
        <v>60</v>
      </c>
      <c r="C42" s="40">
        <v>21940.949170000004</v>
      </c>
      <c r="D42" s="40">
        <v>42458.502770000006</v>
      </c>
      <c r="E42" s="41">
        <v>64399.451940000014</v>
      </c>
      <c r="F42" s="103"/>
      <c r="G42" s="40">
        <v>31824.031370000001</v>
      </c>
      <c r="H42" s="40">
        <v>32575.420570000002</v>
      </c>
      <c r="I42" s="123">
        <v>32331.87356</v>
      </c>
      <c r="J42" s="41">
        <v>64399.451939999999</v>
      </c>
    </row>
    <row r="43" spans="1:10" s="16" customFormat="1" x14ac:dyDescent="0.25">
      <c r="A43" s="2" t="s">
        <v>61</v>
      </c>
      <c r="C43" s="40">
        <v>8664.5202300000001</v>
      </c>
      <c r="D43" s="40">
        <v>12777.6549</v>
      </c>
      <c r="E43" s="41">
        <v>21442.17513</v>
      </c>
      <c r="F43" s="103"/>
      <c r="G43" s="40">
        <v>17134.730420000004</v>
      </c>
      <c r="H43" s="40">
        <v>4307.4447099999998</v>
      </c>
      <c r="I43" s="123">
        <v>4166.0244700000003</v>
      </c>
      <c r="J43" s="41">
        <v>21442.175130000003</v>
      </c>
    </row>
    <row r="44" spans="1:10" s="16" customFormat="1" x14ac:dyDescent="0.25">
      <c r="A44" s="2" t="s">
        <v>62</v>
      </c>
      <c r="C44" s="40">
        <v>9039.1722599999994</v>
      </c>
      <c r="D44" s="40">
        <v>17274.077989999998</v>
      </c>
      <c r="E44" s="41">
        <v>26313.250249999997</v>
      </c>
      <c r="F44" s="103"/>
      <c r="G44" s="40">
        <v>16452.25402</v>
      </c>
      <c r="H44" s="40">
        <v>9860.9962300000007</v>
      </c>
      <c r="I44" s="123">
        <v>7999.3699000000006</v>
      </c>
      <c r="J44" s="41">
        <v>26313.250250000001</v>
      </c>
    </row>
    <row r="45" spans="1:10" s="16" customFormat="1" x14ac:dyDescent="0.25">
      <c r="A45" s="2" t="s">
        <v>63</v>
      </c>
      <c r="C45" s="40">
        <v>3854.7045800000001</v>
      </c>
      <c r="D45" s="40">
        <v>9510.9251400000012</v>
      </c>
      <c r="E45" s="41">
        <v>13365.629720000001</v>
      </c>
      <c r="F45" s="103"/>
      <c r="G45" s="40">
        <v>9687.4926300000006</v>
      </c>
      <c r="H45" s="40">
        <v>3678.1370899999997</v>
      </c>
      <c r="I45" s="123">
        <v>4147.4955099999997</v>
      </c>
      <c r="J45" s="41">
        <v>13365.629720000001</v>
      </c>
    </row>
    <row r="46" spans="1:10" s="16" customFormat="1" x14ac:dyDescent="0.25">
      <c r="A46" s="2" t="s">
        <v>64</v>
      </c>
      <c r="C46" s="40">
        <v>2754.5100400000001</v>
      </c>
      <c r="D46" s="40">
        <v>3181.2060299999998</v>
      </c>
      <c r="E46" s="41">
        <v>5935.7160700000004</v>
      </c>
      <c r="F46" s="103"/>
      <c r="G46" s="40">
        <v>5376.8056799999995</v>
      </c>
      <c r="H46" s="40">
        <v>558.91039000000001</v>
      </c>
      <c r="I46" s="123">
        <v>510.13036999999997</v>
      </c>
      <c r="J46" s="41">
        <v>5935.7160699999995</v>
      </c>
    </row>
    <row r="47" spans="1:10" s="16" customFormat="1" x14ac:dyDescent="0.25">
      <c r="A47" s="2" t="s">
        <v>65</v>
      </c>
      <c r="C47" s="40">
        <v>1728.4328400000002</v>
      </c>
      <c r="D47" s="40">
        <v>1353.88004</v>
      </c>
      <c r="E47" s="41">
        <v>3082.3128800000004</v>
      </c>
      <c r="F47" s="103"/>
      <c r="G47" s="40">
        <v>2011.3341399999999</v>
      </c>
      <c r="H47" s="40">
        <v>1070.97874</v>
      </c>
      <c r="I47" s="123">
        <v>737.24120999999991</v>
      </c>
      <c r="J47" s="41">
        <v>3082.31288</v>
      </c>
    </row>
    <row r="48" spans="1:10" s="16" customFormat="1" x14ac:dyDescent="0.25">
      <c r="A48" s="2" t="s">
        <v>66</v>
      </c>
      <c r="C48" s="40">
        <v>11362.241539999999</v>
      </c>
      <c r="D48" s="40">
        <v>24344.305840000001</v>
      </c>
      <c r="E48" s="41">
        <v>35706.547380000004</v>
      </c>
      <c r="F48" s="103"/>
      <c r="G48" s="40">
        <v>28359.184300000001</v>
      </c>
      <c r="H48" s="40">
        <v>7347.3630800000001</v>
      </c>
      <c r="I48" s="123">
        <v>7184.1412900000005</v>
      </c>
      <c r="J48" s="41">
        <v>35706.547380000004</v>
      </c>
    </row>
    <row r="49" spans="1:10" s="16" customFormat="1" x14ac:dyDescent="0.25">
      <c r="A49" s="2" t="s">
        <v>67</v>
      </c>
      <c r="C49" s="40">
        <v>30456.50172</v>
      </c>
      <c r="D49" s="40">
        <v>61218.582179999998</v>
      </c>
      <c r="E49" s="41">
        <v>91675.083899999998</v>
      </c>
      <c r="F49" s="103"/>
      <c r="G49" s="40">
        <v>80110.18909</v>
      </c>
      <c r="H49" s="40">
        <v>11564.89481</v>
      </c>
      <c r="I49" s="123">
        <v>9837.4900600000001</v>
      </c>
      <c r="J49" s="41">
        <v>91675.083899999998</v>
      </c>
    </row>
    <row r="50" spans="1:10" s="16" customFormat="1" x14ac:dyDescent="0.25">
      <c r="A50" s="2" t="s">
        <v>68</v>
      </c>
      <c r="C50" s="40">
        <v>6498.1445700000004</v>
      </c>
      <c r="D50" s="40">
        <v>8437.3866799999996</v>
      </c>
      <c r="E50" s="41">
        <v>14935.53125</v>
      </c>
      <c r="F50" s="103"/>
      <c r="G50" s="40">
        <v>11089.076359999999</v>
      </c>
      <c r="H50" s="40">
        <v>3846.45489</v>
      </c>
      <c r="I50" s="123">
        <v>3518.1340099999998</v>
      </c>
      <c r="J50" s="41">
        <v>14935.53125</v>
      </c>
    </row>
    <row r="51" spans="1:10" s="16" customFormat="1" x14ac:dyDescent="0.25">
      <c r="A51" s="2" t="s">
        <v>69</v>
      </c>
      <c r="C51" s="40">
        <v>18368.976119999999</v>
      </c>
      <c r="D51" s="40">
        <v>38498.355109999997</v>
      </c>
      <c r="E51" s="41">
        <v>56867.331229999996</v>
      </c>
      <c r="F51" s="103"/>
      <c r="G51" s="40">
        <v>47007.327140000001</v>
      </c>
      <c r="H51" s="40">
        <v>9860.0040900000004</v>
      </c>
      <c r="I51" s="123">
        <v>9429.1543099999999</v>
      </c>
      <c r="J51" s="41">
        <v>56867.331230000003</v>
      </c>
    </row>
    <row r="52" spans="1:10" s="16" customFormat="1" x14ac:dyDescent="0.25">
      <c r="A52" s="2" t="s">
        <v>12</v>
      </c>
      <c r="C52" s="40">
        <v>3797.8152999999998</v>
      </c>
      <c r="D52" s="40">
        <v>4035.7132000000001</v>
      </c>
      <c r="E52" s="41">
        <v>7833.5285000000003</v>
      </c>
      <c r="F52" s="103"/>
      <c r="G52" s="40">
        <v>5307.8284699999995</v>
      </c>
      <c r="H52" s="40">
        <v>2525.70003</v>
      </c>
      <c r="I52" s="123">
        <v>2534.2271700000001</v>
      </c>
      <c r="J52" s="41">
        <v>7833.5284999999994</v>
      </c>
    </row>
    <row r="53" spans="1:10" s="16" customFormat="1" x14ac:dyDescent="0.25">
      <c r="A53" s="2" t="s">
        <v>70</v>
      </c>
      <c r="C53" s="40">
        <v>3178.2272599999997</v>
      </c>
      <c r="D53" s="40">
        <v>7751.2852499999999</v>
      </c>
      <c r="E53" s="41">
        <v>10929.51251</v>
      </c>
      <c r="F53" s="103"/>
      <c r="G53" s="40">
        <v>8951.6811999999991</v>
      </c>
      <c r="H53" s="40">
        <v>1977.83131</v>
      </c>
      <c r="I53" s="123">
        <v>2028.13888</v>
      </c>
      <c r="J53" s="41">
        <v>10929.512509999999</v>
      </c>
    </row>
    <row r="54" spans="1:10" s="16" customFormat="1" x14ac:dyDescent="0.25">
      <c r="A54" s="2" t="s">
        <v>71</v>
      </c>
      <c r="C54" s="40">
        <v>1545.25962</v>
      </c>
      <c r="D54" s="40">
        <v>6875.5039999999999</v>
      </c>
      <c r="E54" s="41">
        <v>8420.7636199999997</v>
      </c>
      <c r="F54" s="103"/>
      <c r="G54" s="40">
        <v>7828.2161999999998</v>
      </c>
      <c r="H54" s="40">
        <v>592.54741999999999</v>
      </c>
      <c r="I54" s="123">
        <v>524.25157999999999</v>
      </c>
      <c r="J54" s="41">
        <v>8420.7636199999997</v>
      </c>
    </row>
    <row r="55" spans="1:10" s="16" customFormat="1" x14ac:dyDescent="0.25">
      <c r="A55" s="2" t="s">
        <v>72</v>
      </c>
      <c r="C55" s="40">
        <v>6430.3447699999997</v>
      </c>
      <c r="D55" s="40">
        <v>20822.072359999998</v>
      </c>
      <c r="E55" s="41">
        <v>27252.417129999998</v>
      </c>
      <c r="F55" s="103"/>
      <c r="G55" s="40">
        <v>22358.628410000001</v>
      </c>
      <c r="H55" s="40">
        <v>4893.7887199999996</v>
      </c>
      <c r="I55" s="123">
        <v>4840.36805</v>
      </c>
      <c r="J55" s="41">
        <v>27252.417130000002</v>
      </c>
    </row>
    <row r="56" spans="1:10" s="16" customFormat="1" x14ac:dyDescent="0.25">
      <c r="A56" s="2" t="s">
        <v>13</v>
      </c>
      <c r="C56" s="40">
        <v>9150.9520499999999</v>
      </c>
      <c r="D56" s="40">
        <v>5466.0161200000002</v>
      </c>
      <c r="E56" s="41">
        <v>14616.96817</v>
      </c>
      <c r="F56" s="103"/>
      <c r="G56" s="40">
        <v>12363.687260000001</v>
      </c>
      <c r="H56" s="40">
        <v>2253.2809099999999</v>
      </c>
      <c r="I56" s="123">
        <v>2220.64311</v>
      </c>
      <c r="J56" s="41">
        <v>14616.96817</v>
      </c>
    </row>
    <row r="57" spans="1:10" s="16" customFormat="1" x14ac:dyDescent="0.25">
      <c r="A57" s="2" t="s">
        <v>26</v>
      </c>
      <c r="C57" s="40">
        <v>14159.9581</v>
      </c>
      <c r="D57" s="40">
        <v>3507.7100499999997</v>
      </c>
      <c r="E57" s="41">
        <v>17667.668149999998</v>
      </c>
      <c r="F57" s="103"/>
      <c r="G57" s="40">
        <v>15947.65098</v>
      </c>
      <c r="H57" s="40">
        <v>1720.0171699999999</v>
      </c>
      <c r="I57" s="123">
        <v>1705.4849999999999</v>
      </c>
      <c r="J57" s="41">
        <v>17667.668150000001</v>
      </c>
    </row>
    <row r="58" spans="1:10" s="16" customFormat="1" x14ac:dyDescent="0.25">
      <c r="A58" s="2" t="s">
        <v>73</v>
      </c>
      <c r="C58" s="40">
        <v>284.89621</v>
      </c>
      <c r="D58" s="40">
        <v>707.65030000000002</v>
      </c>
      <c r="E58" s="41">
        <v>992.54651000000001</v>
      </c>
      <c r="F58" s="103"/>
      <c r="G58" s="40">
        <v>687.05551000000003</v>
      </c>
      <c r="H58" s="40">
        <v>305.49099999999999</v>
      </c>
      <c r="I58" s="123">
        <v>207.55901999999998</v>
      </c>
      <c r="J58" s="41">
        <v>992.54651000000001</v>
      </c>
    </row>
    <row r="59" spans="1:10" s="16" customFormat="1" x14ac:dyDescent="0.25">
      <c r="A59" s="1" t="s">
        <v>14</v>
      </c>
      <c r="C59" s="40">
        <v>112022.83309</v>
      </c>
      <c r="D59" s="40">
        <v>123076.96578</v>
      </c>
      <c r="E59" s="41">
        <v>235099.79887</v>
      </c>
      <c r="F59" s="103"/>
      <c r="G59" s="40">
        <v>196653.70580000003</v>
      </c>
      <c r="H59" s="40">
        <v>38446.093070000003</v>
      </c>
      <c r="I59" s="123">
        <v>38149.76251</v>
      </c>
      <c r="J59" s="41">
        <v>235099.79887000003</v>
      </c>
    </row>
    <row r="60" spans="1:10" s="16" customFormat="1" x14ac:dyDescent="0.25">
      <c r="A60" s="2" t="s">
        <v>28</v>
      </c>
      <c r="C60" s="40">
        <v>18515.208039999998</v>
      </c>
      <c r="D60" s="40">
        <v>39917.667399999998</v>
      </c>
      <c r="E60" s="41">
        <v>58432.875439999996</v>
      </c>
      <c r="F60" s="103"/>
      <c r="G60" s="40">
        <v>43479.762210000001</v>
      </c>
      <c r="H60" s="40">
        <v>14953.113230000001</v>
      </c>
      <c r="I60" s="123">
        <v>14487.194949999999</v>
      </c>
      <c r="J60" s="41">
        <v>58432.875440000003</v>
      </c>
    </row>
    <row r="61" spans="1:10" s="16" customFormat="1" x14ac:dyDescent="0.25">
      <c r="A61" s="2" t="s">
        <v>29</v>
      </c>
      <c r="C61" s="40">
        <v>568571.27875000006</v>
      </c>
      <c r="D61" s="40">
        <v>841613.54582</v>
      </c>
      <c r="E61" s="41">
        <v>1410184.8245700002</v>
      </c>
      <c r="F61" s="103"/>
      <c r="G61" s="40">
        <v>1224107.96707</v>
      </c>
      <c r="H61" s="40">
        <v>186076.85750000001</v>
      </c>
      <c r="I61" s="123">
        <v>185497.85438999999</v>
      </c>
      <c r="J61" s="41">
        <v>1410184.8245699999</v>
      </c>
    </row>
    <row r="62" spans="1:10" s="16" customFormat="1" x14ac:dyDescent="0.25">
      <c r="A62" s="2" t="s">
        <v>74</v>
      </c>
      <c r="C62" s="40">
        <v>5590.5489200000002</v>
      </c>
      <c r="D62" s="40">
        <v>15389.31846</v>
      </c>
      <c r="E62" s="41">
        <v>20979.86738</v>
      </c>
      <c r="F62" s="103"/>
      <c r="G62" s="40">
        <v>18672.792010000001</v>
      </c>
      <c r="H62" s="40">
        <v>2307.07537</v>
      </c>
      <c r="I62" s="123">
        <v>2122.3556699999999</v>
      </c>
      <c r="J62" s="41">
        <v>20979.86738</v>
      </c>
    </row>
    <row r="63" spans="1:10" s="16" customFormat="1" x14ac:dyDescent="0.25">
      <c r="A63" s="2" t="s">
        <v>75</v>
      </c>
      <c r="C63" s="40">
        <v>6028.3090700000002</v>
      </c>
      <c r="D63" s="40">
        <v>21013.243770000001</v>
      </c>
      <c r="E63" s="41">
        <v>27041.55284</v>
      </c>
      <c r="F63" s="103"/>
      <c r="G63" s="40">
        <v>21612.322079999998</v>
      </c>
      <c r="H63" s="40">
        <v>5429.2307599999995</v>
      </c>
      <c r="I63" s="123">
        <v>4832.6120199999996</v>
      </c>
      <c r="J63" s="41">
        <v>27041.552839999997</v>
      </c>
    </row>
    <row r="64" spans="1:10" s="16" customFormat="1" x14ac:dyDescent="0.25">
      <c r="A64" s="2" t="s">
        <v>76</v>
      </c>
      <c r="C64" s="40">
        <v>5548.0261399999999</v>
      </c>
      <c r="D64" s="40">
        <v>8972.0551099999993</v>
      </c>
      <c r="E64" s="41">
        <v>14520.081249999999</v>
      </c>
      <c r="F64" s="103"/>
      <c r="G64" s="40">
        <v>5909.3341500000006</v>
      </c>
      <c r="H64" s="40">
        <v>8610.7471000000005</v>
      </c>
      <c r="I64" s="123">
        <v>8724.1934199999996</v>
      </c>
      <c r="J64" s="41">
        <v>14520.081250000001</v>
      </c>
    </row>
    <row r="65" spans="1:10" s="16" customFormat="1" x14ac:dyDescent="0.25">
      <c r="A65" s="2" t="s">
        <v>77</v>
      </c>
      <c r="C65" s="40">
        <v>24594.845160000001</v>
      </c>
      <c r="D65" s="40">
        <v>10088.707060000001</v>
      </c>
      <c r="E65" s="41">
        <v>34683.552219999998</v>
      </c>
      <c r="F65" s="103"/>
      <c r="G65" s="40">
        <v>2421.7617099999998</v>
      </c>
      <c r="H65" s="40">
        <v>32261.790510000003</v>
      </c>
      <c r="I65" s="123">
        <v>32367.19095</v>
      </c>
      <c r="J65" s="41">
        <v>34683.552220000005</v>
      </c>
    </row>
    <row r="66" spans="1:10" s="16" customFormat="1" x14ac:dyDescent="0.25">
      <c r="A66" s="2" t="s">
        <v>15</v>
      </c>
      <c r="C66" s="40">
        <v>31159.452949999999</v>
      </c>
      <c r="D66" s="40">
        <v>39101.293740000001</v>
      </c>
      <c r="E66" s="41">
        <v>70260.74669</v>
      </c>
      <c r="F66" s="103"/>
      <c r="G66" s="40">
        <v>55634.381420000005</v>
      </c>
      <c r="H66" s="40">
        <v>14626.36527</v>
      </c>
      <c r="I66" s="123">
        <v>14656.820470000001</v>
      </c>
      <c r="J66" s="41">
        <v>70260.74669</v>
      </c>
    </row>
    <row r="67" spans="1:10" s="16" customFormat="1" x14ac:dyDescent="0.25">
      <c r="A67" s="2" t="s">
        <v>78</v>
      </c>
      <c r="C67" s="40">
        <v>11794.26116</v>
      </c>
      <c r="D67" s="40">
        <v>19015.020350000003</v>
      </c>
      <c r="E67" s="41">
        <v>30809.281510000001</v>
      </c>
      <c r="F67" s="103"/>
      <c r="G67" s="40">
        <v>21577.210609999998</v>
      </c>
      <c r="H67" s="40">
        <v>9232.0709000000006</v>
      </c>
      <c r="I67" s="123">
        <v>9306.3415100000002</v>
      </c>
      <c r="J67" s="41">
        <v>30809.281510000001</v>
      </c>
    </row>
    <row r="68" spans="1:10" s="16" customFormat="1" x14ac:dyDescent="0.25">
      <c r="A68" s="2" t="s">
        <v>16</v>
      </c>
      <c r="C68" s="40">
        <v>155967.54496</v>
      </c>
      <c r="D68" s="40">
        <v>127454.32262000001</v>
      </c>
      <c r="E68" s="41">
        <v>283421.86758000002</v>
      </c>
      <c r="F68" s="103"/>
      <c r="G68" s="40">
        <v>244812.48193000001</v>
      </c>
      <c r="H68" s="40">
        <v>38609.385649999997</v>
      </c>
      <c r="I68" s="123">
        <v>38421.589439999996</v>
      </c>
      <c r="J68" s="41">
        <v>283421.86758000002</v>
      </c>
    </row>
    <row r="69" spans="1:10" s="16" customFormat="1" x14ac:dyDescent="0.25">
      <c r="A69" s="2" t="s">
        <v>79</v>
      </c>
      <c r="B69" s="47"/>
      <c r="C69" s="40">
        <v>1231.2828</v>
      </c>
      <c r="D69" s="40">
        <v>3121.9080400000003</v>
      </c>
      <c r="E69" s="41">
        <v>4353.1908400000002</v>
      </c>
      <c r="F69" s="103"/>
      <c r="G69" s="40">
        <v>3853.7672599999996</v>
      </c>
      <c r="H69" s="40">
        <v>499.42358000000002</v>
      </c>
      <c r="I69" s="123">
        <v>163.53178</v>
      </c>
      <c r="J69" s="41">
        <v>4353.1908399999993</v>
      </c>
    </row>
    <row r="70" spans="1:10" s="16" customFormat="1" x14ac:dyDescent="0.25">
      <c r="A70" s="2" t="s">
        <v>80</v>
      </c>
      <c r="B70" s="47"/>
      <c r="C70" s="40">
        <v>2837.2144199999998</v>
      </c>
      <c r="D70" s="40">
        <v>20706.527239999999</v>
      </c>
      <c r="E70" s="41">
        <v>23543.74166</v>
      </c>
      <c r="F70" s="103"/>
      <c r="G70" s="40">
        <v>17103.10716</v>
      </c>
      <c r="H70" s="40">
        <v>6440.6345000000001</v>
      </c>
      <c r="I70" s="123">
        <v>6826.7077199999994</v>
      </c>
      <c r="J70" s="41">
        <v>23543.74166</v>
      </c>
    </row>
    <row r="71" spans="1:10" s="16" customFormat="1" x14ac:dyDescent="0.25">
      <c r="A71" s="2" t="s">
        <v>81</v>
      </c>
      <c r="B71" s="47"/>
      <c r="C71" s="40">
        <v>1354.1141</v>
      </c>
      <c r="D71" s="40">
        <v>2241.5056400000003</v>
      </c>
      <c r="E71" s="41">
        <v>3595.6197400000001</v>
      </c>
      <c r="F71" s="103"/>
      <c r="G71" s="40">
        <v>3556.72246</v>
      </c>
      <c r="H71" s="40">
        <v>38.897280000000002</v>
      </c>
      <c r="I71" s="123">
        <v>115.09807000000001</v>
      </c>
      <c r="J71" s="41">
        <v>3595.6197400000001</v>
      </c>
    </row>
    <row r="72" spans="1:10" s="16" customFormat="1" x14ac:dyDescent="0.25">
      <c r="A72" s="2" t="s">
        <v>17</v>
      </c>
      <c r="B72" s="47"/>
      <c r="C72" s="40">
        <v>31115.986390000002</v>
      </c>
      <c r="D72" s="40">
        <v>41041.220710000001</v>
      </c>
      <c r="E72" s="41">
        <v>72157.2071</v>
      </c>
      <c r="F72" s="103"/>
      <c r="G72" s="40">
        <v>64718.510280000002</v>
      </c>
      <c r="H72" s="40">
        <v>7438.6968200000001</v>
      </c>
      <c r="I72" s="123">
        <v>7368.0863399999998</v>
      </c>
      <c r="J72" s="41">
        <v>72157.2071</v>
      </c>
    </row>
    <row r="73" spans="1:10" s="16" customFormat="1" x14ac:dyDescent="0.25">
      <c r="A73" s="2" t="s">
        <v>82</v>
      </c>
      <c r="B73" s="47"/>
      <c r="C73" s="40">
        <v>7084.1426600000004</v>
      </c>
      <c r="D73" s="40">
        <v>22439.144519999998</v>
      </c>
      <c r="E73" s="41">
        <v>29523.287179999999</v>
      </c>
      <c r="F73" s="103"/>
      <c r="G73" s="40">
        <v>19094.954839999999</v>
      </c>
      <c r="H73" s="40">
        <v>10428.332339999999</v>
      </c>
      <c r="I73" s="123">
        <v>8482.8261600000005</v>
      </c>
      <c r="J73" s="41">
        <v>29523.287179999999</v>
      </c>
    </row>
    <row r="74" spans="1:10" s="16" customFormat="1" x14ac:dyDescent="0.25">
      <c r="A74" s="2" t="s">
        <v>18</v>
      </c>
      <c r="B74" s="47"/>
      <c r="C74" s="40">
        <v>10067.53368</v>
      </c>
      <c r="D74" s="40">
        <v>12686.080970000001</v>
      </c>
      <c r="E74" s="41">
        <v>22753.614650000003</v>
      </c>
      <c r="F74" s="103"/>
      <c r="G74" s="40">
        <v>12656.670109999999</v>
      </c>
      <c r="H74" s="40">
        <v>10096.944539999999</v>
      </c>
      <c r="I74" s="123">
        <v>9890.0676100000001</v>
      </c>
      <c r="J74" s="41">
        <v>22753.614649999996</v>
      </c>
    </row>
    <row r="75" spans="1:10" s="16" customFormat="1" x14ac:dyDescent="0.25">
      <c r="A75" s="2" t="s">
        <v>83</v>
      </c>
      <c r="B75" s="47"/>
      <c r="C75" s="40">
        <v>14844.49085</v>
      </c>
      <c r="D75" s="40">
        <v>24731.950629999999</v>
      </c>
      <c r="E75" s="41">
        <v>39576.441480000001</v>
      </c>
      <c r="F75" s="103"/>
      <c r="G75" s="40">
        <v>21203.742320000001</v>
      </c>
      <c r="H75" s="40">
        <v>18372.69916</v>
      </c>
      <c r="I75" s="123">
        <v>17677.84202</v>
      </c>
      <c r="J75" s="41">
        <v>39576.441480000001</v>
      </c>
    </row>
    <row r="76" spans="1:10" s="16" customFormat="1" x14ac:dyDescent="0.25">
      <c r="A76" s="2" t="s">
        <v>19</v>
      </c>
      <c r="B76" s="47"/>
      <c r="C76" s="40">
        <v>18538.940790000001</v>
      </c>
      <c r="D76" s="40">
        <v>13252.858769999999</v>
      </c>
      <c r="E76" s="41">
        <v>31791.799559999999</v>
      </c>
      <c r="F76" s="103"/>
      <c r="G76" s="40">
        <v>16968.636129999999</v>
      </c>
      <c r="H76" s="40">
        <v>14823.163430000001</v>
      </c>
      <c r="I76" s="123">
        <v>14723.580529999999</v>
      </c>
      <c r="J76" s="41">
        <v>31791.799559999999</v>
      </c>
    </row>
    <row r="77" spans="1:10" s="16" customFormat="1" x14ac:dyDescent="0.25">
      <c r="A77" s="2" t="s">
        <v>84</v>
      </c>
      <c r="B77" s="47"/>
      <c r="C77" s="40">
        <v>5725.0045099999998</v>
      </c>
      <c r="D77" s="40">
        <v>6743.6000300000005</v>
      </c>
      <c r="E77" s="41">
        <v>12468.60454</v>
      </c>
      <c r="F77" s="103"/>
      <c r="G77" s="40">
        <v>9102.6536899999992</v>
      </c>
      <c r="H77" s="40">
        <v>3365.9508500000002</v>
      </c>
      <c r="I77" s="123">
        <v>3339.6680899999997</v>
      </c>
      <c r="J77" s="41">
        <v>12468.60454</v>
      </c>
    </row>
    <row r="78" spans="1:10" s="16" customFormat="1" x14ac:dyDescent="0.25">
      <c r="A78" s="2" t="s">
        <v>85</v>
      </c>
      <c r="B78" s="47"/>
      <c r="C78" s="40">
        <v>1733.1423200000002</v>
      </c>
      <c r="D78" s="40">
        <v>4477.98506</v>
      </c>
      <c r="E78" s="41">
        <v>6211.1273799999999</v>
      </c>
      <c r="F78" s="103"/>
      <c r="G78" s="40">
        <v>5916.7380800000001</v>
      </c>
      <c r="H78" s="40">
        <v>294.38929999999999</v>
      </c>
      <c r="I78" s="123">
        <v>421.65383000000003</v>
      </c>
      <c r="J78" s="41">
        <v>6211.1273799999999</v>
      </c>
    </row>
    <row r="79" spans="1:10" s="16" customFormat="1" x14ac:dyDescent="0.25">
      <c r="A79" s="2" t="s">
        <v>86</v>
      </c>
      <c r="B79" s="47"/>
      <c r="C79" s="40">
        <v>3121.98065</v>
      </c>
      <c r="D79" s="40">
        <v>5624.6425399999998</v>
      </c>
      <c r="E79" s="41">
        <v>8746.6231900000002</v>
      </c>
      <c r="F79" s="103"/>
      <c r="G79" s="40">
        <v>5746.3846900000008</v>
      </c>
      <c r="H79" s="40">
        <v>3000.2384999999999</v>
      </c>
      <c r="I79" s="123">
        <v>2408.7325099999998</v>
      </c>
      <c r="J79" s="41">
        <v>8746.6231900000002</v>
      </c>
    </row>
    <row r="80" spans="1:10" s="16" customFormat="1" x14ac:dyDescent="0.25">
      <c r="A80" s="2" t="s">
        <v>20</v>
      </c>
      <c r="B80" s="47"/>
      <c r="C80" s="40">
        <v>2873.79153</v>
      </c>
      <c r="D80" s="40">
        <v>12550.257810000001</v>
      </c>
      <c r="E80" s="41">
        <v>15424.049340000001</v>
      </c>
      <c r="F80" s="103"/>
      <c r="G80" s="40">
        <v>2237.4129500000004</v>
      </c>
      <c r="H80" s="40">
        <v>13186.636390000001</v>
      </c>
      <c r="I80" s="123">
        <v>13184.295050000001</v>
      </c>
      <c r="J80" s="41">
        <v>15424.049340000001</v>
      </c>
    </row>
    <row r="81" spans="1:10" s="16" customFormat="1" x14ac:dyDescent="0.25">
      <c r="A81" s="2" t="s">
        <v>87</v>
      </c>
      <c r="B81" s="47"/>
      <c r="C81" s="40">
        <v>2964.10493</v>
      </c>
      <c r="D81" s="40">
        <v>6591.3409199999996</v>
      </c>
      <c r="E81" s="41">
        <v>9555.4458500000001</v>
      </c>
      <c r="F81" s="103"/>
      <c r="G81" s="40">
        <v>7934.0895</v>
      </c>
      <c r="H81" s="40">
        <v>1621.35635</v>
      </c>
      <c r="I81" s="123">
        <v>1649.10302</v>
      </c>
      <c r="J81" s="41">
        <v>9555.4458500000001</v>
      </c>
    </row>
    <row r="82" spans="1:10" s="16" customFormat="1" x14ac:dyDescent="0.25">
      <c r="A82" s="2" t="s">
        <v>30</v>
      </c>
      <c r="B82" s="47"/>
      <c r="C82" s="40">
        <v>4119.7716499999997</v>
      </c>
      <c r="D82" s="40">
        <v>7774.3637199999994</v>
      </c>
      <c r="E82" s="41">
        <v>11894.13537</v>
      </c>
      <c r="F82" s="103"/>
      <c r="G82" s="40">
        <v>8046.1179599999996</v>
      </c>
      <c r="H82" s="40">
        <v>3848.0174099999999</v>
      </c>
      <c r="I82" s="123">
        <v>3634.0765899999997</v>
      </c>
      <c r="J82" s="41">
        <v>11894.13537</v>
      </c>
    </row>
    <row r="83" spans="1:10" s="16" customFormat="1" x14ac:dyDescent="0.25">
      <c r="A83" s="2" t="s">
        <v>88</v>
      </c>
      <c r="B83" s="47"/>
      <c r="C83" s="40">
        <v>2872.9023700000002</v>
      </c>
      <c r="D83" s="40">
        <v>9033.4907899999998</v>
      </c>
      <c r="E83" s="41">
        <v>11906.39316</v>
      </c>
      <c r="F83" s="103"/>
      <c r="G83" s="40">
        <v>7994.59</v>
      </c>
      <c r="H83" s="40">
        <v>3911.8031599999999</v>
      </c>
      <c r="I83" s="123">
        <v>3548.7783599999998</v>
      </c>
      <c r="J83" s="41">
        <v>11906.39316</v>
      </c>
    </row>
    <row r="84" spans="1:10" s="16" customFormat="1" x14ac:dyDescent="0.25">
      <c r="A84" s="2" t="s">
        <v>89</v>
      </c>
      <c r="B84" s="47"/>
      <c r="C84" s="40">
        <v>20160.887719999999</v>
      </c>
      <c r="D84" s="40">
        <v>59583.35039</v>
      </c>
      <c r="E84" s="41">
        <v>79744.238110000006</v>
      </c>
      <c r="F84" s="103"/>
      <c r="G84" s="40">
        <v>16133.47877</v>
      </c>
      <c r="H84" s="40">
        <v>63610.759340000004</v>
      </c>
      <c r="I84" s="123">
        <v>59701.522530000002</v>
      </c>
      <c r="J84" s="41">
        <v>79744.238110000006</v>
      </c>
    </row>
    <row r="85" spans="1:10" s="16" customFormat="1" x14ac:dyDescent="0.25">
      <c r="A85" s="2" t="s">
        <v>90</v>
      </c>
      <c r="B85" s="47"/>
      <c r="C85" s="40">
        <v>1174.6473999999998</v>
      </c>
      <c r="D85" s="40">
        <v>3467.99332</v>
      </c>
      <c r="E85" s="41">
        <v>4642.6407199999994</v>
      </c>
      <c r="F85" s="103"/>
      <c r="G85" s="40">
        <v>2146.1820699999998</v>
      </c>
      <c r="H85" s="40">
        <v>2496.45865</v>
      </c>
      <c r="I85" s="123">
        <v>2464.3916200000003</v>
      </c>
      <c r="J85" s="41">
        <v>4642.6407199999994</v>
      </c>
    </row>
    <row r="86" spans="1:10" s="16" customFormat="1" x14ac:dyDescent="0.25">
      <c r="A86" s="2" t="s">
        <v>91</v>
      </c>
      <c r="B86" s="47"/>
      <c r="C86" s="40">
        <v>3178.2181499999997</v>
      </c>
      <c r="D86" s="40">
        <v>2997.3434900000002</v>
      </c>
      <c r="E86" s="41">
        <v>6175.5616399999999</v>
      </c>
      <c r="F86" s="103"/>
      <c r="G86" s="40">
        <v>3369.5462299999999</v>
      </c>
      <c r="H86" s="40">
        <v>2806.01541</v>
      </c>
      <c r="I86" s="123">
        <v>2229.0536200000001</v>
      </c>
      <c r="J86" s="41">
        <v>6175.5616399999999</v>
      </c>
    </row>
    <row r="87" spans="1:10" s="16" customFormat="1" x14ac:dyDescent="0.25">
      <c r="A87" s="2" t="s">
        <v>92</v>
      </c>
      <c r="B87" s="47"/>
      <c r="C87" s="40">
        <v>8294.3032500000008</v>
      </c>
      <c r="D87" s="40">
        <v>9241.8833300000006</v>
      </c>
      <c r="E87" s="41">
        <v>17536.186580000001</v>
      </c>
      <c r="F87" s="103"/>
      <c r="G87" s="40">
        <v>14935.367480000001</v>
      </c>
      <c r="H87" s="40">
        <v>2600.8191000000002</v>
      </c>
      <c r="I87" s="123">
        <v>2678.4192200000002</v>
      </c>
      <c r="J87" s="41">
        <v>17536.186580000001</v>
      </c>
    </row>
    <row r="88" spans="1:10" s="16" customFormat="1" x14ac:dyDescent="0.25">
      <c r="A88" s="2" t="s">
        <v>93</v>
      </c>
      <c r="B88" s="47"/>
      <c r="C88" s="40">
        <v>10863.261699999999</v>
      </c>
      <c r="D88" s="40">
        <v>9868.9391400000004</v>
      </c>
      <c r="E88" s="41">
        <v>20732.200839999998</v>
      </c>
      <c r="F88" s="103"/>
      <c r="G88" s="40">
        <v>7972.4580999999998</v>
      </c>
      <c r="H88" s="40">
        <v>12759.74274</v>
      </c>
      <c r="I88" s="123">
        <v>11983.743619999999</v>
      </c>
      <c r="J88" s="41">
        <v>20732.200839999998</v>
      </c>
    </row>
    <row r="89" spans="1:10" s="16" customFormat="1" x14ac:dyDescent="0.25">
      <c r="A89" s="2" t="s">
        <v>94</v>
      </c>
      <c r="B89" s="47"/>
      <c r="C89" s="40">
        <v>2405.4468400000001</v>
      </c>
      <c r="D89" s="40">
        <v>4430.9229500000001</v>
      </c>
      <c r="E89" s="41">
        <v>6836.3697900000006</v>
      </c>
      <c r="F89" s="103"/>
      <c r="G89" s="40">
        <v>6219.4411500000006</v>
      </c>
      <c r="H89" s="40">
        <v>616.92863999999997</v>
      </c>
      <c r="I89" s="123">
        <v>625.26820999999995</v>
      </c>
      <c r="J89" s="41">
        <v>6836.3697900000006</v>
      </c>
    </row>
    <row r="90" spans="1:10" s="16" customFormat="1" x14ac:dyDescent="0.25">
      <c r="A90" s="2" t="s">
        <v>95</v>
      </c>
      <c r="B90" s="47"/>
      <c r="C90" s="40">
        <v>4407.8125899999995</v>
      </c>
      <c r="D90" s="40">
        <v>14837.66728</v>
      </c>
      <c r="E90" s="41">
        <v>19245.479869999999</v>
      </c>
      <c r="F90" s="103"/>
      <c r="G90" s="40">
        <v>15698.50102</v>
      </c>
      <c r="H90" s="40">
        <v>3546.97885</v>
      </c>
      <c r="I90" s="123">
        <v>3456.6462499999998</v>
      </c>
      <c r="J90" s="41">
        <v>19245.479869999999</v>
      </c>
    </row>
    <row r="91" spans="1:10" s="16" customFormat="1" x14ac:dyDescent="0.25">
      <c r="A91" s="2" t="s">
        <v>96</v>
      </c>
      <c r="B91" s="47"/>
      <c r="C91" s="40">
        <v>5609.59249</v>
      </c>
      <c r="D91" s="40">
        <v>10729.58469</v>
      </c>
      <c r="E91" s="41">
        <v>16339.177179999999</v>
      </c>
      <c r="F91" s="103"/>
      <c r="G91" s="40">
        <v>12764.83208</v>
      </c>
      <c r="H91" s="40">
        <v>3574.3451</v>
      </c>
      <c r="I91" s="123">
        <v>3182.4103399999999</v>
      </c>
      <c r="J91" s="41">
        <v>16339.177180000001</v>
      </c>
    </row>
    <row r="92" spans="1:10" s="16" customFormat="1" x14ac:dyDescent="0.25">
      <c r="A92" s="2" t="s">
        <v>97</v>
      </c>
      <c r="B92" s="47"/>
      <c r="C92" s="40">
        <v>8829.5460999999996</v>
      </c>
      <c r="D92" s="40">
        <v>20271.89446</v>
      </c>
      <c r="E92" s="41">
        <v>29101.440559999999</v>
      </c>
      <c r="F92" s="103"/>
      <c r="G92" s="40">
        <v>23053.79406</v>
      </c>
      <c r="H92" s="40">
        <v>6047.6464999999998</v>
      </c>
      <c r="I92" s="123">
        <v>6093.4137899999996</v>
      </c>
      <c r="J92" s="41">
        <v>29101.440559999999</v>
      </c>
    </row>
    <row r="93" spans="1:10" s="16" customFormat="1" x14ac:dyDescent="0.25">
      <c r="A93" s="2" t="s">
        <v>98</v>
      </c>
      <c r="B93" s="47"/>
      <c r="C93" s="40">
        <v>7432.2764500000003</v>
      </c>
      <c r="D93" s="40">
        <v>29779.794600000001</v>
      </c>
      <c r="E93" s="41">
        <v>37212.071049999999</v>
      </c>
      <c r="F93" s="103"/>
      <c r="G93" s="40">
        <v>31562.80932</v>
      </c>
      <c r="H93" s="40">
        <v>5649.2617300000002</v>
      </c>
      <c r="I93" s="123">
        <v>5633.8097800000005</v>
      </c>
      <c r="J93" s="41">
        <v>37212.071049999999</v>
      </c>
    </row>
    <row r="94" spans="1:10" s="16" customFormat="1" x14ac:dyDescent="0.25">
      <c r="A94" s="2" t="s">
        <v>99</v>
      </c>
      <c r="B94" s="47"/>
      <c r="C94" s="40">
        <v>9114.7020900000007</v>
      </c>
      <c r="D94" s="40">
        <v>5739.80897</v>
      </c>
      <c r="E94" s="41">
        <v>14854.511060000001</v>
      </c>
      <c r="F94" s="103"/>
      <c r="G94" s="40">
        <v>7817.62925</v>
      </c>
      <c r="H94" s="40">
        <v>7036.8818099999999</v>
      </c>
      <c r="I94" s="123">
        <v>7091.1015199999993</v>
      </c>
      <c r="J94" s="41">
        <v>14854.511060000001</v>
      </c>
    </row>
    <row r="95" spans="1:10" s="16" customFormat="1" x14ac:dyDescent="0.25">
      <c r="A95" s="2" t="s">
        <v>590</v>
      </c>
      <c r="B95" s="47"/>
      <c r="C95" s="40">
        <v>5109.2253700000001</v>
      </c>
      <c r="D95" s="40">
        <v>15764.95132</v>
      </c>
      <c r="E95" s="41">
        <v>20874.17669</v>
      </c>
      <c r="F95" s="103"/>
      <c r="G95" s="40">
        <v>16955.003550000001</v>
      </c>
      <c r="H95" s="40">
        <v>3919.1731400000003</v>
      </c>
      <c r="I95" s="123">
        <v>4061.8457200000003</v>
      </c>
      <c r="J95" s="41">
        <v>20874.17669</v>
      </c>
    </row>
    <row r="96" spans="1:10" s="16" customFormat="1" x14ac:dyDescent="0.25">
      <c r="A96" s="4" t="s">
        <v>22</v>
      </c>
      <c r="B96" s="47"/>
      <c r="C96" s="40">
        <v>8173.3412600000001</v>
      </c>
      <c r="D96" s="40">
        <v>15454.256100000001</v>
      </c>
      <c r="E96" s="41">
        <v>23627.59736</v>
      </c>
      <c r="F96" s="103"/>
      <c r="G96" s="40">
        <v>12465.98222</v>
      </c>
      <c r="H96" s="40">
        <v>11161.61514</v>
      </c>
      <c r="I96" s="123">
        <v>11215.89581</v>
      </c>
      <c r="J96" s="41">
        <v>23627.59736</v>
      </c>
    </row>
    <row r="97" spans="1:10" s="16" customFormat="1" x14ac:dyDescent="0.25">
      <c r="A97" s="2" t="s">
        <v>100</v>
      </c>
      <c r="B97" s="47"/>
      <c r="C97" s="40">
        <v>5366.4200099999998</v>
      </c>
      <c r="D97" s="40">
        <v>22114.054100000001</v>
      </c>
      <c r="E97" s="41">
        <v>27480.474110000003</v>
      </c>
      <c r="F97" s="103"/>
      <c r="G97" s="40">
        <v>22501.661499999998</v>
      </c>
      <c r="H97" s="40">
        <v>4978.8126099999999</v>
      </c>
      <c r="I97" s="123">
        <v>5272.7845299999999</v>
      </c>
      <c r="J97" s="41">
        <v>27480.474109999999</v>
      </c>
    </row>
    <row r="98" spans="1:10" s="16" customFormat="1" x14ac:dyDescent="0.25">
      <c r="A98" s="2" t="s">
        <v>101</v>
      </c>
      <c r="B98" s="47"/>
      <c r="C98" s="40">
        <v>8092.3892699999997</v>
      </c>
      <c r="D98" s="40">
        <v>14419.4846</v>
      </c>
      <c r="E98" s="41">
        <v>22511.873869999999</v>
      </c>
      <c r="F98" s="103"/>
      <c r="G98" s="40">
        <v>13267.271480000001</v>
      </c>
      <c r="H98" s="40">
        <v>9244.60239</v>
      </c>
      <c r="I98" s="123">
        <v>9823.4420800000007</v>
      </c>
      <c r="J98" s="41">
        <v>22511.873870000003</v>
      </c>
    </row>
    <row r="99" spans="1:10" s="16" customFormat="1" x14ac:dyDescent="0.25">
      <c r="A99" s="2" t="s">
        <v>23</v>
      </c>
      <c r="B99" s="47"/>
      <c r="C99" s="40">
        <v>15041.998210000002</v>
      </c>
      <c r="D99" s="40">
        <v>29973</v>
      </c>
      <c r="E99" s="41">
        <v>45014.998210000005</v>
      </c>
      <c r="F99" s="103"/>
      <c r="G99" s="40">
        <v>16527.114140000001</v>
      </c>
      <c r="H99" s="40">
        <v>28487.88407</v>
      </c>
      <c r="I99" s="123">
        <v>28505.652890000001</v>
      </c>
      <c r="J99" s="41">
        <v>45014.998210000005</v>
      </c>
    </row>
    <row r="100" spans="1:10" s="16" customFormat="1" x14ac:dyDescent="0.25">
      <c r="A100" s="2" t="s">
        <v>102</v>
      </c>
      <c r="C100" s="40">
        <v>5508.0924100000002</v>
      </c>
      <c r="D100" s="40">
        <v>26722.370770000001</v>
      </c>
      <c r="E100" s="41">
        <v>32230.463180000002</v>
      </c>
      <c r="F100" s="103"/>
      <c r="G100" s="40">
        <v>21983.007579999998</v>
      </c>
      <c r="H100" s="40">
        <v>10247.455599999999</v>
      </c>
      <c r="I100" s="123">
        <v>5967.6261100000002</v>
      </c>
      <c r="J100" s="41">
        <v>32230.463179999999</v>
      </c>
    </row>
    <row r="101" spans="1:10" s="16" customFormat="1" x14ac:dyDescent="0.25">
      <c r="A101" s="2" t="s">
        <v>24</v>
      </c>
      <c r="C101" s="40">
        <v>8611.211589999999</v>
      </c>
      <c r="D101" s="40">
        <v>15807.46847</v>
      </c>
      <c r="E101" s="41">
        <v>24418.680059999999</v>
      </c>
      <c r="F101" s="103"/>
      <c r="G101" s="40">
        <v>16543.036529999998</v>
      </c>
      <c r="H101" s="40">
        <v>7875.6435300000003</v>
      </c>
      <c r="I101" s="123">
        <v>7861.1781900000005</v>
      </c>
      <c r="J101" s="41">
        <v>24418.680059999999</v>
      </c>
    </row>
    <row r="102" spans="1:10" s="16" customFormat="1" x14ac:dyDescent="0.25">
      <c r="A102" s="3" t="s">
        <v>103</v>
      </c>
      <c r="C102" s="40">
        <v>7485.6421600000003</v>
      </c>
      <c r="D102" s="40">
        <v>22427.310309999997</v>
      </c>
      <c r="E102" s="41">
        <v>29912.952469999997</v>
      </c>
      <c r="F102" s="103"/>
      <c r="G102" s="40">
        <v>21430.643550000001</v>
      </c>
      <c r="H102" s="40">
        <v>8482.3089199999995</v>
      </c>
      <c r="I102" s="123">
        <v>7752.1869500000003</v>
      </c>
      <c r="J102" s="41">
        <v>29912.95247</v>
      </c>
    </row>
    <row r="103" spans="1:10" s="16" customFormat="1" x14ac:dyDescent="0.25">
      <c r="A103" s="4" t="s">
        <v>104</v>
      </c>
      <c r="C103" s="40">
        <v>10675.33114</v>
      </c>
      <c r="D103" s="40">
        <v>23972.746749999998</v>
      </c>
      <c r="E103" s="41">
        <v>34648.07789</v>
      </c>
      <c r="F103" s="103"/>
      <c r="G103" s="40">
        <v>24245.2978</v>
      </c>
      <c r="H103" s="40">
        <v>10402.78009</v>
      </c>
      <c r="I103" s="123">
        <v>9125.7708599999987</v>
      </c>
      <c r="J103" s="41">
        <v>34648.07789</v>
      </c>
    </row>
    <row r="104" spans="1:10" s="16" customFormat="1" x14ac:dyDescent="0.25">
      <c r="A104" s="2" t="s">
        <v>25</v>
      </c>
      <c r="C104" s="40">
        <v>15733.575800000001</v>
      </c>
      <c r="D104" s="40">
        <v>10742.093339999999</v>
      </c>
      <c r="E104" s="41">
        <v>26475.669139999998</v>
      </c>
      <c r="F104" s="103"/>
      <c r="G104" s="40">
        <v>11402.923769999999</v>
      </c>
      <c r="H104" s="40">
        <v>15072.745369999999</v>
      </c>
      <c r="I104" s="123">
        <v>15082.54297</v>
      </c>
      <c r="J104" s="41">
        <v>26475.669139999998</v>
      </c>
    </row>
    <row r="105" spans="1:10" s="16" customFormat="1" x14ac:dyDescent="0.25">
      <c r="A105" s="2" t="s">
        <v>105</v>
      </c>
      <c r="C105" s="40">
        <v>16834.96387</v>
      </c>
      <c r="D105" s="40">
        <v>23136.736260000001</v>
      </c>
      <c r="E105" s="41">
        <v>39971.700129999997</v>
      </c>
      <c r="F105" s="103"/>
      <c r="G105" s="40">
        <v>23095.999050000002</v>
      </c>
      <c r="H105" s="40">
        <v>16875.701079999999</v>
      </c>
      <c r="I105" s="123">
        <v>16032.52066</v>
      </c>
      <c r="J105" s="41">
        <v>39971.700129999997</v>
      </c>
    </row>
    <row r="106" spans="1:10" s="16" customFormat="1" x14ac:dyDescent="0.25">
      <c r="A106" s="2" t="s">
        <v>106</v>
      </c>
      <c r="C106" s="40">
        <v>2393.5759199999998</v>
      </c>
      <c r="D106" s="40">
        <v>7099.1877899999999</v>
      </c>
      <c r="E106" s="41">
        <v>9492.7637099999993</v>
      </c>
      <c r="F106" s="103"/>
      <c r="G106" s="40">
        <v>8058.14959</v>
      </c>
      <c r="H106" s="40">
        <v>1434.6141200000002</v>
      </c>
      <c r="I106" s="123">
        <v>1604.1179500000001</v>
      </c>
      <c r="J106" s="41">
        <v>9492.7637099999993</v>
      </c>
    </row>
    <row r="107" spans="1:10" s="16" customFormat="1" x14ac:dyDescent="0.25">
      <c r="A107" s="2" t="s">
        <v>107</v>
      </c>
      <c r="C107" s="40">
        <v>3620.17706</v>
      </c>
      <c r="D107" s="40">
        <v>9023.2697100000005</v>
      </c>
      <c r="E107" s="41">
        <v>12643.44677</v>
      </c>
      <c r="F107" s="103"/>
      <c r="G107" s="40">
        <v>10856.20349</v>
      </c>
      <c r="H107" s="40">
        <v>1787.2432800000001</v>
      </c>
      <c r="I107" s="123">
        <v>1389.2819500000001</v>
      </c>
      <c r="J107" s="41">
        <v>12643.44677</v>
      </c>
    </row>
    <row r="108" spans="1:10" s="16" customFormat="1" x14ac:dyDescent="0.25">
      <c r="A108" s="2" t="s">
        <v>108</v>
      </c>
      <c r="C108" s="40">
        <v>5151.3724599999996</v>
      </c>
      <c r="D108" s="40">
        <v>15064.38276</v>
      </c>
      <c r="E108" s="41">
        <v>20215.755219999999</v>
      </c>
      <c r="F108" s="103"/>
      <c r="G108" s="40">
        <v>13143.103060000001</v>
      </c>
      <c r="H108" s="40">
        <v>7072.6521600000005</v>
      </c>
      <c r="I108" s="123">
        <v>6610.5792000000001</v>
      </c>
      <c r="J108" s="41">
        <v>20215.755220000003</v>
      </c>
    </row>
    <row r="109" spans="1:10" s="16" customFormat="1" x14ac:dyDescent="0.25">
      <c r="A109" s="2" t="s">
        <v>109</v>
      </c>
      <c r="C109" s="40">
        <v>4999.9654099999998</v>
      </c>
      <c r="D109" s="40">
        <v>9297.2653699999992</v>
      </c>
      <c r="E109" s="41">
        <v>14297.230779999998</v>
      </c>
      <c r="F109" s="38"/>
      <c r="G109" s="40">
        <v>10493.914929999999</v>
      </c>
      <c r="H109" s="40">
        <v>3803.31585</v>
      </c>
      <c r="I109" s="123">
        <v>4021.22642</v>
      </c>
      <c r="J109" s="41">
        <v>14297.230779999998</v>
      </c>
    </row>
    <row r="110" spans="1:10" s="114" customFormat="1" ht="18" customHeight="1" x14ac:dyDescent="0.25">
      <c r="A110" s="17" t="s">
        <v>224</v>
      </c>
      <c r="B110" s="43"/>
      <c r="C110" s="43">
        <v>2001324.8116999997</v>
      </c>
      <c r="D110" s="43">
        <v>3232109.4503699997</v>
      </c>
      <c r="E110" s="43">
        <v>5233434.2620700011</v>
      </c>
      <c r="F110" s="43"/>
      <c r="G110" s="43">
        <v>4156103.9729000009</v>
      </c>
      <c r="H110" s="43">
        <v>1077330.28917</v>
      </c>
      <c r="I110" s="43">
        <v>1056516.6685599999</v>
      </c>
      <c r="J110" s="43">
        <v>5233434.2620700011</v>
      </c>
    </row>
    <row r="111" spans="1:10" s="23" customFormat="1" ht="15.75" customHeight="1" x14ac:dyDescent="0.15">
      <c r="A111" s="23" t="s">
        <v>225</v>
      </c>
      <c r="B111" s="124"/>
      <c r="C111" s="44"/>
      <c r="D111" s="44"/>
      <c r="E111" s="44"/>
      <c r="F111" s="124"/>
      <c r="G111" s="124"/>
      <c r="H111" s="124"/>
      <c r="I111" s="124"/>
      <c r="J111" s="124"/>
    </row>
    <row r="112" spans="1:10" x14ac:dyDescent="0.25">
      <c r="E112" s="125"/>
    </row>
  </sheetData>
  <mergeCells count="2">
    <mergeCell ref="C2:E2"/>
    <mergeCell ref="G2:J2"/>
  </mergeCells>
  <printOptions horizontalCentered="1" verticalCentered="1"/>
  <pageMargins left="0.70866141732283472" right="0.70866141732283472" top="0.55118110236220474" bottom="0.35433070866141736" header="0.31496062992125984" footer="3.937007874015748E-2"/>
  <pageSetup paperSize="9" firstPageNumber="63" orientation="portrait" useFirstPageNumber="1" horizontalDpi="1200" verticalDpi="1200" r:id="rId1"/>
  <headerFooter>
    <oddFooter>&amp;C&amp;"Arial Narrow,Corsivo"&amp;7- pagina &amp;P -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214"/>
  <sheetViews>
    <sheetView zoomScale="150" zoomScaleNormal="150" workbookViewId="0">
      <pane ySplit="2" topLeftCell="A91" activePane="bottomLeft" state="frozenSplit"/>
      <selection pane="bottomLeft" activeCell="A109" sqref="A109"/>
    </sheetView>
  </sheetViews>
  <sheetFormatPr defaultRowHeight="13.5" x14ac:dyDescent="0.25"/>
  <cols>
    <col min="1" max="1" width="14.85546875" style="16" customWidth="1"/>
    <col min="2" max="4" width="7.5703125" style="51" customWidth="1"/>
    <col min="5" max="5" width="7.5703125" style="61" customWidth="1"/>
    <col min="6" max="14" width="7.5703125" style="51" customWidth="1"/>
    <col min="15" max="15" width="10.7109375" style="62" customWidth="1"/>
    <col min="16" max="17" width="9.140625" style="51"/>
    <col min="18" max="18" width="3" style="51" customWidth="1"/>
    <col min="19" max="254" width="9.140625" style="51"/>
    <col min="255" max="255" width="14.85546875" style="51" customWidth="1"/>
    <col min="256" max="268" width="7.5703125" style="51" customWidth="1"/>
    <col min="269" max="269" width="9.28515625" style="51" customWidth="1"/>
    <col min="270" max="270" width="13.140625" style="51" customWidth="1"/>
    <col min="271" max="273" width="9.140625" style="51"/>
    <col min="274" max="274" width="3" style="51" customWidth="1"/>
    <col min="275" max="510" width="9.140625" style="51"/>
    <col min="511" max="511" width="14.85546875" style="51" customWidth="1"/>
    <col min="512" max="524" width="7.5703125" style="51" customWidth="1"/>
    <col min="525" max="525" width="9.28515625" style="51" customWidth="1"/>
    <col min="526" max="526" width="13.140625" style="51" customWidth="1"/>
    <col min="527" max="529" width="9.140625" style="51"/>
    <col min="530" max="530" width="3" style="51" customWidth="1"/>
    <col min="531" max="766" width="9.140625" style="51"/>
    <col min="767" max="767" width="14.85546875" style="51" customWidth="1"/>
    <col min="768" max="780" width="7.5703125" style="51" customWidth="1"/>
    <col min="781" max="781" width="9.28515625" style="51" customWidth="1"/>
    <col min="782" max="782" width="13.140625" style="51" customWidth="1"/>
    <col min="783" max="785" width="9.140625" style="51"/>
    <col min="786" max="786" width="3" style="51" customWidth="1"/>
    <col min="787" max="1022" width="9.140625" style="51"/>
    <col min="1023" max="1023" width="14.85546875" style="51" customWidth="1"/>
    <col min="1024" max="1036" width="7.5703125" style="51" customWidth="1"/>
    <col min="1037" max="1037" width="9.28515625" style="51" customWidth="1"/>
    <col min="1038" max="1038" width="13.140625" style="51" customWidth="1"/>
    <col min="1039" max="1041" width="9.140625" style="51"/>
    <col min="1042" max="1042" width="3" style="51" customWidth="1"/>
    <col min="1043" max="1278" width="9.140625" style="51"/>
    <col min="1279" max="1279" width="14.85546875" style="51" customWidth="1"/>
    <col min="1280" max="1292" width="7.5703125" style="51" customWidth="1"/>
    <col min="1293" max="1293" width="9.28515625" style="51" customWidth="1"/>
    <col min="1294" max="1294" width="13.140625" style="51" customWidth="1"/>
    <col min="1295" max="1297" width="9.140625" style="51"/>
    <col min="1298" max="1298" width="3" style="51" customWidth="1"/>
    <col min="1299" max="1534" width="9.140625" style="51"/>
    <col min="1535" max="1535" width="14.85546875" style="51" customWidth="1"/>
    <col min="1536" max="1548" width="7.5703125" style="51" customWidth="1"/>
    <col min="1549" max="1549" width="9.28515625" style="51" customWidth="1"/>
    <col min="1550" max="1550" width="13.140625" style="51" customWidth="1"/>
    <col min="1551" max="1553" width="9.140625" style="51"/>
    <col min="1554" max="1554" width="3" style="51" customWidth="1"/>
    <col min="1555" max="1790" width="9.140625" style="51"/>
    <col min="1791" max="1791" width="14.85546875" style="51" customWidth="1"/>
    <col min="1792" max="1804" width="7.5703125" style="51" customWidth="1"/>
    <col min="1805" max="1805" width="9.28515625" style="51" customWidth="1"/>
    <col min="1806" max="1806" width="13.140625" style="51" customWidth="1"/>
    <col min="1807" max="1809" width="9.140625" style="51"/>
    <col min="1810" max="1810" width="3" style="51" customWidth="1"/>
    <col min="1811" max="2046" width="9.140625" style="51"/>
    <col min="2047" max="2047" width="14.85546875" style="51" customWidth="1"/>
    <col min="2048" max="2060" width="7.5703125" style="51" customWidth="1"/>
    <col min="2061" max="2061" width="9.28515625" style="51" customWidth="1"/>
    <col min="2062" max="2062" width="13.140625" style="51" customWidth="1"/>
    <col min="2063" max="2065" width="9.140625" style="51"/>
    <col min="2066" max="2066" width="3" style="51" customWidth="1"/>
    <col min="2067" max="2302" width="9.140625" style="51"/>
    <col min="2303" max="2303" width="14.85546875" style="51" customWidth="1"/>
    <col min="2304" max="2316" width="7.5703125" style="51" customWidth="1"/>
    <col min="2317" max="2317" width="9.28515625" style="51" customWidth="1"/>
    <col min="2318" max="2318" width="13.140625" style="51" customWidth="1"/>
    <col min="2319" max="2321" width="9.140625" style="51"/>
    <col min="2322" max="2322" width="3" style="51" customWidth="1"/>
    <col min="2323" max="2558" width="9.140625" style="51"/>
    <col min="2559" max="2559" width="14.85546875" style="51" customWidth="1"/>
    <col min="2560" max="2572" width="7.5703125" style="51" customWidth="1"/>
    <col min="2573" max="2573" width="9.28515625" style="51" customWidth="1"/>
    <col min="2574" max="2574" width="13.140625" style="51" customWidth="1"/>
    <col min="2575" max="2577" width="9.140625" style="51"/>
    <col min="2578" max="2578" width="3" style="51" customWidth="1"/>
    <col min="2579" max="2814" width="9.140625" style="51"/>
    <col min="2815" max="2815" width="14.85546875" style="51" customWidth="1"/>
    <col min="2816" max="2828" width="7.5703125" style="51" customWidth="1"/>
    <col min="2829" max="2829" width="9.28515625" style="51" customWidth="1"/>
    <col min="2830" max="2830" width="13.140625" style="51" customWidth="1"/>
    <col min="2831" max="2833" width="9.140625" style="51"/>
    <col min="2834" max="2834" width="3" style="51" customWidth="1"/>
    <col min="2835" max="3070" width="9.140625" style="51"/>
    <col min="3071" max="3071" width="14.85546875" style="51" customWidth="1"/>
    <col min="3072" max="3084" width="7.5703125" style="51" customWidth="1"/>
    <col min="3085" max="3085" width="9.28515625" style="51" customWidth="1"/>
    <col min="3086" max="3086" width="13.140625" style="51" customWidth="1"/>
    <col min="3087" max="3089" width="9.140625" style="51"/>
    <col min="3090" max="3090" width="3" style="51" customWidth="1"/>
    <col min="3091" max="3326" width="9.140625" style="51"/>
    <col min="3327" max="3327" width="14.85546875" style="51" customWidth="1"/>
    <col min="3328" max="3340" width="7.5703125" style="51" customWidth="1"/>
    <col min="3341" max="3341" width="9.28515625" style="51" customWidth="1"/>
    <col min="3342" max="3342" width="13.140625" style="51" customWidth="1"/>
    <col min="3343" max="3345" width="9.140625" style="51"/>
    <col min="3346" max="3346" width="3" style="51" customWidth="1"/>
    <col min="3347" max="3582" width="9.140625" style="51"/>
    <col min="3583" max="3583" width="14.85546875" style="51" customWidth="1"/>
    <col min="3584" max="3596" width="7.5703125" style="51" customWidth="1"/>
    <col min="3597" max="3597" width="9.28515625" style="51" customWidth="1"/>
    <col min="3598" max="3598" width="13.140625" style="51" customWidth="1"/>
    <col min="3599" max="3601" width="9.140625" style="51"/>
    <col min="3602" max="3602" width="3" style="51" customWidth="1"/>
    <col min="3603" max="3838" width="9.140625" style="51"/>
    <col min="3839" max="3839" width="14.85546875" style="51" customWidth="1"/>
    <col min="3840" max="3852" width="7.5703125" style="51" customWidth="1"/>
    <col min="3853" max="3853" width="9.28515625" style="51" customWidth="1"/>
    <col min="3854" max="3854" width="13.140625" style="51" customWidth="1"/>
    <col min="3855" max="3857" width="9.140625" style="51"/>
    <col min="3858" max="3858" width="3" style="51" customWidth="1"/>
    <col min="3859" max="4094" width="9.140625" style="51"/>
    <col min="4095" max="4095" width="14.85546875" style="51" customWidth="1"/>
    <col min="4096" max="4108" width="7.5703125" style="51" customWidth="1"/>
    <col min="4109" max="4109" width="9.28515625" style="51" customWidth="1"/>
    <col min="4110" max="4110" width="13.140625" style="51" customWidth="1"/>
    <col min="4111" max="4113" width="9.140625" style="51"/>
    <col min="4114" max="4114" width="3" style="51" customWidth="1"/>
    <col min="4115" max="4350" width="9.140625" style="51"/>
    <col min="4351" max="4351" width="14.85546875" style="51" customWidth="1"/>
    <col min="4352" max="4364" width="7.5703125" style="51" customWidth="1"/>
    <col min="4365" max="4365" width="9.28515625" style="51" customWidth="1"/>
    <col min="4366" max="4366" width="13.140625" style="51" customWidth="1"/>
    <col min="4367" max="4369" width="9.140625" style="51"/>
    <col min="4370" max="4370" width="3" style="51" customWidth="1"/>
    <col min="4371" max="4606" width="9.140625" style="51"/>
    <col min="4607" max="4607" width="14.85546875" style="51" customWidth="1"/>
    <col min="4608" max="4620" width="7.5703125" style="51" customWidth="1"/>
    <col min="4621" max="4621" width="9.28515625" style="51" customWidth="1"/>
    <col min="4622" max="4622" width="13.140625" style="51" customWidth="1"/>
    <col min="4623" max="4625" width="9.140625" style="51"/>
    <col min="4626" max="4626" width="3" style="51" customWidth="1"/>
    <col min="4627" max="4862" width="9.140625" style="51"/>
    <col min="4863" max="4863" width="14.85546875" style="51" customWidth="1"/>
    <col min="4864" max="4876" width="7.5703125" style="51" customWidth="1"/>
    <col min="4877" max="4877" width="9.28515625" style="51" customWidth="1"/>
    <col min="4878" max="4878" width="13.140625" style="51" customWidth="1"/>
    <col min="4879" max="4881" width="9.140625" style="51"/>
    <col min="4882" max="4882" width="3" style="51" customWidth="1"/>
    <col min="4883" max="5118" width="9.140625" style="51"/>
    <col min="5119" max="5119" width="14.85546875" style="51" customWidth="1"/>
    <col min="5120" max="5132" width="7.5703125" style="51" customWidth="1"/>
    <col min="5133" max="5133" width="9.28515625" style="51" customWidth="1"/>
    <col min="5134" max="5134" width="13.140625" style="51" customWidth="1"/>
    <col min="5135" max="5137" width="9.140625" style="51"/>
    <col min="5138" max="5138" width="3" style="51" customWidth="1"/>
    <col min="5139" max="5374" width="9.140625" style="51"/>
    <col min="5375" max="5375" width="14.85546875" style="51" customWidth="1"/>
    <col min="5376" max="5388" width="7.5703125" style="51" customWidth="1"/>
    <col min="5389" max="5389" width="9.28515625" style="51" customWidth="1"/>
    <col min="5390" max="5390" width="13.140625" style="51" customWidth="1"/>
    <col min="5391" max="5393" width="9.140625" style="51"/>
    <col min="5394" max="5394" width="3" style="51" customWidth="1"/>
    <col min="5395" max="5630" width="9.140625" style="51"/>
    <col min="5631" max="5631" width="14.85546875" style="51" customWidth="1"/>
    <col min="5632" max="5644" width="7.5703125" style="51" customWidth="1"/>
    <col min="5645" max="5645" width="9.28515625" style="51" customWidth="1"/>
    <col min="5646" max="5646" width="13.140625" style="51" customWidth="1"/>
    <col min="5647" max="5649" width="9.140625" style="51"/>
    <col min="5650" max="5650" width="3" style="51" customWidth="1"/>
    <col min="5651" max="5886" width="9.140625" style="51"/>
    <col min="5887" max="5887" width="14.85546875" style="51" customWidth="1"/>
    <col min="5888" max="5900" width="7.5703125" style="51" customWidth="1"/>
    <col min="5901" max="5901" width="9.28515625" style="51" customWidth="1"/>
    <col min="5902" max="5902" width="13.140625" style="51" customWidth="1"/>
    <col min="5903" max="5905" width="9.140625" style="51"/>
    <col min="5906" max="5906" width="3" style="51" customWidth="1"/>
    <col min="5907" max="6142" width="9.140625" style="51"/>
    <col min="6143" max="6143" width="14.85546875" style="51" customWidth="1"/>
    <col min="6144" max="6156" width="7.5703125" style="51" customWidth="1"/>
    <col min="6157" max="6157" width="9.28515625" style="51" customWidth="1"/>
    <col min="6158" max="6158" width="13.140625" style="51" customWidth="1"/>
    <col min="6159" max="6161" width="9.140625" style="51"/>
    <col min="6162" max="6162" width="3" style="51" customWidth="1"/>
    <col min="6163" max="6398" width="9.140625" style="51"/>
    <col min="6399" max="6399" width="14.85546875" style="51" customWidth="1"/>
    <col min="6400" max="6412" width="7.5703125" style="51" customWidth="1"/>
    <col min="6413" max="6413" width="9.28515625" style="51" customWidth="1"/>
    <col min="6414" max="6414" width="13.140625" style="51" customWidth="1"/>
    <col min="6415" max="6417" width="9.140625" style="51"/>
    <col min="6418" max="6418" width="3" style="51" customWidth="1"/>
    <col min="6419" max="6654" width="9.140625" style="51"/>
    <col min="6655" max="6655" width="14.85546875" style="51" customWidth="1"/>
    <col min="6656" max="6668" width="7.5703125" style="51" customWidth="1"/>
    <col min="6669" max="6669" width="9.28515625" style="51" customWidth="1"/>
    <col min="6670" max="6670" width="13.140625" style="51" customWidth="1"/>
    <col min="6671" max="6673" width="9.140625" style="51"/>
    <col min="6674" max="6674" width="3" style="51" customWidth="1"/>
    <col min="6675" max="6910" width="9.140625" style="51"/>
    <col min="6911" max="6911" width="14.85546875" style="51" customWidth="1"/>
    <col min="6912" max="6924" width="7.5703125" style="51" customWidth="1"/>
    <col min="6925" max="6925" width="9.28515625" style="51" customWidth="1"/>
    <col min="6926" max="6926" width="13.140625" style="51" customWidth="1"/>
    <col min="6927" max="6929" width="9.140625" style="51"/>
    <col min="6930" max="6930" width="3" style="51" customWidth="1"/>
    <col min="6931" max="7166" width="9.140625" style="51"/>
    <col min="7167" max="7167" width="14.85546875" style="51" customWidth="1"/>
    <col min="7168" max="7180" width="7.5703125" style="51" customWidth="1"/>
    <col min="7181" max="7181" width="9.28515625" style="51" customWidth="1"/>
    <col min="7182" max="7182" width="13.140625" style="51" customWidth="1"/>
    <col min="7183" max="7185" width="9.140625" style="51"/>
    <col min="7186" max="7186" width="3" style="51" customWidth="1"/>
    <col min="7187" max="7422" width="9.140625" style="51"/>
    <col min="7423" max="7423" width="14.85546875" style="51" customWidth="1"/>
    <col min="7424" max="7436" width="7.5703125" style="51" customWidth="1"/>
    <col min="7437" max="7437" width="9.28515625" style="51" customWidth="1"/>
    <col min="7438" max="7438" width="13.140625" style="51" customWidth="1"/>
    <col min="7439" max="7441" width="9.140625" style="51"/>
    <col min="7442" max="7442" width="3" style="51" customWidth="1"/>
    <col min="7443" max="7678" width="9.140625" style="51"/>
    <col min="7679" max="7679" width="14.85546875" style="51" customWidth="1"/>
    <col min="7680" max="7692" width="7.5703125" style="51" customWidth="1"/>
    <col min="7693" max="7693" width="9.28515625" style="51" customWidth="1"/>
    <col min="7694" max="7694" width="13.140625" style="51" customWidth="1"/>
    <col min="7695" max="7697" width="9.140625" style="51"/>
    <col min="7698" max="7698" width="3" style="51" customWidth="1"/>
    <col min="7699" max="7934" width="9.140625" style="51"/>
    <col min="7935" max="7935" width="14.85546875" style="51" customWidth="1"/>
    <col min="7936" max="7948" width="7.5703125" style="51" customWidth="1"/>
    <col min="7949" max="7949" width="9.28515625" style="51" customWidth="1"/>
    <col min="7950" max="7950" width="13.140625" style="51" customWidth="1"/>
    <col min="7951" max="7953" width="9.140625" style="51"/>
    <col min="7954" max="7954" width="3" style="51" customWidth="1"/>
    <col min="7955" max="8190" width="9.140625" style="51"/>
    <col min="8191" max="8191" width="14.85546875" style="51" customWidth="1"/>
    <col min="8192" max="8204" width="7.5703125" style="51" customWidth="1"/>
    <col min="8205" max="8205" width="9.28515625" style="51" customWidth="1"/>
    <col min="8206" max="8206" width="13.140625" style="51" customWidth="1"/>
    <col min="8207" max="8209" width="9.140625" style="51"/>
    <col min="8210" max="8210" width="3" style="51" customWidth="1"/>
    <col min="8211" max="8446" width="9.140625" style="51"/>
    <col min="8447" max="8447" width="14.85546875" style="51" customWidth="1"/>
    <col min="8448" max="8460" width="7.5703125" style="51" customWidth="1"/>
    <col min="8461" max="8461" width="9.28515625" style="51" customWidth="1"/>
    <col min="8462" max="8462" width="13.140625" style="51" customWidth="1"/>
    <col min="8463" max="8465" width="9.140625" style="51"/>
    <col min="8466" max="8466" width="3" style="51" customWidth="1"/>
    <col min="8467" max="8702" width="9.140625" style="51"/>
    <col min="8703" max="8703" width="14.85546875" style="51" customWidth="1"/>
    <col min="8704" max="8716" width="7.5703125" style="51" customWidth="1"/>
    <col min="8717" max="8717" width="9.28515625" style="51" customWidth="1"/>
    <col min="8718" max="8718" width="13.140625" style="51" customWidth="1"/>
    <col min="8719" max="8721" width="9.140625" style="51"/>
    <col min="8722" max="8722" width="3" style="51" customWidth="1"/>
    <col min="8723" max="8958" width="9.140625" style="51"/>
    <col min="8959" max="8959" width="14.85546875" style="51" customWidth="1"/>
    <col min="8960" max="8972" width="7.5703125" style="51" customWidth="1"/>
    <col min="8973" max="8973" width="9.28515625" style="51" customWidth="1"/>
    <col min="8974" max="8974" width="13.140625" style="51" customWidth="1"/>
    <col min="8975" max="8977" width="9.140625" style="51"/>
    <col min="8978" max="8978" width="3" style="51" customWidth="1"/>
    <col min="8979" max="9214" width="9.140625" style="51"/>
    <col min="9215" max="9215" width="14.85546875" style="51" customWidth="1"/>
    <col min="9216" max="9228" width="7.5703125" style="51" customWidth="1"/>
    <col min="9229" max="9229" width="9.28515625" style="51" customWidth="1"/>
    <col min="9230" max="9230" width="13.140625" style="51" customWidth="1"/>
    <col min="9231" max="9233" width="9.140625" style="51"/>
    <col min="9234" max="9234" width="3" style="51" customWidth="1"/>
    <col min="9235" max="9470" width="9.140625" style="51"/>
    <col min="9471" max="9471" width="14.85546875" style="51" customWidth="1"/>
    <col min="9472" max="9484" width="7.5703125" style="51" customWidth="1"/>
    <col min="9485" max="9485" width="9.28515625" style="51" customWidth="1"/>
    <col min="9486" max="9486" width="13.140625" style="51" customWidth="1"/>
    <col min="9487" max="9489" width="9.140625" style="51"/>
    <col min="9490" max="9490" width="3" style="51" customWidth="1"/>
    <col min="9491" max="9726" width="9.140625" style="51"/>
    <col min="9727" max="9727" width="14.85546875" style="51" customWidth="1"/>
    <col min="9728" max="9740" width="7.5703125" style="51" customWidth="1"/>
    <col min="9741" max="9741" width="9.28515625" style="51" customWidth="1"/>
    <col min="9742" max="9742" width="13.140625" style="51" customWidth="1"/>
    <col min="9743" max="9745" width="9.140625" style="51"/>
    <col min="9746" max="9746" width="3" style="51" customWidth="1"/>
    <col min="9747" max="9982" width="9.140625" style="51"/>
    <col min="9983" max="9983" width="14.85546875" style="51" customWidth="1"/>
    <col min="9984" max="9996" width="7.5703125" style="51" customWidth="1"/>
    <col min="9997" max="9997" width="9.28515625" style="51" customWidth="1"/>
    <col min="9998" max="9998" width="13.140625" style="51" customWidth="1"/>
    <col min="9999" max="10001" width="9.140625" style="51"/>
    <col min="10002" max="10002" width="3" style="51" customWidth="1"/>
    <col min="10003" max="10238" width="9.140625" style="51"/>
    <col min="10239" max="10239" width="14.85546875" style="51" customWidth="1"/>
    <col min="10240" max="10252" width="7.5703125" style="51" customWidth="1"/>
    <col min="10253" max="10253" width="9.28515625" style="51" customWidth="1"/>
    <col min="10254" max="10254" width="13.140625" style="51" customWidth="1"/>
    <col min="10255" max="10257" width="9.140625" style="51"/>
    <col min="10258" max="10258" width="3" style="51" customWidth="1"/>
    <col min="10259" max="10494" width="9.140625" style="51"/>
    <col min="10495" max="10495" width="14.85546875" style="51" customWidth="1"/>
    <col min="10496" max="10508" width="7.5703125" style="51" customWidth="1"/>
    <col min="10509" max="10509" width="9.28515625" style="51" customWidth="1"/>
    <col min="10510" max="10510" width="13.140625" style="51" customWidth="1"/>
    <col min="10511" max="10513" width="9.140625" style="51"/>
    <col min="10514" max="10514" width="3" style="51" customWidth="1"/>
    <col min="10515" max="10750" width="9.140625" style="51"/>
    <col min="10751" max="10751" width="14.85546875" style="51" customWidth="1"/>
    <col min="10752" max="10764" width="7.5703125" style="51" customWidth="1"/>
    <col min="10765" max="10765" width="9.28515625" style="51" customWidth="1"/>
    <col min="10766" max="10766" width="13.140625" style="51" customWidth="1"/>
    <col min="10767" max="10769" width="9.140625" style="51"/>
    <col min="10770" max="10770" width="3" style="51" customWidth="1"/>
    <col min="10771" max="11006" width="9.140625" style="51"/>
    <col min="11007" max="11007" width="14.85546875" style="51" customWidth="1"/>
    <col min="11008" max="11020" width="7.5703125" style="51" customWidth="1"/>
    <col min="11021" max="11021" width="9.28515625" style="51" customWidth="1"/>
    <col min="11022" max="11022" width="13.140625" style="51" customWidth="1"/>
    <col min="11023" max="11025" width="9.140625" style="51"/>
    <col min="11026" max="11026" width="3" style="51" customWidth="1"/>
    <col min="11027" max="11262" width="9.140625" style="51"/>
    <col min="11263" max="11263" width="14.85546875" style="51" customWidth="1"/>
    <col min="11264" max="11276" width="7.5703125" style="51" customWidth="1"/>
    <col min="11277" max="11277" width="9.28515625" style="51" customWidth="1"/>
    <col min="11278" max="11278" width="13.140625" style="51" customWidth="1"/>
    <col min="11279" max="11281" width="9.140625" style="51"/>
    <col min="11282" max="11282" width="3" style="51" customWidth="1"/>
    <col min="11283" max="11518" width="9.140625" style="51"/>
    <col min="11519" max="11519" width="14.85546875" style="51" customWidth="1"/>
    <col min="11520" max="11532" width="7.5703125" style="51" customWidth="1"/>
    <col min="11533" max="11533" width="9.28515625" style="51" customWidth="1"/>
    <col min="11534" max="11534" width="13.140625" style="51" customWidth="1"/>
    <col min="11535" max="11537" width="9.140625" style="51"/>
    <col min="11538" max="11538" width="3" style="51" customWidth="1"/>
    <col min="11539" max="11774" width="9.140625" style="51"/>
    <col min="11775" max="11775" width="14.85546875" style="51" customWidth="1"/>
    <col min="11776" max="11788" width="7.5703125" style="51" customWidth="1"/>
    <col min="11789" max="11789" width="9.28515625" style="51" customWidth="1"/>
    <col min="11790" max="11790" width="13.140625" style="51" customWidth="1"/>
    <col min="11791" max="11793" width="9.140625" style="51"/>
    <col min="11794" max="11794" width="3" style="51" customWidth="1"/>
    <col min="11795" max="12030" width="9.140625" style="51"/>
    <col min="12031" max="12031" width="14.85546875" style="51" customWidth="1"/>
    <col min="12032" max="12044" width="7.5703125" style="51" customWidth="1"/>
    <col min="12045" max="12045" width="9.28515625" style="51" customWidth="1"/>
    <col min="12046" max="12046" width="13.140625" style="51" customWidth="1"/>
    <col min="12047" max="12049" width="9.140625" style="51"/>
    <col min="12050" max="12050" width="3" style="51" customWidth="1"/>
    <col min="12051" max="12286" width="9.140625" style="51"/>
    <col min="12287" max="12287" width="14.85546875" style="51" customWidth="1"/>
    <col min="12288" max="12300" width="7.5703125" style="51" customWidth="1"/>
    <col min="12301" max="12301" width="9.28515625" style="51" customWidth="1"/>
    <col min="12302" max="12302" width="13.140625" style="51" customWidth="1"/>
    <col min="12303" max="12305" width="9.140625" style="51"/>
    <col min="12306" max="12306" width="3" style="51" customWidth="1"/>
    <col min="12307" max="12542" width="9.140625" style="51"/>
    <col min="12543" max="12543" width="14.85546875" style="51" customWidth="1"/>
    <col min="12544" max="12556" width="7.5703125" style="51" customWidth="1"/>
    <col min="12557" max="12557" width="9.28515625" style="51" customWidth="1"/>
    <col min="12558" max="12558" width="13.140625" style="51" customWidth="1"/>
    <col min="12559" max="12561" width="9.140625" style="51"/>
    <col min="12562" max="12562" width="3" style="51" customWidth="1"/>
    <col min="12563" max="12798" width="9.140625" style="51"/>
    <col min="12799" max="12799" width="14.85546875" style="51" customWidth="1"/>
    <col min="12800" max="12812" width="7.5703125" style="51" customWidth="1"/>
    <col min="12813" max="12813" width="9.28515625" style="51" customWidth="1"/>
    <col min="12814" max="12814" width="13.140625" style="51" customWidth="1"/>
    <col min="12815" max="12817" width="9.140625" style="51"/>
    <col min="12818" max="12818" width="3" style="51" customWidth="1"/>
    <col min="12819" max="13054" width="9.140625" style="51"/>
    <col min="13055" max="13055" width="14.85546875" style="51" customWidth="1"/>
    <col min="13056" max="13068" width="7.5703125" style="51" customWidth="1"/>
    <col min="13069" max="13069" width="9.28515625" style="51" customWidth="1"/>
    <col min="13070" max="13070" width="13.140625" style="51" customWidth="1"/>
    <col min="13071" max="13073" width="9.140625" style="51"/>
    <col min="13074" max="13074" width="3" style="51" customWidth="1"/>
    <col min="13075" max="13310" width="9.140625" style="51"/>
    <col min="13311" max="13311" width="14.85546875" style="51" customWidth="1"/>
    <col min="13312" max="13324" width="7.5703125" style="51" customWidth="1"/>
    <col min="13325" max="13325" width="9.28515625" style="51" customWidth="1"/>
    <col min="13326" max="13326" width="13.140625" style="51" customWidth="1"/>
    <col min="13327" max="13329" width="9.140625" style="51"/>
    <col min="13330" max="13330" width="3" style="51" customWidth="1"/>
    <col min="13331" max="13566" width="9.140625" style="51"/>
    <col min="13567" max="13567" width="14.85546875" style="51" customWidth="1"/>
    <col min="13568" max="13580" width="7.5703125" style="51" customWidth="1"/>
    <col min="13581" max="13581" width="9.28515625" style="51" customWidth="1"/>
    <col min="13582" max="13582" width="13.140625" style="51" customWidth="1"/>
    <col min="13583" max="13585" width="9.140625" style="51"/>
    <col min="13586" max="13586" width="3" style="51" customWidth="1"/>
    <col min="13587" max="13822" width="9.140625" style="51"/>
    <col min="13823" max="13823" width="14.85546875" style="51" customWidth="1"/>
    <col min="13824" max="13836" width="7.5703125" style="51" customWidth="1"/>
    <col min="13837" max="13837" width="9.28515625" style="51" customWidth="1"/>
    <col min="13838" max="13838" width="13.140625" style="51" customWidth="1"/>
    <col min="13839" max="13841" width="9.140625" style="51"/>
    <col min="13842" max="13842" width="3" style="51" customWidth="1"/>
    <col min="13843" max="14078" width="9.140625" style="51"/>
    <col min="14079" max="14079" width="14.85546875" style="51" customWidth="1"/>
    <col min="14080" max="14092" width="7.5703125" style="51" customWidth="1"/>
    <col min="14093" max="14093" width="9.28515625" style="51" customWidth="1"/>
    <col min="14094" max="14094" width="13.140625" style="51" customWidth="1"/>
    <col min="14095" max="14097" width="9.140625" style="51"/>
    <col min="14098" max="14098" width="3" style="51" customWidth="1"/>
    <col min="14099" max="14334" width="9.140625" style="51"/>
    <col min="14335" max="14335" width="14.85546875" style="51" customWidth="1"/>
    <col min="14336" max="14348" width="7.5703125" style="51" customWidth="1"/>
    <col min="14349" max="14349" width="9.28515625" style="51" customWidth="1"/>
    <col min="14350" max="14350" width="13.140625" style="51" customWidth="1"/>
    <col min="14351" max="14353" width="9.140625" style="51"/>
    <col min="14354" max="14354" width="3" style="51" customWidth="1"/>
    <col min="14355" max="14590" width="9.140625" style="51"/>
    <col min="14591" max="14591" width="14.85546875" style="51" customWidth="1"/>
    <col min="14592" max="14604" width="7.5703125" style="51" customWidth="1"/>
    <col min="14605" max="14605" width="9.28515625" style="51" customWidth="1"/>
    <col min="14606" max="14606" width="13.140625" style="51" customWidth="1"/>
    <col min="14607" max="14609" width="9.140625" style="51"/>
    <col min="14610" max="14610" width="3" style="51" customWidth="1"/>
    <col min="14611" max="14846" width="9.140625" style="51"/>
    <col min="14847" max="14847" width="14.85546875" style="51" customWidth="1"/>
    <col min="14848" max="14860" width="7.5703125" style="51" customWidth="1"/>
    <col min="14861" max="14861" width="9.28515625" style="51" customWidth="1"/>
    <col min="14862" max="14862" width="13.140625" style="51" customWidth="1"/>
    <col min="14863" max="14865" width="9.140625" style="51"/>
    <col min="14866" max="14866" width="3" style="51" customWidth="1"/>
    <col min="14867" max="15102" width="9.140625" style="51"/>
    <col min="15103" max="15103" width="14.85546875" style="51" customWidth="1"/>
    <col min="15104" max="15116" width="7.5703125" style="51" customWidth="1"/>
    <col min="15117" max="15117" width="9.28515625" style="51" customWidth="1"/>
    <col min="15118" max="15118" width="13.140625" style="51" customWidth="1"/>
    <col min="15119" max="15121" width="9.140625" style="51"/>
    <col min="15122" max="15122" width="3" style="51" customWidth="1"/>
    <col min="15123" max="15358" width="9.140625" style="51"/>
    <col min="15359" max="15359" width="14.85546875" style="51" customWidth="1"/>
    <col min="15360" max="15372" width="7.5703125" style="51" customWidth="1"/>
    <col min="15373" max="15373" width="9.28515625" style="51" customWidth="1"/>
    <col min="15374" max="15374" width="13.140625" style="51" customWidth="1"/>
    <col min="15375" max="15377" width="9.140625" style="51"/>
    <col min="15378" max="15378" width="3" style="51" customWidth="1"/>
    <col min="15379" max="15614" width="9.140625" style="51"/>
    <col min="15615" max="15615" width="14.85546875" style="51" customWidth="1"/>
    <col min="15616" max="15628" width="7.5703125" style="51" customWidth="1"/>
    <col min="15629" max="15629" width="9.28515625" style="51" customWidth="1"/>
    <col min="15630" max="15630" width="13.140625" style="51" customWidth="1"/>
    <col min="15631" max="15633" width="9.140625" style="51"/>
    <col min="15634" max="15634" width="3" style="51" customWidth="1"/>
    <col min="15635" max="15870" width="9.140625" style="51"/>
    <col min="15871" max="15871" width="14.85546875" style="51" customWidth="1"/>
    <col min="15872" max="15884" width="7.5703125" style="51" customWidth="1"/>
    <col min="15885" max="15885" width="9.28515625" style="51" customWidth="1"/>
    <col min="15886" max="15886" width="13.140625" style="51" customWidth="1"/>
    <col min="15887" max="15889" width="9.140625" style="51"/>
    <col min="15890" max="15890" width="3" style="51" customWidth="1"/>
    <col min="15891" max="16126" width="9.140625" style="51"/>
    <col min="16127" max="16127" width="14.85546875" style="51" customWidth="1"/>
    <col min="16128" max="16140" width="7.5703125" style="51" customWidth="1"/>
    <col min="16141" max="16141" width="9.28515625" style="51" customWidth="1"/>
    <col min="16142" max="16142" width="13.140625" style="51" customWidth="1"/>
    <col min="16143" max="16145" width="9.140625" style="51"/>
    <col min="16146" max="16146" width="3" style="51" customWidth="1"/>
    <col min="16147" max="16384" width="9.140625" style="51"/>
  </cols>
  <sheetData>
    <row r="1" spans="1:15" ht="21" customHeight="1" x14ac:dyDescent="0.2">
      <c r="A1" s="29" t="s">
        <v>618</v>
      </c>
      <c r="B1" s="48"/>
      <c r="C1" s="48"/>
      <c r="D1" s="48"/>
      <c r="E1" s="49"/>
      <c r="F1" s="48"/>
      <c r="G1" s="48"/>
      <c r="H1" s="48"/>
      <c r="I1" s="48"/>
      <c r="J1" s="48"/>
      <c r="K1" s="48"/>
      <c r="L1" s="48"/>
      <c r="M1" s="48"/>
      <c r="N1" s="48"/>
      <c r="O1" s="50"/>
    </row>
    <row r="2" spans="1:15" s="55" customFormat="1" ht="39" customHeight="1" x14ac:dyDescent="0.25">
      <c r="A2" s="52"/>
      <c r="B2" s="53" t="s">
        <v>347</v>
      </c>
      <c r="C2" s="53" t="s">
        <v>348</v>
      </c>
      <c r="D2" s="53" t="s">
        <v>349</v>
      </c>
      <c r="E2" s="53" t="s">
        <v>350</v>
      </c>
      <c r="F2" s="53" t="s">
        <v>351</v>
      </c>
      <c r="G2" s="53" t="s">
        <v>352</v>
      </c>
      <c r="H2" s="53" t="s">
        <v>353</v>
      </c>
      <c r="I2" s="53" t="s">
        <v>354</v>
      </c>
      <c r="J2" s="53" t="s">
        <v>355</v>
      </c>
      <c r="K2" s="53" t="s">
        <v>356</v>
      </c>
      <c r="L2" s="53" t="s">
        <v>357</v>
      </c>
      <c r="M2" s="53" t="s">
        <v>571</v>
      </c>
      <c r="N2" s="53" t="s">
        <v>358</v>
      </c>
      <c r="O2" s="54" t="s">
        <v>343</v>
      </c>
    </row>
    <row r="3" spans="1:15" s="16" customFormat="1" x14ac:dyDescent="0.25">
      <c r="A3" s="2" t="s">
        <v>31</v>
      </c>
      <c r="B3" s="40">
        <v>803.56223</v>
      </c>
      <c r="C3" s="40">
        <v>1757.2083700000001</v>
      </c>
      <c r="D3" s="40">
        <v>0</v>
      </c>
      <c r="E3" s="40">
        <v>532.70288000000005</v>
      </c>
      <c r="F3" s="40">
        <v>21.221150000000002</v>
      </c>
      <c r="G3" s="40">
        <v>2604.3976000000002</v>
      </c>
      <c r="H3" s="40">
        <v>3020.0010000000002</v>
      </c>
      <c r="I3" s="40">
        <v>0</v>
      </c>
      <c r="J3" s="40">
        <v>21849.550729999999</v>
      </c>
      <c r="K3" s="40">
        <v>121.79665</v>
      </c>
      <c r="L3" s="40">
        <v>10</v>
      </c>
      <c r="M3" s="40">
        <v>1090.586</v>
      </c>
      <c r="N3" s="40">
        <v>777.11689999999999</v>
      </c>
      <c r="O3" s="41">
        <v>32588.143510000002</v>
      </c>
    </row>
    <row r="4" spans="1:15" s="16" customFormat="1" x14ac:dyDescent="0.25">
      <c r="A4" s="2" t="s">
        <v>32</v>
      </c>
      <c r="B4" s="40">
        <v>4407.7419900000004</v>
      </c>
      <c r="C4" s="40">
        <v>6533.3150500000002</v>
      </c>
      <c r="D4" s="40">
        <v>0</v>
      </c>
      <c r="E4" s="40">
        <v>3735.93705</v>
      </c>
      <c r="F4" s="40">
        <v>0</v>
      </c>
      <c r="G4" s="40">
        <v>0</v>
      </c>
      <c r="H4" s="40">
        <v>3004.0207999999998</v>
      </c>
      <c r="I4" s="40">
        <v>0</v>
      </c>
      <c r="J4" s="40">
        <v>18966.6878</v>
      </c>
      <c r="K4" s="40">
        <v>360.6284</v>
      </c>
      <c r="L4" s="40">
        <v>46.5</v>
      </c>
      <c r="M4" s="40">
        <v>26</v>
      </c>
      <c r="N4" s="40">
        <v>9556.8050999999996</v>
      </c>
      <c r="O4" s="41">
        <v>46637.636189999997</v>
      </c>
    </row>
    <row r="5" spans="1:15" s="16" customFormat="1" x14ac:dyDescent="0.25">
      <c r="A5" s="2" t="s">
        <v>4</v>
      </c>
      <c r="B5" s="40">
        <v>700.20760999999993</v>
      </c>
      <c r="C5" s="40">
        <v>7644.9963200000002</v>
      </c>
      <c r="D5" s="40">
        <v>0</v>
      </c>
      <c r="E5" s="40">
        <v>1632.2663799999998</v>
      </c>
      <c r="F5" s="40">
        <v>0</v>
      </c>
      <c r="G5" s="40">
        <v>0</v>
      </c>
      <c r="H5" s="40">
        <v>1007</v>
      </c>
      <c r="I5" s="40">
        <v>0</v>
      </c>
      <c r="J5" s="40">
        <v>11433.371640000001</v>
      </c>
      <c r="K5" s="40">
        <v>298.94385</v>
      </c>
      <c r="L5" s="40">
        <v>40</v>
      </c>
      <c r="M5" s="40">
        <v>1314.502</v>
      </c>
      <c r="N5" s="40">
        <v>221.37100000000001</v>
      </c>
      <c r="O5" s="41">
        <v>24292.658800000001</v>
      </c>
    </row>
    <row r="6" spans="1:15" s="16" customFormat="1" x14ac:dyDescent="0.25">
      <c r="A6" s="2" t="s">
        <v>33</v>
      </c>
      <c r="B6" s="40">
        <v>1370.4239299999999</v>
      </c>
      <c r="C6" s="40">
        <v>1211.9737600000001</v>
      </c>
      <c r="D6" s="40">
        <v>0</v>
      </c>
      <c r="E6" s="40">
        <v>743.85681000000011</v>
      </c>
      <c r="F6" s="40">
        <v>0</v>
      </c>
      <c r="G6" s="40">
        <v>740.71344999999997</v>
      </c>
      <c r="H6" s="40">
        <v>51.534550000000003</v>
      </c>
      <c r="I6" s="40">
        <v>0</v>
      </c>
      <c r="J6" s="40">
        <v>10580.00555</v>
      </c>
      <c r="K6" s="40">
        <v>243.24032</v>
      </c>
      <c r="L6" s="40">
        <v>0</v>
      </c>
      <c r="M6" s="40">
        <v>21.5</v>
      </c>
      <c r="N6" s="40">
        <v>2236.1689799999999</v>
      </c>
      <c r="O6" s="41">
        <v>17199.41735</v>
      </c>
    </row>
    <row r="7" spans="1:15" s="16" customFormat="1" x14ac:dyDescent="0.25">
      <c r="A7" s="2" t="s">
        <v>34</v>
      </c>
      <c r="B7" s="40">
        <v>536.47537</v>
      </c>
      <c r="C7" s="40">
        <v>453.31309999999996</v>
      </c>
      <c r="D7" s="40">
        <v>0</v>
      </c>
      <c r="E7" s="40">
        <v>166.83851999999999</v>
      </c>
      <c r="F7" s="40">
        <v>0</v>
      </c>
      <c r="G7" s="40">
        <v>24.337769999999999</v>
      </c>
      <c r="H7" s="40">
        <v>0</v>
      </c>
      <c r="I7" s="40">
        <v>0</v>
      </c>
      <c r="J7" s="40">
        <v>2609.9311299999999</v>
      </c>
      <c r="K7" s="40">
        <v>2.3980000000000001</v>
      </c>
      <c r="L7" s="40">
        <v>0</v>
      </c>
      <c r="M7" s="40">
        <v>1E-3</v>
      </c>
      <c r="N7" s="40">
        <v>900.90601000000004</v>
      </c>
      <c r="O7" s="41">
        <v>4694.2008999999998</v>
      </c>
    </row>
    <row r="8" spans="1:15" s="16" customFormat="1" x14ac:dyDescent="0.25">
      <c r="A8" s="2" t="s">
        <v>35</v>
      </c>
      <c r="B8" s="40">
        <v>5744.6003300000002</v>
      </c>
      <c r="C8" s="40">
        <v>5565.7915800000001</v>
      </c>
      <c r="D8" s="40">
        <v>0</v>
      </c>
      <c r="E8" s="40">
        <v>2963.2905000000001</v>
      </c>
      <c r="F8" s="40">
        <v>0</v>
      </c>
      <c r="G8" s="40">
        <v>206.37045000000001</v>
      </c>
      <c r="H8" s="40">
        <v>1850</v>
      </c>
      <c r="I8" s="40">
        <v>0</v>
      </c>
      <c r="J8" s="40">
        <v>22226.502840000001</v>
      </c>
      <c r="K8" s="40">
        <v>1607.2112999999999</v>
      </c>
      <c r="L8" s="40">
        <v>0</v>
      </c>
      <c r="M8" s="40">
        <v>0</v>
      </c>
      <c r="N8" s="40">
        <v>4516.1873900000001</v>
      </c>
      <c r="O8" s="41">
        <v>44679.954390000006</v>
      </c>
    </row>
    <row r="9" spans="1:15" s="16" customFormat="1" x14ac:dyDescent="0.25">
      <c r="A9" s="2" t="s">
        <v>36</v>
      </c>
      <c r="B9" s="40">
        <v>-84.551419999999993</v>
      </c>
      <c r="C9" s="40">
        <v>921.98914000000002</v>
      </c>
      <c r="D9" s="40">
        <v>0</v>
      </c>
      <c r="E9" s="40">
        <v>522.98521000000005</v>
      </c>
      <c r="F9" s="40">
        <v>15.3484</v>
      </c>
      <c r="G9" s="40">
        <v>31.075380000000003</v>
      </c>
      <c r="H9" s="40">
        <v>0</v>
      </c>
      <c r="I9" s="40">
        <v>0</v>
      </c>
      <c r="J9" s="40">
        <v>8071.9629400000003</v>
      </c>
      <c r="K9" s="40">
        <v>279.92851999999999</v>
      </c>
      <c r="L9" s="40">
        <v>0</v>
      </c>
      <c r="M9" s="40">
        <v>0</v>
      </c>
      <c r="N9" s="40">
        <v>689.19538</v>
      </c>
      <c r="O9" s="41">
        <v>10447.93355</v>
      </c>
    </row>
    <row r="10" spans="1:15" s="16" customFormat="1" x14ac:dyDescent="0.25">
      <c r="A10" s="2" t="s">
        <v>5</v>
      </c>
      <c r="B10" s="40">
        <v>6606.4741399999994</v>
      </c>
      <c r="C10" s="40">
        <v>5897.4999900000003</v>
      </c>
      <c r="D10" s="40">
        <v>0</v>
      </c>
      <c r="E10" s="40">
        <v>3068.3793599999999</v>
      </c>
      <c r="F10" s="40">
        <v>43.313499999999998</v>
      </c>
      <c r="G10" s="40">
        <v>88.537700000000001</v>
      </c>
      <c r="H10" s="40">
        <v>7849.1750000000002</v>
      </c>
      <c r="I10" s="40">
        <v>0</v>
      </c>
      <c r="J10" s="40">
        <v>38071.686229999999</v>
      </c>
      <c r="K10" s="40">
        <v>1725.0511799999999</v>
      </c>
      <c r="L10" s="40">
        <v>139</v>
      </c>
      <c r="M10" s="40">
        <v>120.001</v>
      </c>
      <c r="N10" s="40">
        <v>4962.9305999999997</v>
      </c>
      <c r="O10" s="41">
        <v>68572.048699999985</v>
      </c>
    </row>
    <row r="11" spans="1:15" s="16" customFormat="1" x14ac:dyDescent="0.25">
      <c r="A11" s="2" t="s">
        <v>37</v>
      </c>
      <c r="B11" s="40">
        <v>1132.0216599999999</v>
      </c>
      <c r="C11" s="40">
        <v>414.14001999999999</v>
      </c>
      <c r="D11" s="40">
        <v>0</v>
      </c>
      <c r="E11" s="40">
        <v>68.578949999999992</v>
      </c>
      <c r="F11" s="40">
        <v>0</v>
      </c>
      <c r="G11" s="40">
        <v>9.0831</v>
      </c>
      <c r="H11" s="40">
        <v>111.357</v>
      </c>
      <c r="I11" s="40">
        <v>0</v>
      </c>
      <c r="J11" s="40">
        <v>1223.77647</v>
      </c>
      <c r="K11" s="40">
        <v>76.030839999999998</v>
      </c>
      <c r="L11" s="40">
        <v>0</v>
      </c>
      <c r="M11" s="40">
        <v>1E-3</v>
      </c>
      <c r="N11" s="40">
        <v>279.39420000000001</v>
      </c>
      <c r="O11" s="41">
        <v>3314.3832400000001</v>
      </c>
    </row>
    <row r="12" spans="1:15" s="16" customFormat="1" x14ac:dyDescent="0.25">
      <c r="A12" s="2" t="s">
        <v>38</v>
      </c>
      <c r="B12" s="40">
        <v>2037.19678</v>
      </c>
      <c r="C12" s="40">
        <v>711.88487999999995</v>
      </c>
      <c r="D12" s="40">
        <v>0</v>
      </c>
      <c r="E12" s="40">
        <v>1073.1193400000002</v>
      </c>
      <c r="F12" s="40">
        <v>8.0255500000000008</v>
      </c>
      <c r="G12" s="40">
        <v>5.2910000000000004</v>
      </c>
      <c r="H12" s="40">
        <v>308.52999999999997</v>
      </c>
      <c r="I12" s="40">
        <v>0</v>
      </c>
      <c r="J12" s="40">
        <v>6635.6278700000003</v>
      </c>
      <c r="K12" s="40">
        <v>225.70180999999999</v>
      </c>
      <c r="L12" s="40">
        <v>160</v>
      </c>
      <c r="M12" s="40">
        <v>507.42574999999999</v>
      </c>
      <c r="N12" s="40">
        <v>3123.3518300000001</v>
      </c>
      <c r="O12" s="41">
        <v>14796.15481</v>
      </c>
    </row>
    <row r="13" spans="1:15" s="16" customFormat="1" x14ac:dyDescent="0.25">
      <c r="A13" s="2" t="s">
        <v>6</v>
      </c>
      <c r="B13" s="40">
        <v>2451.3703999999998</v>
      </c>
      <c r="C13" s="40">
        <v>7683.1901200000002</v>
      </c>
      <c r="D13" s="40">
        <v>6200</v>
      </c>
      <c r="E13" s="40">
        <v>-3120.82402</v>
      </c>
      <c r="F13" s="40">
        <v>0</v>
      </c>
      <c r="G13" s="40">
        <v>2014.37015</v>
      </c>
      <c r="H13" s="40">
        <v>0</v>
      </c>
      <c r="I13" s="40">
        <v>0</v>
      </c>
      <c r="J13" s="40">
        <v>18867.468949999999</v>
      </c>
      <c r="K13" s="40">
        <v>1370.9953</v>
      </c>
      <c r="L13" s="40">
        <v>37.016649999999998</v>
      </c>
      <c r="M13" s="40">
        <v>38</v>
      </c>
      <c r="N13" s="40">
        <v>1649.7633500000002</v>
      </c>
      <c r="O13" s="41">
        <v>37191.350899999998</v>
      </c>
    </row>
    <row r="14" spans="1:15" s="16" customFormat="1" x14ac:dyDescent="0.25">
      <c r="A14" s="2" t="s">
        <v>39</v>
      </c>
      <c r="B14" s="40">
        <v>2184.5768199999998</v>
      </c>
      <c r="C14" s="40">
        <v>2775.09636</v>
      </c>
      <c r="D14" s="40">
        <v>0</v>
      </c>
      <c r="E14" s="40">
        <v>46.293500000000002</v>
      </c>
      <c r="F14" s="40">
        <v>15</v>
      </c>
      <c r="G14" s="40">
        <v>38.955849999999998</v>
      </c>
      <c r="H14" s="40">
        <v>1630</v>
      </c>
      <c r="I14" s="40">
        <v>0</v>
      </c>
      <c r="J14" s="40">
        <v>17350.635340000001</v>
      </c>
      <c r="K14" s="40">
        <v>80.376750000000001</v>
      </c>
      <c r="L14" s="40">
        <v>36.114550000000001</v>
      </c>
      <c r="M14" s="40">
        <v>10.5</v>
      </c>
      <c r="N14" s="40">
        <v>976.77818000000002</v>
      </c>
      <c r="O14" s="41">
        <v>25144.32735</v>
      </c>
    </row>
    <row r="15" spans="1:15" s="16" customFormat="1" x14ac:dyDescent="0.25">
      <c r="A15" s="2" t="s">
        <v>40</v>
      </c>
      <c r="B15" s="40">
        <v>2088.7127</v>
      </c>
      <c r="C15" s="40">
        <v>283.32572999999996</v>
      </c>
      <c r="D15" s="40">
        <v>0</v>
      </c>
      <c r="E15" s="40">
        <v>74.743589999999998</v>
      </c>
      <c r="F15" s="40">
        <v>0</v>
      </c>
      <c r="G15" s="40">
        <v>0.2</v>
      </c>
      <c r="H15" s="40">
        <v>595.12300000000005</v>
      </c>
      <c r="I15" s="40">
        <v>0</v>
      </c>
      <c r="J15" s="40">
        <v>3381.8148300000003</v>
      </c>
      <c r="K15" s="40">
        <v>270.91232000000002</v>
      </c>
      <c r="L15" s="40">
        <v>0</v>
      </c>
      <c r="M15" s="40">
        <v>0</v>
      </c>
      <c r="N15" s="40">
        <v>1013.36188</v>
      </c>
      <c r="O15" s="41">
        <v>7708.194050000001</v>
      </c>
    </row>
    <row r="16" spans="1:15" s="16" customFormat="1" x14ac:dyDescent="0.25">
      <c r="A16" s="2" t="s">
        <v>41</v>
      </c>
      <c r="B16" s="40">
        <v>498.58321000000001</v>
      </c>
      <c r="C16" s="40">
        <v>863.00743</v>
      </c>
      <c r="D16" s="40">
        <v>0</v>
      </c>
      <c r="E16" s="40">
        <v>83.796970000000002</v>
      </c>
      <c r="F16" s="40">
        <v>0</v>
      </c>
      <c r="G16" s="40">
        <v>0.2</v>
      </c>
      <c r="H16" s="40">
        <v>0</v>
      </c>
      <c r="I16" s="40">
        <v>0</v>
      </c>
      <c r="J16" s="40">
        <v>1837.4772</v>
      </c>
      <c r="K16" s="40">
        <v>42.419699999999999</v>
      </c>
      <c r="L16" s="40">
        <v>20</v>
      </c>
      <c r="M16" s="40">
        <v>9.5949400000000011</v>
      </c>
      <c r="N16" s="40">
        <v>17.718</v>
      </c>
      <c r="O16" s="41">
        <v>3372.7974499999996</v>
      </c>
    </row>
    <row r="17" spans="1:15" s="16" customFormat="1" x14ac:dyDescent="0.25">
      <c r="A17" s="2" t="s">
        <v>27</v>
      </c>
      <c r="B17" s="40">
        <v>86650.086340000009</v>
      </c>
      <c r="C17" s="40">
        <v>110461.48729999999</v>
      </c>
      <c r="D17" s="40">
        <v>15000</v>
      </c>
      <c r="E17" s="40">
        <v>22937.621930000001</v>
      </c>
      <c r="F17" s="40">
        <v>121.39194999999999</v>
      </c>
      <c r="G17" s="40">
        <v>1772.5579</v>
      </c>
      <c r="H17" s="40">
        <v>12661.6767</v>
      </c>
      <c r="I17" s="40">
        <v>18948.560219999999</v>
      </c>
      <c r="J17" s="40">
        <v>200808.39771000002</v>
      </c>
      <c r="K17" s="40">
        <v>7426.57647</v>
      </c>
      <c r="L17" s="40">
        <v>4563.3106500000004</v>
      </c>
      <c r="M17" s="40">
        <v>101203.164</v>
      </c>
      <c r="N17" s="40">
        <v>37819.27248</v>
      </c>
      <c r="O17" s="41">
        <v>620374.10365000006</v>
      </c>
    </row>
    <row r="18" spans="1:15" s="16" customFormat="1" x14ac:dyDescent="0.25">
      <c r="A18" s="2" t="s">
        <v>7</v>
      </c>
      <c r="B18" s="40">
        <v>1084.1410800000001</v>
      </c>
      <c r="C18" s="40">
        <v>7567.3524100000004</v>
      </c>
      <c r="D18" s="40">
        <v>0</v>
      </c>
      <c r="E18" s="40">
        <v>4862.6272800000006</v>
      </c>
      <c r="F18" s="40">
        <v>0</v>
      </c>
      <c r="G18" s="40">
        <v>94.028850000000006</v>
      </c>
      <c r="H18" s="40">
        <v>2033.528</v>
      </c>
      <c r="I18" s="40">
        <v>0</v>
      </c>
      <c r="J18" s="40">
        <v>26550.74382</v>
      </c>
      <c r="K18" s="40">
        <v>5888.8846199999998</v>
      </c>
      <c r="L18" s="40">
        <v>0</v>
      </c>
      <c r="M18" s="40">
        <v>3461.8856000000001</v>
      </c>
      <c r="N18" s="40">
        <v>2365.7242500000002</v>
      </c>
      <c r="O18" s="41">
        <v>53908.915910000003</v>
      </c>
    </row>
    <row r="19" spans="1:15" s="16" customFormat="1" x14ac:dyDescent="0.25">
      <c r="A19" s="2" t="s">
        <v>42</v>
      </c>
      <c r="B19" s="40">
        <v>841.89202</v>
      </c>
      <c r="C19" s="40">
        <v>3965.7752300000002</v>
      </c>
      <c r="D19" s="40">
        <v>0</v>
      </c>
      <c r="E19" s="40">
        <v>2744.9416800000004</v>
      </c>
      <c r="F19" s="40">
        <v>0</v>
      </c>
      <c r="G19" s="40">
        <v>85.450600000000009</v>
      </c>
      <c r="H19" s="40">
        <v>14179.643380000001</v>
      </c>
      <c r="I19" s="40">
        <v>0</v>
      </c>
      <c r="J19" s="40">
        <v>24688.62934</v>
      </c>
      <c r="K19" s="40">
        <v>257.78929999999997</v>
      </c>
      <c r="L19" s="40">
        <v>30</v>
      </c>
      <c r="M19" s="40">
        <v>0</v>
      </c>
      <c r="N19" s="40">
        <v>7590.3795</v>
      </c>
      <c r="O19" s="41">
        <v>54384.501049999999</v>
      </c>
    </row>
    <row r="20" spans="1:15" s="16" customFormat="1" x14ac:dyDescent="0.25">
      <c r="A20" s="2" t="s">
        <v>43</v>
      </c>
      <c r="B20" s="40">
        <v>883.78003999999999</v>
      </c>
      <c r="C20" s="40">
        <v>2648.1801499999997</v>
      </c>
      <c r="D20" s="40">
        <v>0</v>
      </c>
      <c r="E20" s="40">
        <v>863.83186000000001</v>
      </c>
      <c r="F20" s="40">
        <v>0</v>
      </c>
      <c r="G20" s="40">
        <v>43.150849999999998</v>
      </c>
      <c r="H20" s="40">
        <v>786.41793999999993</v>
      </c>
      <c r="I20" s="40">
        <v>0</v>
      </c>
      <c r="J20" s="40">
        <v>9305.8717100000013</v>
      </c>
      <c r="K20" s="40">
        <v>790.05727000000002</v>
      </c>
      <c r="L20" s="40">
        <v>0</v>
      </c>
      <c r="M20" s="40">
        <v>0</v>
      </c>
      <c r="N20" s="40">
        <v>327.47194999999999</v>
      </c>
      <c r="O20" s="41">
        <v>15648.761769999999</v>
      </c>
    </row>
    <row r="21" spans="1:15" s="16" customFormat="1" x14ac:dyDescent="0.25">
      <c r="A21" s="2" t="s">
        <v>44</v>
      </c>
      <c r="B21" s="40">
        <v>3030.23947</v>
      </c>
      <c r="C21" s="40">
        <v>1452.58114</v>
      </c>
      <c r="D21" s="40">
        <v>0</v>
      </c>
      <c r="E21" s="40">
        <v>560.06765000000007</v>
      </c>
      <c r="F21" s="40">
        <v>0</v>
      </c>
      <c r="G21" s="40">
        <v>0.2</v>
      </c>
      <c r="H21" s="40">
        <v>56.213699999999996</v>
      </c>
      <c r="I21" s="40">
        <v>0</v>
      </c>
      <c r="J21" s="40">
        <v>19639.596320000001</v>
      </c>
      <c r="K21" s="40">
        <v>204.5762</v>
      </c>
      <c r="L21" s="40">
        <v>0</v>
      </c>
      <c r="M21" s="40">
        <v>797.43534999999997</v>
      </c>
      <c r="N21" s="40">
        <v>642.31643000000008</v>
      </c>
      <c r="O21" s="41">
        <v>26383.226259999999</v>
      </c>
    </row>
    <row r="22" spans="1:15" s="16" customFormat="1" x14ac:dyDescent="0.25">
      <c r="A22" s="2" t="s">
        <v>8</v>
      </c>
      <c r="B22" s="40">
        <v>2595.6074800000001</v>
      </c>
      <c r="C22" s="40">
        <v>1693.2147</v>
      </c>
      <c r="D22" s="40">
        <v>0</v>
      </c>
      <c r="E22" s="40">
        <v>92.012600000000006</v>
      </c>
      <c r="F22" s="40">
        <v>0</v>
      </c>
      <c r="G22" s="40">
        <v>56.882899999999999</v>
      </c>
      <c r="H22" s="40">
        <v>3631</v>
      </c>
      <c r="I22" s="40">
        <v>0</v>
      </c>
      <c r="J22" s="40">
        <v>3321.7481499999999</v>
      </c>
      <c r="K22" s="40">
        <v>63.863529999999997</v>
      </c>
      <c r="L22" s="40">
        <v>0</v>
      </c>
      <c r="M22" s="40">
        <v>338.25053000000003</v>
      </c>
      <c r="N22" s="40">
        <v>450.47909999999996</v>
      </c>
      <c r="O22" s="41">
        <v>12243.05899</v>
      </c>
    </row>
    <row r="23" spans="1:15" s="16" customFormat="1" x14ac:dyDescent="0.25">
      <c r="A23" s="2" t="s">
        <v>45</v>
      </c>
      <c r="B23" s="40">
        <v>503.87025</v>
      </c>
      <c r="C23" s="40">
        <v>218.69553999999999</v>
      </c>
      <c r="D23" s="40">
        <v>0</v>
      </c>
      <c r="E23" s="40">
        <v>52.333220000000004</v>
      </c>
      <c r="F23" s="40">
        <v>0</v>
      </c>
      <c r="G23" s="40">
        <v>0</v>
      </c>
      <c r="H23" s="40">
        <v>0</v>
      </c>
      <c r="I23" s="40">
        <v>0</v>
      </c>
      <c r="J23" s="40">
        <v>1967.9227700000001</v>
      </c>
      <c r="K23" s="40">
        <v>67.252049999999997</v>
      </c>
      <c r="L23" s="40">
        <v>0</v>
      </c>
      <c r="M23" s="40">
        <v>71.990759999999995</v>
      </c>
      <c r="N23" s="40">
        <v>26.7</v>
      </c>
      <c r="O23" s="41">
        <v>2908.7645900000002</v>
      </c>
    </row>
    <row r="24" spans="1:15" s="16" customFormat="1" x14ac:dyDescent="0.25">
      <c r="A24" s="2" t="s">
        <v>46</v>
      </c>
      <c r="B24" s="40">
        <v>218.34395999999998</v>
      </c>
      <c r="C24" s="40">
        <v>2338.7929700000004</v>
      </c>
      <c r="D24" s="40">
        <v>0</v>
      </c>
      <c r="E24" s="40">
        <v>474.20671999999996</v>
      </c>
      <c r="F24" s="40">
        <v>23.3262</v>
      </c>
      <c r="G24" s="40">
        <v>348.94774999999998</v>
      </c>
      <c r="H24" s="40">
        <v>967.22400000000005</v>
      </c>
      <c r="I24" s="40">
        <v>0</v>
      </c>
      <c r="J24" s="40">
        <v>19629.122190000002</v>
      </c>
      <c r="K24" s="40">
        <v>1753.7438100000002</v>
      </c>
      <c r="L24" s="40">
        <v>0</v>
      </c>
      <c r="M24" s="40">
        <v>0</v>
      </c>
      <c r="N24" s="40">
        <v>5227.71893</v>
      </c>
      <c r="O24" s="41">
        <v>30981.426530000001</v>
      </c>
    </row>
    <row r="25" spans="1:15" s="16" customFormat="1" x14ac:dyDescent="0.25">
      <c r="A25" s="2" t="s">
        <v>47</v>
      </c>
      <c r="B25" s="40">
        <v>565.91177000000005</v>
      </c>
      <c r="C25" s="40">
        <v>1141.87006</v>
      </c>
      <c r="D25" s="40">
        <v>1300</v>
      </c>
      <c r="E25" s="40">
        <v>362.77383000000003</v>
      </c>
      <c r="F25" s="40">
        <v>15.38575</v>
      </c>
      <c r="G25" s="40">
        <v>68.376100000000008</v>
      </c>
      <c r="H25" s="40">
        <v>0</v>
      </c>
      <c r="I25" s="40">
        <v>0</v>
      </c>
      <c r="J25" s="40">
        <v>5452.6159500000003</v>
      </c>
      <c r="K25" s="40">
        <v>84.601600000000005</v>
      </c>
      <c r="L25" s="40">
        <v>0</v>
      </c>
      <c r="M25" s="40">
        <v>257.80790000000002</v>
      </c>
      <c r="N25" s="40">
        <v>177.44265999999999</v>
      </c>
      <c r="O25" s="41">
        <v>9426.7856200000006</v>
      </c>
    </row>
    <row r="26" spans="1:15" s="16" customFormat="1" x14ac:dyDescent="0.25">
      <c r="A26" s="2" t="s">
        <v>48</v>
      </c>
      <c r="B26" s="40">
        <v>1379.5638899999999</v>
      </c>
      <c r="C26" s="40">
        <v>436.29775999999998</v>
      </c>
      <c r="D26" s="40">
        <v>4.95</v>
      </c>
      <c r="E26" s="40">
        <v>2724.0855499999998</v>
      </c>
      <c r="F26" s="40">
        <v>0</v>
      </c>
      <c r="G26" s="40">
        <v>0</v>
      </c>
      <c r="H26" s="40">
        <v>0</v>
      </c>
      <c r="I26" s="40">
        <v>0</v>
      </c>
      <c r="J26" s="40">
        <v>30398.868170000002</v>
      </c>
      <c r="K26" s="40">
        <v>1454.5616399999999</v>
      </c>
      <c r="L26" s="40">
        <v>0</v>
      </c>
      <c r="M26" s="40">
        <v>436.3</v>
      </c>
      <c r="N26" s="40">
        <v>1361.02205</v>
      </c>
      <c r="O26" s="41">
        <v>38195.649060000003</v>
      </c>
    </row>
    <row r="27" spans="1:15" s="16" customFormat="1" x14ac:dyDescent="0.25">
      <c r="A27" s="2" t="s">
        <v>49</v>
      </c>
      <c r="B27" s="40">
        <v>638.06551000000002</v>
      </c>
      <c r="C27" s="40">
        <v>548.34266000000002</v>
      </c>
      <c r="D27" s="40">
        <v>0</v>
      </c>
      <c r="E27" s="40">
        <v>208.67435</v>
      </c>
      <c r="F27" s="40">
        <v>9</v>
      </c>
      <c r="G27" s="40">
        <v>1.23865</v>
      </c>
      <c r="H27" s="40">
        <v>1240.7325000000001</v>
      </c>
      <c r="I27" s="40">
        <v>0</v>
      </c>
      <c r="J27" s="40">
        <v>7943.0691299999999</v>
      </c>
      <c r="K27" s="40">
        <v>118.1242</v>
      </c>
      <c r="L27" s="40">
        <v>0</v>
      </c>
      <c r="M27" s="40">
        <v>4.5999999999999996</v>
      </c>
      <c r="N27" s="40">
        <v>0</v>
      </c>
      <c r="O27" s="41">
        <v>10711.847000000002</v>
      </c>
    </row>
    <row r="28" spans="1:15" s="16" customFormat="1" x14ac:dyDescent="0.25">
      <c r="A28" s="2" t="s">
        <v>50</v>
      </c>
      <c r="B28" s="40">
        <v>936.79118000000005</v>
      </c>
      <c r="C28" s="40">
        <v>1039.74577</v>
      </c>
      <c r="D28" s="40">
        <v>0</v>
      </c>
      <c r="E28" s="40">
        <v>467.04093999999998</v>
      </c>
      <c r="F28" s="40">
        <v>17.111999999999998</v>
      </c>
      <c r="G28" s="40">
        <v>1.9738</v>
      </c>
      <c r="H28" s="40">
        <v>1723</v>
      </c>
      <c r="I28" s="40">
        <v>0</v>
      </c>
      <c r="J28" s="40">
        <v>6596.3466500000004</v>
      </c>
      <c r="K28" s="40">
        <v>346.53065999999995</v>
      </c>
      <c r="L28" s="40">
        <v>0</v>
      </c>
      <c r="M28" s="40">
        <v>0</v>
      </c>
      <c r="N28" s="40">
        <v>1646.4164900000001</v>
      </c>
      <c r="O28" s="41">
        <v>12774.957490000001</v>
      </c>
    </row>
    <row r="29" spans="1:15" s="16" customFormat="1" x14ac:dyDescent="0.25">
      <c r="A29" s="2" t="s">
        <v>51</v>
      </c>
      <c r="B29" s="40">
        <v>406.22181999999998</v>
      </c>
      <c r="C29" s="40">
        <v>3744.9560000000001</v>
      </c>
      <c r="D29" s="40">
        <v>0</v>
      </c>
      <c r="E29" s="40">
        <v>1594.01261</v>
      </c>
      <c r="F29" s="40">
        <v>0</v>
      </c>
      <c r="G29" s="40">
        <v>449.77050000000003</v>
      </c>
      <c r="H29" s="40">
        <v>2650</v>
      </c>
      <c r="I29" s="40">
        <v>0</v>
      </c>
      <c r="J29" s="40">
        <v>11728.652029999999</v>
      </c>
      <c r="K29" s="40">
        <v>0</v>
      </c>
      <c r="L29" s="40">
        <v>0</v>
      </c>
      <c r="M29" s="40">
        <v>0.5</v>
      </c>
      <c r="N29" s="40">
        <v>1643.7927</v>
      </c>
      <c r="O29" s="41">
        <v>22217.905659999997</v>
      </c>
    </row>
    <row r="30" spans="1:15" s="16" customFormat="1" x14ac:dyDescent="0.25">
      <c r="A30" s="2" t="s">
        <v>52</v>
      </c>
      <c r="B30" s="40">
        <v>1532.4308799999999</v>
      </c>
      <c r="C30" s="40">
        <v>3147.4445699999997</v>
      </c>
      <c r="D30" s="40">
        <v>0</v>
      </c>
      <c r="E30" s="40">
        <v>2298.3139200000001</v>
      </c>
      <c r="F30" s="40">
        <v>0</v>
      </c>
      <c r="G30" s="40">
        <v>15.62195</v>
      </c>
      <c r="H30" s="40">
        <v>0</v>
      </c>
      <c r="I30" s="40">
        <v>0</v>
      </c>
      <c r="J30" s="40">
        <v>17290.575719999997</v>
      </c>
      <c r="K30" s="40">
        <v>609.28109999999992</v>
      </c>
      <c r="L30" s="40">
        <v>0</v>
      </c>
      <c r="M30" s="40">
        <v>50.75</v>
      </c>
      <c r="N30" s="40">
        <v>1030.5444600000001</v>
      </c>
      <c r="O30" s="41">
        <v>25974.962599999999</v>
      </c>
    </row>
    <row r="31" spans="1:15" s="16" customFormat="1" x14ac:dyDescent="0.25">
      <c r="A31" s="2" t="s">
        <v>9</v>
      </c>
      <c r="B31" s="40">
        <v>1238.9598000000001</v>
      </c>
      <c r="C31" s="40">
        <v>2262.2263700000003</v>
      </c>
      <c r="D31" s="40">
        <v>0</v>
      </c>
      <c r="E31" s="40">
        <v>61.318519999999999</v>
      </c>
      <c r="F31" s="40">
        <v>0</v>
      </c>
      <c r="G31" s="40">
        <v>0</v>
      </c>
      <c r="H31" s="40">
        <v>6.6490600000000004</v>
      </c>
      <c r="I31" s="40">
        <v>0</v>
      </c>
      <c r="J31" s="40">
        <v>449.33994999999999</v>
      </c>
      <c r="K31" s="40">
        <v>107.61161</v>
      </c>
      <c r="L31" s="40">
        <v>0</v>
      </c>
      <c r="M31" s="40">
        <v>138.2165</v>
      </c>
      <c r="N31" s="40">
        <v>155.69999999999999</v>
      </c>
      <c r="O31" s="41">
        <v>4420.0218100000011</v>
      </c>
    </row>
    <row r="32" spans="1:15" s="16" customFormat="1" x14ac:dyDescent="0.25">
      <c r="A32" s="2" t="s">
        <v>10</v>
      </c>
      <c r="B32" s="40">
        <v>-1469.84069</v>
      </c>
      <c r="C32" s="40">
        <v>3392.2781299999997</v>
      </c>
      <c r="D32" s="40">
        <v>0</v>
      </c>
      <c r="E32" s="40">
        <v>2612.1340099999998</v>
      </c>
      <c r="F32" s="40">
        <v>17.704249999999998</v>
      </c>
      <c r="G32" s="40">
        <v>21.787200000000002</v>
      </c>
      <c r="H32" s="40">
        <v>2558.5219500000003</v>
      </c>
      <c r="I32" s="40">
        <v>0</v>
      </c>
      <c r="J32" s="40">
        <v>10867.86735</v>
      </c>
      <c r="K32" s="40">
        <v>389.5154</v>
      </c>
      <c r="L32" s="40">
        <v>0</v>
      </c>
      <c r="M32" s="40">
        <v>225.75</v>
      </c>
      <c r="N32" s="40">
        <v>2390.0164</v>
      </c>
      <c r="O32" s="41">
        <v>21005.734</v>
      </c>
    </row>
    <row r="33" spans="1:15" s="16" customFormat="1" x14ac:dyDescent="0.25">
      <c r="A33" s="2" t="s">
        <v>53</v>
      </c>
      <c r="B33" s="40">
        <v>878.96141</v>
      </c>
      <c r="C33" s="40">
        <v>6890.2178099999992</v>
      </c>
      <c r="D33" s="40">
        <v>0</v>
      </c>
      <c r="E33" s="40">
        <v>3512.8361299999997</v>
      </c>
      <c r="F33" s="40">
        <v>1E-3</v>
      </c>
      <c r="G33" s="40">
        <v>0</v>
      </c>
      <c r="H33" s="40">
        <v>4543.9160000000002</v>
      </c>
      <c r="I33" s="40">
        <v>0</v>
      </c>
      <c r="J33" s="40">
        <v>67538.838329999999</v>
      </c>
      <c r="K33" s="40">
        <v>1095.8258999999998</v>
      </c>
      <c r="L33" s="40">
        <v>103.32080000000001</v>
      </c>
      <c r="M33" s="40">
        <v>445.80099999999999</v>
      </c>
      <c r="N33" s="40">
        <v>1692.3267499999999</v>
      </c>
      <c r="O33" s="41">
        <v>86702.045129999999</v>
      </c>
    </row>
    <row r="34" spans="1:15" s="16" customFormat="1" x14ac:dyDescent="0.25">
      <c r="A34" s="2" t="s">
        <v>54</v>
      </c>
      <c r="B34" s="40">
        <v>1143.4385400000001</v>
      </c>
      <c r="C34" s="40">
        <v>5763.2766700000002</v>
      </c>
      <c r="D34" s="40">
        <v>0</v>
      </c>
      <c r="E34" s="40">
        <v>3079.6188399999996</v>
      </c>
      <c r="F34" s="40">
        <v>0</v>
      </c>
      <c r="G34" s="40">
        <v>-0.25285000000000002</v>
      </c>
      <c r="H34" s="40">
        <v>0</v>
      </c>
      <c r="I34" s="40">
        <v>0</v>
      </c>
      <c r="J34" s="40">
        <v>29715.511699999999</v>
      </c>
      <c r="K34" s="40">
        <v>1080.6516999999999</v>
      </c>
      <c r="L34" s="40">
        <v>20.299250000000001</v>
      </c>
      <c r="M34" s="40">
        <v>1</v>
      </c>
      <c r="N34" s="40">
        <v>1549.5672</v>
      </c>
      <c r="O34" s="41">
        <v>42353.111049999992</v>
      </c>
    </row>
    <row r="35" spans="1:15" s="16" customFormat="1" x14ac:dyDescent="0.25">
      <c r="A35" s="2" t="s">
        <v>55</v>
      </c>
      <c r="B35" s="40">
        <v>246.75753</v>
      </c>
      <c r="C35" s="40">
        <v>2242.9653900000003</v>
      </c>
      <c r="D35" s="40">
        <v>0</v>
      </c>
      <c r="E35" s="40">
        <v>-266.52972999999997</v>
      </c>
      <c r="F35" s="40">
        <v>0</v>
      </c>
      <c r="G35" s="40">
        <v>62.627949999999998</v>
      </c>
      <c r="H35" s="40">
        <v>503.31124999999997</v>
      </c>
      <c r="I35" s="40">
        <v>0</v>
      </c>
      <c r="J35" s="40">
        <v>32802.86636</v>
      </c>
      <c r="K35" s="40">
        <v>1772.73117</v>
      </c>
      <c r="L35" s="40">
        <v>188.42850000000001</v>
      </c>
      <c r="M35" s="40">
        <v>100</v>
      </c>
      <c r="N35" s="40">
        <v>2805.6896000000002</v>
      </c>
      <c r="O35" s="41">
        <v>40458.848019999998</v>
      </c>
    </row>
    <row r="36" spans="1:15" s="16" customFormat="1" x14ac:dyDescent="0.25">
      <c r="A36" s="2" t="s">
        <v>56</v>
      </c>
      <c r="B36" s="40">
        <v>1102.3383600000002</v>
      </c>
      <c r="C36" s="40">
        <v>2145.77936</v>
      </c>
      <c r="D36" s="40">
        <v>0</v>
      </c>
      <c r="E36" s="40">
        <v>850.22329000000002</v>
      </c>
      <c r="F36" s="40">
        <v>26.826400000000003</v>
      </c>
      <c r="G36" s="40">
        <v>272.15030000000002</v>
      </c>
      <c r="H36" s="40">
        <v>843.15750000000003</v>
      </c>
      <c r="I36" s="40">
        <v>0</v>
      </c>
      <c r="J36" s="40">
        <v>11932.95039</v>
      </c>
      <c r="K36" s="40">
        <v>322.50554999999997</v>
      </c>
      <c r="L36" s="40">
        <v>0</v>
      </c>
      <c r="M36" s="40">
        <v>147.69675000000001</v>
      </c>
      <c r="N36" s="40">
        <v>691.80228</v>
      </c>
      <c r="O36" s="41">
        <v>18335.430180000003</v>
      </c>
    </row>
    <row r="37" spans="1:15" s="16" customFormat="1" x14ac:dyDescent="0.25">
      <c r="A37" s="2" t="s">
        <v>57</v>
      </c>
      <c r="B37" s="40">
        <v>890.77005000000008</v>
      </c>
      <c r="C37" s="40">
        <v>63.361669999999997</v>
      </c>
      <c r="D37" s="40">
        <v>0</v>
      </c>
      <c r="E37" s="40">
        <v>60.995290000000004</v>
      </c>
      <c r="F37" s="40">
        <v>0</v>
      </c>
      <c r="G37" s="40">
        <v>25.705749999999998</v>
      </c>
      <c r="H37" s="40">
        <v>15.723000000000001</v>
      </c>
      <c r="I37" s="40">
        <v>0</v>
      </c>
      <c r="J37" s="40">
        <v>3043.5105400000002</v>
      </c>
      <c r="K37" s="40">
        <v>0</v>
      </c>
      <c r="L37" s="40">
        <v>0</v>
      </c>
      <c r="M37" s="40">
        <v>0</v>
      </c>
      <c r="N37" s="40">
        <v>54.9</v>
      </c>
      <c r="O37" s="41">
        <v>4154.9663</v>
      </c>
    </row>
    <row r="38" spans="1:15" s="16" customFormat="1" x14ac:dyDescent="0.25">
      <c r="A38" s="2" t="s">
        <v>58</v>
      </c>
      <c r="B38" s="40">
        <v>4764.2756399999998</v>
      </c>
      <c r="C38" s="40">
        <v>710.78359999999998</v>
      </c>
      <c r="D38" s="40">
        <v>0</v>
      </c>
      <c r="E38" s="40">
        <v>1311.51178</v>
      </c>
      <c r="F38" s="40">
        <v>0</v>
      </c>
      <c r="G38" s="40">
        <v>0</v>
      </c>
      <c r="H38" s="40">
        <v>4075.2324900000003</v>
      </c>
      <c r="I38" s="40">
        <v>0</v>
      </c>
      <c r="J38" s="40">
        <v>8217.7206900000001</v>
      </c>
      <c r="K38" s="40">
        <v>549.67705000000001</v>
      </c>
      <c r="L38" s="40">
        <v>0</v>
      </c>
      <c r="M38" s="40">
        <v>437.55275</v>
      </c>
      <c r="N38" s="40">
        <v>642.08844999999997</v>
      </c>
      <c r="O38" s="41">
        <v>20708.842449999996</v>
      </c>
    </row>
    <row r="39" spans="1:15" s="16" customFormat="1" x14ac:dyDescent="0.25">
      <c r="A39" s="2" t="s">
        <v>11</v>
      </c>
      <c r="B39" s="40">
        <v>6758.5428700000002</v>
      </c>
      <c r="C39" s="40">
        <v>20439.728030000002</v>
      </c>
      <c r="D39" s="40">
        <v>0</v>
      </c>
      <c r="E39" s="40">
        <v>13010.715340000001</v>
      </c>
      <c r="F39" s="40">
        <v>0</v>
      </c>
      <c r="G39" s="40">
        <v>541.29197999999997</v>
      </c>
      <c r="H39" s="40">
        <v>11147.086499999999</v>
      </c>
      <c r="I39" s="40">
        <v>0</v>
      </c>
      <c r="J39" s="40">
        <v>51975.181659999995</v>
      </c>
      <c r="K39" s="40">
        <v>1825.9411100000002</v>
      </c>
      <c r="L39" s="40">
        <v>12123</v>
      </c>
      <c r="M39" s="40">
        <v>10000.402</v>
      </c>
      <c r="N39" s="40">
        <v>4136.9018999999998</v>
      </c>
      <c r="O39" s="41">
        <v>131958.79139</v>
      </c>
    </row>
    <row r="40" spans="1:15" s="16" customFormat="1" x14ac:dyDescent="0.25">
      <c r="A40" s="3" t="s">
        <v>59</v>
      </c>
      <c r="B40" s="40">
        <v>1351.18715</v>
      </c>
      <c r="C40" s="40">
        <v>4821.8497500000003</v>
      </c>
      <c r="D40" s="40">
        <v>0</v>
      </c>
      <c r="E40" s="40">
        <v>-290.64734999999996</v>
      </c>
      <c r="F40" s="40">
        <v>18.3126</v>
      </c>
      <c r="G40" s="40">
        <v>42.290999999999997</v>
      </c>
      <c r="H40" s="40">
        <v>2761.5765000000001</v>
      </c>
      <c r="I40" s="40">
        <v>0</v>
      </c>
      <c r="J40" s="40">
        <v>28269.991000000002</v>
      </c>
      <c r="K40" s="40">
        <v>899.54700000000003</v>
      </c>
      <c r="L40" s="40">
        <v>0</v>
      </c>
      <c r="M40" s="40">
        <v>0</v>
      </c>
      <c r="N40" s="40">
        <v>2080.3960000000002</v>
      </c>
      <c r="O40" s="41">
        <v>39954.503649999999</v>
      </c>
    </row>
    <row r="41" spans="1:15" s="16" customFormat="1" x14ac:dyDescent="0.25">
      <c r="A41" s="2" t="s">
        <v>60</v>
      </c>
      <c r="B41" s="40">
        <v>3421.9229999999998</v>
      </c>
      <c r="C41" s="40">
        <v>10744.17815</v>
      </c>
      <c r="D41" s="40">
        <v>0</v>
      </c>
      <c r="E41" s="40">
        <v>4381.8766399999995</v>
      </c>
      <c r="F41" s="40">
        <v>0</v>
      </c>
      <c r="G41" s="40">
        <v>426.86988000000002</v>
      </c>
      <c r="H41" s="40">
        <v>2966.1015000000002</v>
      </c>
      <c r="I41" s="40">
        <v>0</v>
      </c>
      <c r="J41" s="40">
        <v>32285.270980000001</v>
      </c>
      <c r="K41" s="40">
        <v>1980.75821</v>
      </c>
      <c r="L41" s="40">
        <v>0</v>
      </c>
      <c r="M41" s="40">
        <v>1E-3</v>
      </c>
      <c r="N41" s="40">
        <v>8192.4725799999997</v>
      </c>
      <c r="O41" s="41">
        <v>64399.451939999992</v>
      </c>
    </row>
    <row r="42" spans="1:15" s="16" customFormat="1" x14ac:dyDescent="0.25">
      <c r="A42" s="2" t="s">
        <v>61</v>
      </c>
      <c r="B42" s="40">
        <v>2475.3991299999998</v>
      </c>
      <c r="C42" s="40">
        <v>2450.37806</v>
      </c>
      <c r="D42" s="40">
        <v>0</v>
      </c>
      <c r="E42" s="40">
        <v>1896.8268400000002</v>
      </c>
      <c r="F42" s="40">
        <v>0</v>
      </c>
      <c r="G42" s="40">
        <v>0.67920000000000003</v>
      </c>
      <c r="H42" s="40">
        <v>1841.2370000000001</v>
      </c>
      <c r="I42" s="40">
        <v>0</v>
      </c>
      <c r="J42" s="40">
        <v>9610.998669999999</v>
      </c>
      <c r="K42" s="40">
        <v>2156.3690299999998</v>
      </c>
      <c r="L42" s="40">
        <v>0</v>
      </c>
      <c r="M42" s="40">
        <v>3.25</v>
      </c>
      <c r="N42" s="40">
        <v>1007.0372</v>
      </c>
      <c r="O42" s="41">
        <v>21442.175129999996</v>
      </c>
    </row>
    <row r="43" spans="1:15" s="16" customFormat="1" x14ac:dyDescent="0.25">
      <c r="A43" s="1" t="s">
        <v>62</v>
      </c>
      <c r="B43" s="40">
        <v>3599.9713199999997</v>
      </c>
      <c r="C43" s="40">
        <v>2858.9974500000003</v>
      </c>
      <c r="D43" s="40">
        <v>0</v>
      </c>
      <c r="E43" s="40">
        <v>1255.0965900000001</v>
      </c>
      <c r="F43" s="40">
        <v>10.3766</v>
      </c>
      <c r="G43" s="40">
        <v>120.6148</v>
      </c>
      <c r="H43" s="40">
        <v>1194.1155000000001</v>
      </c>
      <c r="I43" s="40">
        <v>0</v>
      </c>
      <c r="J43" s="40">
        <v>15938.9773</v>
      </c>
      <c r="K43" s="40">
        <v>240.03154999999998</v>
      </c>
      <c r="L43" s="40">
        <v>0</v>
      </c>
      <c r="M43" s="40">
        <v>732.26244999999994</v>
      </c>
      <c r="N43" s="40">
        <v>362.80669</v>
      </c>
      <c r="O43" s="41">
        <v>26313.250249999997</v>
      </c>
    </row>
    <row r="44" spans="1:15" s="16" customFormat="1" x14ac:dyDescent="0.25">
      <c r="A44" s="2" t="s">
        <v>63</v>
      </c>
      <c r="B44" s="40">
        <v>489.88516999999996</v>
      </c>
      <c r="C44" s="40">
        <v>1310.0533500000001</v>
      </c>
      <c r="D44" s="40">
        <v>0</v>
      </c>
      <c r="E44" s="40">
        <v>978.03806000000009</v>
      </c>
      <c r="F44" s="40">
        <v>0</v>
      </c>
      <c r="G44" s="40">
        <v>2.194</v>
      </c>
      <c r="H44" s="40">
        <v>1074.5340000000001</v>
      </c>
      <c r="I44" s="40">
        <v>0</v>
      </c>
      <c r="J44" s="40">
        <v>7482.7020400000001</v>
      </c>
      <c r="K44" s="40">
        <v>452.53709999999995</v>
      </c>
      <c r="L44" s="40">
        <v>0</v>
      </c>
      <c r="M44" s="40">
        <v>0</v>
      </c>
      <c r="N44" s="40">
        <v>1575.6859999999999</v>
      </c>
      <c r="O44" s="41">
        <v>13365.629720000001</v>
      </c>
    </row>
    <row r="45" spans="1:15" s="16" customFormat="1" x14ac:dyDescent="0.25">
      <c r="A45" s="2" t="s">
        <v>64</v>
      </c>
      <c r="B45" s="40">
        <v>996.05557999999996</v>
      </c>
      <c r="C45" s="40">
        <v>1066.4115200000001</v>
      </c>
      <c r="D45" s="40">
        <v>0</v>
      </c>
      <c r="E45" s="40">
        <v>35.148249999999997</v>
      </c>
      <c r="F45" s="40">
        <v>0</v>
      </c>
      <c r="G45" s="40">
        <v>304.43069000000003</v>
      </c>
      <c r="H45" s="40">
        <v>352.464</v>
      </c>
      <c r="I45" s="40">
        <v>0</v>
      </c>
      <c r="J45" s="40">
        <v>1965.5148999999999</v>
      </c>
      <c r="K45" s="40">
        <v>572.36734999999999</v>
      </c>
      <c r="L45" s="40">
        <v>0</v>
      </c>
      <c r="M45" s="40">
        <v>2E-3</v>
      </c>
      <c r="N45" s="40">
        <v>643.32177999999999</v>
      </c>
      <c r="O45" s="41">
        <v>5935.7160700000004</v>
      </c>
    </row>
    <row r="46" spans="1:15" s="16" customFormat="1" x14ac:dyDescent="0.25">
      <c r="A46" s="2" t="s">
        <v>65</v>
      </c>
      <c r="B46" s="40">
        <v>1098.43228</v>
      </c>
      <c r="C46" s="40">
        <v>49.519800000000004</v>
      </c>
      <c r="D46" s="40">
        <v>0</v>
      </c>
      <c r="E46" s="40">
        <v>330.11766</v>
      </c>
      <c r="F46" s="40">
        <v>0</v>
      </c>
      <c r="G46" s="40">
        <v>0</v>
      </c>
      <c r="H46" s="40">
        <v>250.3631</v>
      </c>
      <c r="I46" s="40">
        <v>0</v>
      </c>
      <c r="J46" s="40">
        <v>1117.0400400000001</v>
      </c>
      <c r="K46" s="40">
        <v>82.338999999999999</v>
      </c>
      <c r="L46" s="40">
        <v>0</v>
      </c>
      <c r="M46" s="40">
        <v>0</v>
      </c>
      <c r="N46" s="40">
        <v>154.501</v>
      </c>
      <c r="O46" s="41">
        <v>3082.3128800000004</v>
      </c>
    </row>
    <row r="47" spans="1:15" s="16" customFormat="1" x14ac:dyDescent="0.25">
      <c r="A47" s="2" t="s">
        <v>66</v>
      </c>
      <c r="B47" s="40">
        <v>2632.6447599999997</v>
      </c>
      <c r="C47" s="40">
        <v>2834.90589</v>
      </c>
      <c r="D47" s="40">
        <v>179.86</v>
      </c>
      <c r="E47" s="40">
        <v>693.69588999999996</v>
      </c>
      <c r="F47" s="40">
        <v>17.114999999999998</v>
      </c>
      <c r="G47" s="40">
        <v>3636.1</v>
      </c>
      <c r="H47" s="40">
        <v>1367.92</v>
      </c>
      <c r="I47" s="40">
        <v>0</v>
      </c>
      <c r="J47" s="40">
        <v>20875.184329999996</v>
      </c>
      <c r="K47" s="40">
        <v>392.87071000000003</v>
      </c>
      <c r="L47" s="40">
        <v>0</v>
      </c>
      <c r="M47" s="40">
        <v>1776.202</v>
      </c>
      <c r="N47" s="40">
        <v>1300.0488</v>
      </c>
      <c r="O47" s="41">
        <v>35706.547379999989</v>
      </c>
    </row>
    <row r="48" spans="1:15" s="16" customFormat="1" x14ac:dyDescent="0.25">
      <c r="A48" s="2" t="s">
        <v>67</v>
      </c>
      <c r="B48" s="40">
        <v>1542.65353</v>
      </c>
      <c r="C48" s="40">
        <v>5182.8658700000005</v>
      </c>
      <c r="D48" s="40">
        <v>0</v>
      </c>
      <c r="E48" s="40">
        <v>10878.814699999999</v>
      </c>
      <c r="F48" s="40">
        <v>0</v>
      </c>
      <c r="G48" s="40">
        <v>0</v>
      </c>
      <c r="H48" s="40">
        <v>12852.167619999998</v>
      </c>
      <c r="I48" s="40">
        <v>0</v>
      </c>
      <c r="J48" s="40">
        <v>56602.348579999998</v>
      </c>
      <c r="K48" s="40">
        <v>677.64675</v>
      </c>
      <c r="L48" s="40">
        <v>50</v>
      </c>
      <c r="M48" s="40">
        <v>2709.9335499999997</v>
      </c>
      <c r="N48" s="40">
        <v>1178.6532999999999</v>
      </c>
      <c r="O48" s="41">
        <v>91675.083899999998</v>
      </c>
    </row>
    <row r="49" spans="1:15" s="16" customFormat="1" x14ac:dyDescent="0.25">
      <c r="A49" s="2" t="s">
        <v>68</v>
      </c>
      <c r="B49" s="40">
        <v>4034.4711600000001</v>
      </c>
      <c r="C49" s="40">
        <v>690.23741000000007</v>
      </c>
      <c r="D49" s="40">
        <v>0</v>
      </c>
      <c r="E49" s="40">
        <v>198.03954999999999</v>
      </c>
      <c r="F49" s="40">
        <v>3.8002500000000001</v>
      </c>
      <c r="G49" s="40">
        <v>15.920999999999999</v>
      </c>
      <c r="H49" s="40">
        <v>1555.6751999999999</v>
      </c>
      <c r="I49" s="40">
        <v>0</v>
      </c>
      <c r="J49" s="40">
        <v>7288.3967599999996</v>
      </c>
      <c r="K49" s="40">
        <v>140.50601999999998</v>
      </c>
      <c r="L49" s="40">
        <v>0</v>
      </c>
      <c r="M49" s="40">
        <v>504.31185999999997</v>
      </c>
      <c r="N49" s="40">
        <v>504.17203999999998</v>
      </c>
      <c r="O49" s="41">
        <v>14935.53125</v>
      </c>
    </row>
    <row r="50" spans="1:15" s="16" customFormat="1" x14ac:dyDescent="0.25">
      <c r="A50" s="2" t="s">
        <v>69</v>
      </c>
      <c r="B50" s="40">
        <v>1954.7082800000001</v>
      </c>
      <c r="C50" s="40">
        <v>5496.2153699999999</v>
      </c>
      <c r="D50" s="40">
        <v>0</v>
      </c>
      <c r="E50" s="40">
        <v>3192.9914700000004</v>
      </c>
      <c r="F50" s="40">
        <v>0</v>
      </c>
      <c r="G50" s="40">
        <v>18.399999999999999</v>
      </c>
      <c r="H50" s="40">
        <v>7706.6610000000001</v>
      </c>
      <c r="I50" s="40">
        <v>0</v>
      </c>
      <c r="J50" s="40">
        <v>34186.932200000003</v>
      </c>
      <c r="K50" s="40">
        <v>1008.1035899999999</v>
      </c>
      <c r="L50" s="40">
        <v>508.28929999999997</v>
      </c>
      <c r="M50" s="40">
        <v>1116.5822000000001</v>
      </c>
      <c r="N50" s="40">
        <v>1678.4478200000001</v>
      </c>
      <c r="O50" s="41">
        <v>56867.331229999996</v>
      </c>
    </row>
    <row r="51" spans="1:15" s="16" customFormat="1" x14ac:dyDescent="0.25">
      <c r="A51" s="2" t="s">
        <v>12</v>
      </c>
      <c r="B51" s="40">
        <v>3325.3869599999998</v>
      </c>
      <c r="C51" s="40">
        <v>383.88069000000002</v>
      </c>
      <c r="D51" s="40">
        <v>0</v>
      </c>
      <c r="E51" s="40">
        <v>71.352000000000004</v>
      </c>
      <c r="F51" s="40">
        <v>17.195650000000001</v>
      </c>
      <c r="G51" s="40">
        <v>0</v>
      </c>
      <c r="H51" s="40">
        <v>0</v>
      </c>
      <c r="I51" s="40">
        <v>0</v>
      </c>
      <c r="J51" s="40">
        <v>1440.8852899999999</v>
      </c>
      <c r="K51" s="40">
        <v>297.92925000000002</v>
      </c>
      <c r="L51" s="40">
        <v>0</v>
      </c>
      <c r="M51" s="40">
        <v>0</v>
      </c>
      <c r="N51" s="40">
        <v>2296.8986600000003</v>
      </c>
      <c r="O51" s="41">
        <v>7833.5285000000003</v>
      </c>
    </row>
    <row r="52" spans="1:15" s="16" customFormat="1" x14ac:dyDescent="0.25">
      <c r="A52" s="2" t="s">
        <v>70</v>
      </c>
      <c r="B52" s="40">
        <v>275.61088000000001</v>
      </c>
      <c r="C52" s="40">
        <v>2468.02918</v>
      </c>
      <c r="D52" s="40">
        <v>0</v>
      </c>
      <c r="E52" s="40">
        <v>434.5872</v>
      </c>
      <c r="F52" s="40">
        <v>0</v>
      </c>
      <c r="G52" s="40">
        <v>0</v>
      </c>
      <c r="H52" s="40">
        <v>0</v>
      </c>
      <c r="I52" s="40">
        <v>0</v>
      </c>
      <c r="J52" s="40">
        <v>6309.80033</v>
      </c>
      <c r="K52" s="40">
        <v>159.33688000000001</v>
      </c>
      <c r="L52" s="40">
        <v>0</v>
      </c>
      <c r="M52" s="40">
        <v>1E-3</v>
      </c>
      <c r="N52" s="40">
        <v>1282.1470400000001</v>
      </c>
      <c r="O52" s="41">
        <v>10929.51251</v>
      </c>
    </row>
    <row r="53" spans="1:15" s="16" customFormat="1" x14ac:dyDescent="0.25">
      <c r="A53" s="2" t="s">
        <v>71</v>
      </c>
      <c r="B53" s="40">
        <v>991.82159999999999</v>
      </c>
      <c r="C53" s="40">
        <v>492.89265</v>
      </c>
      <c r="D53" s="40">
        <v>0</v>
      </c>
      <c r="E53" s="40">
        <v>-50.399529999999999</v>
      </c>
      <c r="F53" s="40">
        <v>25.815200000000001</v>
      </c>
      <c r="G53" s="40">
        <v>0</v>
      </c>
      <c r="H53" s="40">
        <v>85.1297</v>
      </c>
      <c r="I53" s="40">
        <v>0</v>
      </c>
      <c r="J53" s="40">
        <v>6367.5964100000001</v>
      </c>
      <c r="K53" s="40">
        <v>238.02789000000001</v>
      </c>
      <c r="L53" s="40">
        <v>0</v>
      </c>
      <c r="M53" s="40">
        <v>20.02</v>
      </c>
      <c r="N53" s="40">
        <v>249.8597</v>
      </c>
      <c r="O53" s="41">
        <v>8420.7636200000015</v>
      </c>
    </row>
    <row r="54" spans="1:15" s="16" customFormat="1" x14ac:dyDescent="0.25">
      <c r="A54" s="2" t="s">
        <v>72</v>
      </c>
      <c r="B54" s="40">
        <v>2258.8892000000001</v>
      </c>
      <c r="C54" s="40">
        <v>2626.4569200000001</v>
      </c>
      <c r="D54" s="40">
        <v>0</v>
      </c>
      <c r="E54" s="40">
        <v>559.08665000000008</v>
      </c>
      <c r="F54" s="40">
        <v>0</v>
      </c>
      <c r="G54" s="40">
        <v>35.911999999999999</v>
      </c>
      <c r="H54" s="40">
        <v>950</v>
      </c>
      <c r="I54" s="40">
        <v>0</v>
      </c>
      <c r="J54" s="40">
        <v>17822.35816</v>
      </c>
      <c r="K54" s="40">
        <v>923.23325</v>
      </c>
      <c r="L54" s="40">
        <v>0</v>
      </c>
      <c r="M54" s="40">
        <v>0.8</v>
      </c>
      <c r="N54" s="40">
        <v>2075.6809499999999</v>
      </c>
      <c r="O54" s="41">
        <v>27252.417130000002</v>
      </c>
    </row>
    <row r="55" spans="1:15" s="16" customFormat="1" x14ac:dyDescent="0.25">
      <c r="A55" s="2" t="s">
        <v>13</v>
      </c>
      <c r="B55" s="40">
        <v>1170.15336</v>
      </c>
      <c r="C55" s="40">
        <v>2692.6938500000001</v>
      </c>
      <c r="D55" s="40">
        <v>0</v>
      </c>
      <c r="E55" s="40">
        <v>988.40508999999997</v>
      </c>
      <c r="F55" s="40">
        <v>0</v>
      </c>
      <c r="G55" s="40">
        <v>24.627749999999999</v>
      </c>
      <c r="H55" s="40">
        <v>4275.0720000000001</v>
      </c>
      <c r="I55" s="40">
        <v>0</v>
      </c>
      <c r="J55" s="40">
        <v>4723.8934400000007</v>
      </c>
      <c r="K55" s="40">
        <v>73.610799999999998</v>
      </c>
      <c r="L55" s="40">
        <v>0</v>
      </c>
      <c r="M55" s="40">
        <v>253.30982999999998</v>
      </c>
      <c r="N55" s="40">
        <v>415.20204999999999</v>
      </c>
      <c r="O55" s="41">
        <v>14616.96817</v>
      </c>
    </row>
    <row r="56" spans="1:15" s="16" customFormat="1" x14ac:dyDescent="0.25">
      <c r="A56" s="2" t="s">
        <v>26</v>
      </c>
      <c r="B56" s="40">
        <v>4811.2504300000001</v>
      </c>
      <c r="C56" s="40">
        <v>4854.6448799999998</v>
      </c>
      <c r="D56" s="40">
        <v>0</v>
      </c>
      <c r="E56" s="40">
        <v>3461.6390899999997</v>
      </c>
      <c r="F56" s="40">
        <v>0</v>
      </c>
      <c r="G56" s="40">
        <v>0.2</v>
      </c>
      <c r="H56" s="40">
        <v>1032.2237</v>
      </c>
      <c r="I56" s="40">
        <v>0</v>
      </c>
      <c r="J56" s="40">
        <v>2558.8480499999996</v>
      </c>
      <c r="K56" s="40">
        <v>125.548</v>
      </c>
      <c r="L56" s="40">
        <v>0</v>
      </c>
      <c r="M56" s="40">
        <v>347.79399999999998</v>
      </c>
      <c r="N56" s="40">
        <v>475.52</v>
      </c>
      <c r="O56" s="41">
        <v>17667.668150000001</v>
      </c>
    </row>
    <row r="57" spans="1:15" s="16" customFormat="1" ht="12.75" customHeight="1" x14ac:dyDescent="0.25">
      <c r="A57" s="2" t="s">
        <v>73</v>
      </c>
      <c r="B57" s="40">
        <v>68.290649999999999</v>
      </c>
      <c r="C57" s="40">
        <v>116.46296000000001</v>
      </c>
      <c r="D57" s="40">
        <v>0</v>
      </c>
      <c r="E57" s="40">
        <v>23.6</v>
      </c>
      <c r="F57" s="40">
        <v>0</v>
      </c>
      <c r="G57" s="40">
        <v>0</v>
      </c>
      <c r="H57" s="40">
        <v>76.542600000000007</v>
      </c>
      <c r="I57" s="40">
        <v>0</v>
      </c>
      <c r="J57" s="40">
        <v>463.64580000000001</v>
      </c>
      <c r="K57" s="40">
        <v>244.00450000000001</v>
      </c>
      <c r="L57" s="40">
        <v>0</v>
      </c>
      <c r="M57" s="40">
        <v>0</v>
      </c>
      <c r="N57" s="40">
        <v>0</v>
      </c>
      <c r="O57" s="41">
        <v>992.54651000000001</v>
      </c>
    </row>
    <row r="58" spans="1:15" s="16" customFormat="1" x14ac:dyDescent="0.25">
      <c r="A58" s="2" t="s">
        <v>14</v>
      </c>
      <c r="B58" s="40">
        <v>11335.679630000001</v>
      </c>
      <c r="C58" s="40">
        <v>12690.827369999999</v>
      </c>
      <c r="D58" s="40">
        <v>0</v>
      </c>
      <c r="E58" s="40">
        <v>19060.608179999999</v>
      </c>
      <c r="F58" s="40">
        <v>102.93635</v>
      </c>
      <c r="G58" s="40">
        <v>0</v>
      </c>
      <c r="H58" s="40">
        <v>68832.781560000003</v>
      </c>
      <c r="I58" s="40">
        <v>0</v>
      </c>
      <c r="J58" s="40">
        <v>71239.593280000001</v>
      </c>
      <c r="K58" s="40">
        <v>4253.9310500000001</v>
      </c>
      <c r="L58" s="40">
        <v>967.322</v>
      </c>
      <c r="M58" s="40">
        <v>35138.072999999997</v>
      </c>
      <c r="N58" s="40">
        <v>11478.04645</v>
      </c>
      <c r="O58" s="41">
        <v>235099.79887</v>
      </c>
    </row>
    <row r="59" spans="1:15" s="16" customFormat="1" x14ac:dyDescent="0.25">
      <c r="A59" s="2" t="s">
        <v>28</v>
      </c>
      <c r="B59" s="40">
        <v>3146.2604700000002</v>
      </c>
      <c r="C59" s="40">
        <v>5974.3702899999998</v>
      </c>
      <c r="D59" s="40">
        <v>800</v>
      </c>
      <c r="E59" s="40">
        <v>3391.0827799999997</v>
      </c>
      <c r="F59" s="40">
        <v>47.344699999999996</v>
      </c>
      <c r="G59" s="40">
        <v>6.4883500000000005</v>
      </c>
      <c r="H59" s="40">
        <v>5149.6614500000005</v>
      </c>
      <c r="I59" s="40">
        <v>0</v>
      </c>
      <c r="J59" s="40">
        <v>24606.568649999997</v>
      </c>
      <c r="K59" s="40">
        <v>947.03314999999998</v>
      </c>
      <c r="L59" s="40">
        <v>1785</v>
      </c>
      <c r="M59" s="40">
        <v>7118.4132499999996</v>
      </c>
      <c r="N59" s="40">
        <v>5460.6523499999994</v>
      </c>
      <c r="O59" s="41">
        <v>58432.875439999996</v>
      </c>
    </row>
    <row r="60" spans="1:15" s="16" customFormat="1" x14ac:dyDescent="0.25">
      <c r="A60" s="2" t="s">
        <v>29</v>
      </c>
      <c r="B60" s="40">
        <v>77391.659120000011</v>
      </c>
      <c r="C60" s="40">
        <v>322451.0992</v>
      </c>
      <c r="D60" s="40">
        <v>120038.16499999999</v>
      </c>
      <c r="E60" s="40">
        <v>-110481.59341</v>
      </c>
      <c r="F60" s="40">
        <v>1321.9426699999999</v>
      </c>
      <c r="G60" s="40">
        <v>26058.48546</v>
      </c>
      <c r="H60" s="40">
        <v>131791.52070999998</v>
      </c>
      <c r="I60" s="40">
        <v>0</v>
      </c>
      <c r="J60" s="40">
        <v>437036.17447000003</v>
      </c>
      <c r="K60" s="40">
        <v>7951.7716</v>
      </c>
      <c r="L60" s="40">
        <v>1020</v>
      </c>
      <c r="M60" s="40">
        <v>331650.92935000005</v>
      </c>
      <c r="N60" s="40">
        <v>63954.670399999995</v>
      </c>
      <c r="O60" s="41">
        <v>1410184.8245699999</v>
      </c>
    </row>
    <row r="61" spans="1:15" s="16" customFormat="1" x14ac:dyDescent="0.25">
      <c r="A61" s="2" t="s">
        <v>74</v>
      </c>
      <c r="B61" s="40">
        <v>1253.2984299999998</v>
      </c>
      <c r="C61" s="40">
        <v>2891.5345299999999</v>
      </c>
      <c r="D61" s="40">
        <v>0</v>
      </c>
      <c r="E61" s="40">
        <v>1135.4423300000001</v>
      </c>
      <c r="F61" s="40">
        <v>9.4013200000000001</v>
      </c>
      <c r="G61" s="40">
        <v>2.8723100000000001</v>
      </c>
      <c r="H61" s="40">
        <v>298</v>
      </c>
      <c r="I61" s="40">
        <v>0</v>
      </c>
      <c r="J61" s="40">
        <v>13186.169800000001</v>
      </c>
      <c r="K61" s="40">
        <v>1065.9766599999998</v>
      </c>
      <c r="L61" s="40">
        <v>0</v>
      </c>
      <c r="M61" s="40">
        <v>1E-3</v>
      </c>
      <c r="N61" s="40">
        <v>1137.171</v>
      </c>
      <c r="O61" s="41">
        <v>20979.86738</v>
      </c>
    </row>
    <row r="62" spans="1:15" s="16" customFormat="1" x14ac:dyDescent="0.25">
      <c r="A62" s="2" t="s">
        <v>75</v>
      </c>
      <c r="B62" s="40">
        <v>784.92186000000004</v>
      </c>
      <c r="C62" s="40">
        <v>1631.8559499999999</v>
      </c>
      <c r="D62" s="40">
        <v>0</v>
      </c>
      <c r="E62" s="40">
        <v>2025.05016</v>
      </c>
      <c r="F62" s="40">
        <v>0</v>
      </c>
      <c r="G62" s="40">
        <v>103.26010000000001</v>
      </c>
      <c r="H62" s="40">
        <v>1483.221</v>
      </c>
      <c r="I62" s="40">
        <v>0</v>
      </c>
      <c r="J62" s="40">
        <v>15966.592070000001</v>
      </c>
      <c r="K62" s="40">
        <v>763.14355</v>
      </c>
      <c r="L62" s="40">
        <v>0</v>
      </c>
      <c r="M62" s="40">
        <v>762.11249999999995</v>
      </c>
      <c r="N62" s="40">
        <v>3521.3956499999999</v>
      </c>
      <c r="O62" s="41">
        <v>27041.55284</v>
      </c>
    </row>
    <row r="63" spans="1:15" s="16" customFormat="1" x14ac:dyDescent="0.25">
      <c r="A63" s="2" t="s">
        <v>76</v>
      </c>
      <c r="B63" s="40">
        <v>462.59609</v>
      </c>
      <c r="C63" s="40">
        <v>2193.2878599999999</v>
      </c>
      <c r="D63" s="40">
        <v>0</v>
      </c>
      <c r="E63" s="40">
        <v>1744.6998999999998</v>
      </c>
      <c r="F63" s="40">
        <v>12.9</v>
      </c>
      <c r="G63" s="40">
        <v>187.95729</v>
      </c>
      <c r="H63" s="40">
        <v>946.58500000000004</v>
      </c>
      <c r="I63" s="40">
        <v>0</v>
      </c>
      <c r="J63" s="40">
        <v>8133.9266100000004</v>
      </c>
      <c r="K63" s="40">
        <v>182.6345</v>
      </c>
      <c r="L63" s="40">
        <v>0</v>
      </c>
      <c r="M63" s="40">
        <v>26.501000000000001</v>
      </c>
      <c r="N63" s="40">
        <v>628.99300000000005</v>
      </c>
      <c r="O63" s="41">
        <v>14520.081250000001</v>
      </c>
    </row>
    <row r="64" spans="1:15" s="16" customFormat="1" x14ac:dyDescent="0.25">
      <c r="A64" s="2" t="s">
        <v>77</v>
      </c>
      <c r="B64" s="40">
        <v>2165.4161300000001</v>
      </c>
      <c r="C64" s="40">
        <v>159.50664</v>
      </c>
      <c r="D64" s="40">
        <v>13000</v>
      </c>
      <c r="E64" s="40">
        <v>565.06548999999995</v>
      </c>
      <c r="F64" s="40">
        <v>14.3019</v>
      </c>
      <c r="G64" s="40">
        <v>0</v>
      </c>
      <c r="H64" s="40">
        <v>8690.5550000000003</v>
      </c>
      <c r="I64" s="40">
        <v>0</v>
      </c>
      <c r="J64" s="40">
        <v>6443.2654599999996</v>
      </c>
      <c r="K64" s="40">
        <v>25</v>
      </c>
      <c r="L64" s="40">
        <v>0</v>
      </c>
      <c r="M64" s="40">
        <v>50</v>
      </c>
      <c r="N64" s="40">
        <v>3570.4416000000001</v>
      </c>
      <c r="O64" s="41">
        <v>34683.552220000005</v>
      </c>
    </row>
    <row r="65" spans="1:15" s="16" customFormat="1" ht="12.75" customHeight="1" x14ac:dyDescent="0.25">
      <c r="A65" s="2" t="s">
        <v>15</v>
      </c>
      <c r="B65" s="40">
        <v>1222.9221399999999</v>
      </c>
      <c r="C65" s="40">
        <v>10754.322099999999</v>
      </c>
      <c r="D65" s="40">
        <v>0</v>
      </c>
      <c r="E65" s="40">
        <v>17076.68388</v>
      </c>
      <c r="F65" s="40">
        <v>0</v>
      </c>
      <c r="G65" s="40">
        <v>205.52482999999998</v>
      </c>
      <c r="H65" s="40">
        <v>1900</v>
      </c>
      <c r="I65" s="40">
        <v>0</v>
      </c>
      <c r="J65" s="40">
        <v>31845.649430000001</v>
      </c>
      <c r="K65" s="40">
        <v>1234.47354</v>
      </c>
      <c r="L65" s="40">
        <v>0</v>
      </c>
      <c r="M65" s="40">
        <v>3815</v>
      </c>
      <c r="N65" s="40">
        <v>2206.1707700000002</v>
      </c>
      <c r="O65" s="41">
        <v>70260.74669</v>
      </c>
    </row>
    <row r="66" spans="1:15" s="16" customFormat="1" x14ac:dyDescent="0.25">
      <c r="A66" s="2" t="s">
        <v>78</v>
      </c>
      <c r="B66" s="40">
        <v>2757.43921</v>
      </c>
      <c r="C66" s="40">
        <v>4353.5357300000005</v>
      </c>
      <c r="D66" s="40">
        <v>0</v>
      </c>
      <c r="E66" s="40">
        <v>3882.2420699999998</v>
      </c>
      <c r="F66" s="40">
        <v>22.751999999999999</v>
      </c>
      <c r="G66" s="40">
        <v>0</v>
      </c>
      <c r="H66" s="40">
        <v>778.29214999999999</v>
      </c>
      <c r="I66" s="40">
        <v>0</v>
      </c>
      <c r="J66" s="40">
        <v>16814.990010000001</v>
      </c>
      <c r="K66" s="40">
        <v>308.65971999999999</v>
      </c>
      <c r="L66" s="40">
        <v>0</v>
      </c>
      <c r="M66" s="40">
        <v>0</v>
      </c>
      <c r="N66" s="40">
        <v>1891.3706200000001</v>
      </c>
      <c r="O66" s="41">
        <v>30809.281510000004</v>
      </c>
    </row>
    <row r="67" spans="1:15" s="16" customFormat="1" ht="12.75" customHeight="1" x14ac:dyDescent="0.25">
      <c r="A67" s="2" t="s">
        <v>16</v>
      </c>
      <c r="B67" s="40">
        <v>7239.8544800000009</v>
      </c>
      <c r="C67" s="40">
        <v>89794.094099999988</v>
      </c>
      <c r="D67" s="40">
        <v>0</v>
      </c>
      <c r="E67" s="40">
        <v>-8790.1623800000016</v>
      </c>
      <c r="F67" s="40">
        <v>0</v>
      </c>
      <c r="G67" s="40">
        <v>1283.0170000000001</v>
      </c>
      <c r="H67" s="40">
        <v>53169.090409999997</v>
      </c>
      <c r="I67" s="40">
        <v>13271.65135</v>
      </c>
      <c r="J67" s="40">
        <v>112362.04893</v>
      </c>
      <c r="K67" s="40">
        <v>3349.2111</v>
      </c>
      <c r="L67" s="40">
        <v>0</v>
      </c>
      <c r="M67" s="40">
        <v>0</v>
      </c>
      <c r="N67" s="40">
        <v>11743.06259</v>
      </c>
      <c r="O67" s="41">
        <v>283421.86757999996</v>
      </c>
    </row>
    <row r="68" spans="1:15" s="16" customFormat="1" x14ac:dyDescent="0.25">
      <c r="A68" s="2" t="s">
        <v>79</v>
      </c>
      <c r="B68" s="40">
        <v>865.50031000000001</v>
      </c>
      <c r="C68" s="40">
        <v>146.70439000000002</v>
      </c>
      <c r="D68" s="40">
        <v>0</v>
      </c>
      <c r="E68" s="40">
        <v>129.37780000000001</v>
      </c>
      <c r="F68" s="40">
        <v>6.7823000000000002</v>
      </c>
      <c r="G68" s="40">
        <v>0</v>
      </c>
      <c r="H68" s="40">
        <v>82.918000000000006</v>
      </c>
      <c r="I68" s="40">
        <v>0</v>
      </c>
      <c r="J68" s="40">
        <v>2984.0621599999999</v>
      </c>
      <c r="K68" s="40">
        <v>132.84587999999999</v>
      </c>
      <c r="L68" s="40">
        <v>0</v>
      </c>
      <c r="M68" s="40">
        <v>5</v>
      </c>
      <c r="N68" s="40">
        <v>0</v>
      </c>
      <c r="O68" s="41">
        <v>4353.1908400000002</v>
      </c>
    </row>
    <row r="69" spans="1:15" s="16" customFormat="1" x14ac:dyDescent="0.25">
      <c r="A69" s="2" t="s">
        <v>80</v>
      </c>
      <c r="B69" s="40">
        <v>579.57038</v>
      </c>
      <c r="C69" s="40">
        <v>1341.7858999999999</v>
      </c>
      <c r="D69" s="40">
        <v>0</v>
      </c>
      <c r="E69" s="40">
        <v>913.81014000000005</v>
      </c>
      <c r="F69" s="40">
        <v>2.0459999999999998</v>
      </c>
      <c r="G69" s="40">
        <v>0</v>
      </c>
      <c r="H69" s="40">
        <v>2E-3</v>
      </c>
      <c r="I69" s="40">
        <v>0</v>
      </c>
      <c r="J69" s="40">
        <v>16760.07764</v>
      </c>
      <c r="K69" s="40">
        <v>476.42970000000003</v>
      </c>
      <c r="L69" s="40">
        <v>0</v>
      </c>
      <c r="M69" s="40">
        <v>1E-3</v>
      </c>
      <c r="N69" s="40">
        <v>3470.0189</v>
      </c>
      <c r="O69" s="41">
        <v>23543.74166</v>
      </c>
    </row>
    <row r="70" spans="1:15" s="16" customFormat="1" x14ac:dyDescent="0.25">
      <c r="A70" s="2" t="s">
        <v>81</v>
      </c>
      <c r="B70" s="40">
        <v>730.29836999999998</v>
      </c>
      <c r="C70" s="40">
        <v>306.73876000000001</v>
      </c>
      <c r="D70" s="40">
        <v>0</v>
      </c>
      <c r="E70" s="40">
        <v>179.99867</v>
      </c>
      <c r="F70" s="40">
        <v>4.4031000000000002</v>
      </c>
      <c r="G70" s="40">
        <v>81.802199999999999</v>
      </c>
      <c r="H70" s="40">
        <v>50.872999999999998</v>
      </c>
      <c r="I70" s="40">
        <v>0</v>
      </c>
      <c r="J70" s="40">
        <v>1508.0392899999999</v>
      </c>
      <c r="K70" s="40">
        <v>47.449199999999998</v>
      </c>
      <c r="L70" s="40">
        <v>0</v>
      </c>
      <c r="M70" s="40">
        <v>1E-3</v>
      </c>
      <c r="N70" s="40">
        <v>686.01615000000004</v>
      </c>
      <c r="O70" s="41">
        <v>3595.6197400000001</v>
      </c>
    </row>
    <row r="71" spans="1:15" s="16" customFormat="1" x14ac:dyDescent="0.25">
      <c r="A71" s="2" t="s">
        <v>17</v>
      </c>
      <c r="B71" s="40">
        <v>6550.85473</v>
      </c>
      <c r="C71" s="40">
        <v>16229.540560000001</v>
      </c>
      <c r="D71" s="40">
        <v>0</v>
      </c>
      <c r="E71" s="40">
        <v>8274.1156499999997</v>
      </c>
      <c r="F71" s="40">
        <v>0</v>
      </c>
      <c r="G71" s="40">
        <v>61.475449999999995</v>
      </c>
      <c r="H71" s="40">
        <v>0</v>
      </c>
      <c r="I71" s="40">
        <v>0</v>
      </c>
      <c r="J71" s="40">
        <v>30120.249399999997</v>
      </c>
      <c r="K71" s="40">
        <v>476.98957000000001</v>
      </c>
      <c r="L71" s="40">
        <v>0</v>
      </c>
      <c r="M71" s="40">
        <v>7406.1438499999995</v>
      </c>
      <c r="N71" s="40">
        <v>3037.8378900000002</v>
      </c>
      <c r="O71" s="41">
        <v>72157.207099999985</v>
      </c>
    </row>
    <row r="72" spans="1:15" s="16" customFormat="1" x14ac:dyDescent="0.25">
      <c r="A72" s="2" t="s">
        <v>82</v>
      </c>
      <c r="B72" s="40">
        <v>2395.9743900000003</v>
      </c>
      <c r="C72" s="40">
        <v>4815.7260800000004</v>
      </c>
      <c r="D72" s="40">
        <v>0</v>
      </c>
      <c r="E72" s="40">
        <v>-127.65881</v>
      </c>
      <c r="F72" s="40">
        <v>0</v>
      </c>
      <c r="G72" s="40">
        <v>0.10100000000000001</v>
      </c>
      <c r="H72" s="40">
        <v>0</v>
      </c>
      <c r="I72" s="40">
        <v>0</v>
      </c>
      <c r="J72" s="40">
        <v>16299.65141</v>
      </c>
      <c r="K72" s="40">
        <v>446.20681000000002</v>
      </c>
      <c r="L72" s="40">
        <v>158.4</v>
      </c>
      <c r="M72" s="40">
        <v>100.002</v>
      </c>
      <c r="N72" s="40">
        <v>5434.8842999999997</v>
      </c>
      <c r="O72" s="41">
        <v>29523.287179999999</v>
      </c>
    </row>
    <row r="73" spans="1:15" s="16" customFormat="1" x14ac:dyDescent="0.25">
      <c r="A73" s="1" t="s">
        <v>18</v>
      </c>
      <c r="B73" s="40">
        <v>3578.0025299999998</v>
      </c>
      <c r="C73" s="40">
        <v>7293.7219100000002</v>
      </c>
      <c r="D73" s="40">
        <v>1000</v>
      </c>
      <c r="E73" s="40">
        <v>-1874.9272100000001</v>
      </c>
      <c r="F73" s="40">
        <v>52.400100000000002</v>
      </c>
      <c r="G73" s="40">
        <v>18.335349999999998</v>
      </c>
      <c r="H73" s="40">
        <v>1E-3</v>
      </c>
      <c r="I73" s="40">
        <v>0</v>
      </c>
      <c r="J73" s="40">
        <v>10634.39092</v>
      </c>
      <c r="K73" s="40">
        <v>392.21420000000001</v>
      </c>
      <c r="L73" s="40">
        <v>0</v>
      </c>
      <c r="M73" s="40">
        <v>0</v>
      </c>
      <c r="N73" s="40">
        <v>1659.47585</v>
      </c>
      <c r="O73" s="41">
        <v>22753.614649999996</v>
      </c>
    </row>
    <row r="74" spans="1:15" s="16" customFormat="1" x14ac:dyDescent="0.25">
      <c r="A74" s="2" t="s">
        <v>83</v>
      </c>
      <c r="B74" s="40">
        <v>1288.8638500000002</v>
      </c>
      <c r="C74" s="40">
        <v>6943.9620400000003</v>
      </c>
      <c r="D74" s="40">
        <v>5314.7955599999996</v>
      </c>
      <c r="E74" s="40">
        <v>1180.7041000000002</v>
      </c>
      <c r="F74" s="40">
        <v>20.846299999999999</v>
      </c>
      <c r="G74" s="40">
        <v>95.319000000000003</v>
      </c>
      <c r="H74" s="40">
        <v>0</v>
      </c>
      <c r="I74" s="40">
        <v>0</v>
      </c>
      <c r="J74" s="40">
        <v>22818.392889999999</v>
      </c>
      <c r="K74" s="40">
        <v>763.89568999999995</v>
      </c>
      <c r="L74" s="40">
        <v>0</v>
      </c>
      <c r="M74" s="40">
        <v>0</v>
      </c>
      <c r="N74" s="40">
        <v>1149.6620500000001</v>
      </c>
      <c r="O74" s="41">
        <v>39576.441479999994</v>
      </c>
    </row>
    <row r="75" spans="1:15" s="16" customFormat="1" x14ac:dyDescent="0.25">
      <c r="A75" s="2" t="s">
        <v>19</v>
      </c>
      <c r="B75" s="40">
        <v>3359.53087</v>
      </c>
      <c r="C75" s="40">
        <v>2273.1566800000001</v>
      </c>
      <c r="D75" s="40">
        <v>0</v>
      </c>
      <c r="E75" s="40">
        <v>1153.63624</v>
      </c>
      <c r="F75" s="40">
        <v>0</v>
      </c>
      <c r="G75" s="40">
        <v>0.2</v>
      </c>
      <c r="H75" s="40">
        <v>11752.416999999999</v>
      </c>
      <c r="I75" s="40">
        <v>0</v>
      </c>
      <c r="J75" s="40">
        <v>6269.4142599999996</v>
      </c>
      <c r="K75" s="40">
        <v>344.39317999999997</v>
      </c>
      <c r="L75" s="40">
        <v>0</v>
      </c>
      <c r="M75" s="40">
        <v>5507.2089999999998</v>
      </c>
      <c r="N75" s="40">
        <v>1131.8423300000002</v>
      </c>
      <c r="O75" s="41">
        <v>31791.799559999996</v>
      </c>
    </row>
    <row r="76" spans="1:15" s="16" customFormat="1" x14ac:dyDescent="0.25">
      <c r="A76" s="2" t="s">
        <v>84</v>
      </c>
      <c r="B76" s="40">
        <v>2401.64057</v>
      </c>
      <c r="C76" s="40">
        <v>1875.1421</v>
      </c>
      <c r="D76" s="40">
        <v>0</v>
      </c>
      <c r="E76" s="40">
        <v>898.19874000000004</v>
      </c>
      <c r="F76" s="40">
        <v>14.31115</v>
      </c>
      <c r="G76" s="40">
        <v>32.540950000000002</v>
      </c>
      <c r="H76" s="40">
        <v>503.17099999999999</v>
      </c>
      <c r="I76" s="40">
        <v>0</v>
      </c>
      <c r="J76" s="40">
        <v>4242.1216599999998</v>
      </c>
      <c r="K76" s="40">
        <v>668.8436999999999</v>
      </c>
      <c r="L76" s="40">
        <v>0</v>
      </c>
      <c r="M76" s="40">
        <v>0</v>
      </c>
      <c r="N76" s="40">
        <v>1832.6346699999999</v>
      </c>
      <c r="O76" s="41">
        <v>12468.604539999998</v>
      </c>
    </row>
    <row r="77" spans="1:15" s="16" customFormat="1" x14ac:dyDescent="0.25">
      <c r="A77" s="2" t="s">
        <v>85</v>
      </c>
      <c r="B77" s="40">
        <v>426.60204999999996</v>
      </c>
      <c r="C77" s="40">
        <v>1079.1415200000001</v>
      </c>
      <c r="D77" s="40">
        <v>0</v>
      </c>
      <c r="E77" s="40">
        <v>213.49510000000001</v>
      </c>
      <c r="F77" s="40">
        <v>0</v>
      </c>
      <c r="G77" s="40">
        <v>13.903649999999999</v>
      </c>
      <c r="H77" s="40">
        <v>0</v>
      </c>
      <c r="I77" s="40">
        <v>0</v>
      </c>
      <c r="J77" s="40">
        <v>3102.57368</v>
      </c>
      <c r="K77" s="40">
        <v>79.257350000000002</v>
      </c>
      <c r="L77" s="40">
        <v>0</v>
      </c>
      <c r="M77" s="40">
        <v>3.0009999999999999</v>
      </c>
      <c r="N77" s="40">
        <v>1293.1530299999999</v>
      </c>
      <c r="O77" s="41">
        <v>6211.1273799999999</v>
      </c>
    </row>
    <row r="78" spans="1:15" s="16" customFormat="1" x14ac:dyDescent="0.25">
      <c r="A78" s="2" t="s">
        <v>86</v>
      </c>
      <c r="B78" s="40">
        <v>1734.9688700000002</v>
      </c>
      <c r="C78" s="40">
        <v>600.85625000000005</v>
      </c>
      <c r="D78" s="40">
        <v>0</v>
      </c>
      <c r="E78" s="40">
        <v>710.34802999999999</v>
      </c>
      <c r="F78" s="40">
        <v>1E-3</v>
      </c>
      <c r="G78" s="40">
        <v>3.91045</v>
      </c>
      <c r="H78" s="40">
        <v>71.896050000000002</v>
      </c>
      <c r="I78" s="40">
        <v>0</v>
      </c>
      <c r="J78" s="40">
        <v>4421.57629</v>
      </c>
      <c r="K78" s="40">
        <v>14.6927</v>
      </c>
      <c r="L78" s="40">
        <v>0</v>
      </c>
      <c r="M78" s="40">
        <v>2E-3</v>
      </c>
      <c r="N78" s="40">
        <v>1188.3715500000001</v>
      </c>
      <c r="O78" s="41">
        <v>8746.6231900000002</v>
      </c>
    </row>
    <row r="79" spans="1:15" s="16" customFormat="1" x14ac:dyDescent="0.25">
      <c r="A79" s="2" t="s">
        <v>20</v>
      </c>
      <c r="B79" s="40">
        <v>255.43191000000002</v>
      </c>
      <c r="C79" s="40">
        <v>6328.92976</v>
      </c>
      <c r="D79" s="40">
        <v>2018.4806100000001</v>
      </c>
      <c r="E79" s="40">
        <v>-5729.0507500000003</v>
      </c>
      <c r="F79" s="40">
        <v>0</v>
      </c>
      <c r="G79" s="40">
        <v>0</v>
      </c>
      <c r="H79" s="40">
        <v>0</v>
      </c>
      <c r="I79" s="40">
        <v>0</v>
      </c>
      <c r="J79" s="40">
        <v>10588.751679999999</v>
      </c>
      <c r="K79" s="40">
        <v>652.83895999999993</v>
      </c>
      <c r="L79" s="40">
        <v>0</v>
      </c>
      <c r="M79" s="40">
        <v>0</v>
      </c>
      <c r="N79" s="40">
        <v>1308.6671699999999</v>
      </c>
      <c r="O79" s="41">
        <v>15424.04934</v>
      </c>
    </row>
    <row r="80" spans="1:15" s="16" customFormat="1" x14ac:dyDescent="0.25">
      <c r="A80" s="2" t="s">
        <v>87</v>
      </c>
      <c r="B80" s="40">
        <v>1372.6706200000001</v>
      </c>
      <c r="C80" s="40">
        <v>341.87938000000003</v>
      </c>
      <c r="D80" s="40">
        <v>0</v>
      </c>
      <c r="E80" s="40">
        <v>384.60260999999997</v>
      </c>
      <c r="F80" s="40">
        <v>18.614799999999999</v>
      </c>
      <c r="G80" s="40">
        <v>54.337519999999998</v>
      </c>
      <c r="H80" s="40">
        <v>792</v>
      </c>
      <c r="I80" s="40">
        <v>0</v>
      </c>
      <c r="J80" s="40">
        <v>5234.0968899999998</v>
      </c>
      <c r="K80" s="40">
        <v>802.33530000000007</v>
      </c>
      <c r="L80" s="40">
        <v>164</v>
      </c>
      <c r="M80" s="40">
        <v>367.90872999999999</v>
      </c>
      <c r="N80" s="40">
        <v>23</v>
      </c>
      <c r="O80" s="41">
        <v>9555.4458500000001</v>
      </c>
    </row>
    <row r="81" spans="1:15" s="16" customFormat="1" x14ac:dyDescent="0.25">
      <c r="A81" s="2" t="s">
        <v>30</v>
      </c>
      <c r="B81" s="40">
        <v>1601.4235100000001</v>
      </c>
      <c r="C81" s="40">
        <v>2846.3920699999999</v>
      </c>
      <c r="D81" s="40">
        <v>0</v>
      </c>
      <c r="E81" s="40">
        <v>-354.32377000000002</v>
      </c>
      <c r="F81" s="40">
        <v>16.959289999999999</v>
      </c>
      <c r="G81" s="40">
        <v>9.320549999999999</v>
      </c>
      <c r="H81" s="40">
        <v>0</v>
      </c>
      <c r="I81" s="40">
        <v>0</v>
      </c>
      <c r="J81" s="40">
        <v>7216.6163699999997</v>
      </c>
      <c r="K81" s="40">
        <v>361.54809999999998</v>
      </c>
      <c r="L81" s="40">
        <v>0</v>
      </c>
      <c r="M81" s="40">
        <v>9</v>
      </c>
      <c r="N81" s="40">
        <v>187.19925000000001</v>
      </c>
      <c r="O81" s="41">
        <v>11894.13537</v>
      </c>
    </row>
    <row r="82" spans="1:15" s="16" customFormat="1" x14ac:dyDescent="0.25">
      <c r="A82" s="2" t="s">
        <v>88</v>
      </c>
      <c r="B82" s="40">
        <v>338.96300000000002</v>
      </c>
      <c r="C82" s="40">
        <v>913.23423000000003</v>
      </c>
      <c r="D82" s="40">
        <v>0</v>
      </c>
      <c r="E82" s="40">
        <v>804.12598000000003</v>
      </c>
      <c r="F82" s="40">
        <v>0</v>
      </c>
      <c r="G82" s="40">
        <v>14.63031</v>
      </c>
      <c r="H82" s="40">
        <v>801.94884999999999</v>
      </c>
      <c r="I82" s="40">
        <v>0</v>
      </c>
      <c r="J82" s="40">
        <v>7566.2042799999999</v>
      </c>
      <c r="K82" s="40">
        <v>542.54057</v>
      </c>
      <c r="L82" s="40">
        <v>0</v>
      </c>
      <c r="M82" s="40">
        <v>587.35865000000001</v>
      </c>
      <c r="N82" s="40">
        <v>337.38729000000001</v>
      </c>
      <c r="O82" s="41">
        <v>11906.39316</v>
      </c>
    </row>
    <row r="83" spans="1:15" s="16" customFormat="1" x14ac:dyDescent="0.25">
      <c r="A83" s="2" t="s">
        <v>89</v>
      </c>
      <c r="B83" s="40">
        <v>3847.8547999999996</v>
      </c>
      <c r="C83" s="40">
        <v>9795.6009300000005</v>
      </c>
      <c r="D83" s="40">
        <v>0</v>
      </c>
      <c r="E83" s="40">
        <v>4670.3500400000003</v>
      </c>
      <c r="F83" s="40">
        <v>83.610950000000003</v>
      </c>
      <c r="G83" s="40">
        <v>8.25</v>
      </c>
      <c r="H83" s="40">
        <v>1755.221</v>
      </c>
      <c r="I83" s="40">
        <v>0</v>
      </c>
      <c r="J83" s="40">
        <v>53312.555390000001</v>
      </c>
      <c r="K83" s="40">
        <v>2008.9666999999999</v>
      </c>
      <c r="L83" s="40">
        <v>0</v>
      </c>
      <c r="M83" s="40">
        <v>0</v>
      </c>
      <c r="N83" s="40">
        <v>4261.8283000000001</v>
      </c>
      <c r="O83" s="41">
        <v>79744.238109999991</v>
      </c>
    </row>
    <row r="84" spans="1:15" s="16" customFormat="1" x14ac:dyDescent="0.25">
      <c r="A84" s="2" t="s">
        <v>90</v>
      </c>
      <c r="B84" s="40">
        <v>798.83987999999999</v>
      </c>
      <c r="C84" s="40">
        <v>182.39234999999999</v>
      </c>
      <c r="D84" s="40">
        <v>0</v>
      </c>
      <c r="E84" s="40">
        <v>161.48947000000001</v>
      </c>
      <c r="F84" s="40">
        <v>0</v>
      </c>
      <c r="G84" s="40">
        <v>0.2757</v>
      </c>
      <c r="H84" s="40">
        <v>31.65</v>
      </c>
      <c r="I84" s="40">
        <v>0</v>
      </c>
      <c r="J84" s="40">
        <v>2757.4159</v>
      </c>
      <c r="K84" s="40">
        <v>78.874600000000001</v>
      </c>
      <c r="L84" s="40">
        <v>0</v>
      </c>
      <c r="M84" s="40">
        <v>232.92482000000001</v>
      </c>
      <c r="N84" s="40">
        <v>398.77800000000002</v>
      </c>
      <c r="O84" s="41">
        <v>4642.6407200000003</v>
      </c>
    </row>
    <row r="85" spans="1:15" s="16" customFormat="1" x14ac:dyDescent="0.25">
      <c r="A85" s="2" t="s">
        <v>91</v>
      </c>
      <c r="B85" s="40">
        <v>2020.0746399999998</v>
      </c>
      <c r="C85" s="40">
        <v>785.32485999999994</v>
      </c>
      <c r="D85" s="40">
        <v>0</v>
      </c>
      <c r="E85" s="40">
        <v>221.09965</v>
      </c>
      <c r="F85" s="40">
        <v>0</v>
      </c>
      <c r="G85" s="40">
        <v>0.2</v>
      </c>
      <c r="H85" s="40">
        <v>151.51900000000001</v>
      </c>
      <c r="I85" s="40">
        <v>0</v>
      </c>
      <c r="J85" s="40">
        <v>2449.5772000000002</v>
      </c>
      <c r="K85" s="40">
        <v>90.554000000000002</v>
      </c>
      <c r="L85" s="40">
        <v>0</v>
      </c>
      <c r="M85" s="40">
        <v>153.87879000000001</v>
      </c>
      <c r="N85" s="40">
        <v>303.33350000000002</v>
      </c>
      <c r="O85" s="41">
        <v>6175.5616399999999</v>
      </c>
    </row>
    <row r="86" spans="1:15" s="16" customFormat="1" x14ac:dyDescent="0.25">
      <c r="A86" s="2" t="s">
        <v>92</v>
      </c>
      <c r="B86" s="40">
        <v>2390.6909799999999</v>
      </c>
      <c r="C86" s="40">
        <v>1698.3658300000002</v>
      </c>
      <c r="D86" s="40">
        <v>0</v>
      </c>
      <c r="E86" s="40">
        <v>1383.4676299999999</v>
      </c>
      <c r="F86" s="40">
        <v>17.70965</v>
      </c>
      <c r="G86" s="40">
        <v>102.69566</v>
      </c>
      <c r="H86" s="40">
        <v>2701.3735000000001</v>
      </c>
      <c r="I86" s="40">
        <v>0</v>
      </c>
      <c r="J86" s="40">
        <v>8490.3837800000001</v>
      </c>
      <c r="K86" s="40">
        <v>27.682200000000002</v>
      </c>
      <c r="L86" s="40">
        <v>0</v>
      </c>
      <c r="M86" s="40">
        <v>0</v>
      </c>
      <c r="N86" s="40">
        <v>723.81735000000003</v>
      </c>
      <c r="O86" s="41">
        <v>17536.186580000001</v>
      </c>
    </row>
    <row r="87" spans="1:15" s="16" customFormat="1" x14ac:dyDescent="0.25">
      <c r="A87" s="2" t="s">
        <v>93</v>
      </c>
      <c r="B87" s="40">
        <v>2212.9338499999999</v>
      </c>
      <c r="C87" s="40">
        <v>3463.5066000000002</v>
      </c>
      <c r="D87" s="40">
        <v>0</v>
      </c>
      <c r="E87" s="40">
        <v>966.55690000000004</v>
      </c>
      <c r="F87" s="40">
        <v>46.062849999999997</v>
      </c>
      <c r="G87" s="40">
        <v>43.729500000000002</v>
      </c>
      <c r="H87" s="40">
        <v>4130.4719999999998</v>
      </c>
      <c r="I87" s="40">
        <v>0</v>
      </c>
      <c r="J87" s="40">
        <v>7831.3044500000005</v>
      </c>
      <c r="K87" s="40">
        <v>322.39798999999999</v>
      </c>
      <c r="L87" s="40">
        <v>0</v>
      </c>
      <c r="M87" s="40">
        <v>0</v>
      </c>
      <c r="N87" s="40">
        <v>1715.2366999999999</v>
      </c>
      <c r="O87" s="41">
        <v>20732.200840000001</v>
      </c>
    </row>
    <row r="88" spans="1:15" s="16" customFormat="1" ht="12.75" customHeight="1" x14ac:dyDescent="0.25">
      <c r="A88" s="2" t="s">
        <v>94</v>
      </c>
      <c r="B88" s="40">
        <v>594.74973</v>
      </c>
      <c r="C88" s="40">
        <v>431.71256</v>
      </c>
      <c r="D88" s="40">
        <v>0</v>
      </c>
      <c r="E88" s="40">
        <v>96.632850000000005</v>
      </c>
      <c r="F88" s="40">
        <v>0</v>
      </c>
      <c r="G88" s="40">
        <v>0</v>
      </c>
      <c r="H88" s="40">
        <v>1282.3516999999999</v>
      </c>
      <c r="I88" s="40">
        <v>0</v>
      </c>
      <c r="J88" s="40">
        <v>4121.1131500000001</v>
      </c>
      <c r="K88" s="40">
        <v>105.2139</v>
      </c>
      <c r="L88" s="40">
        <v>25</v>
      </c>
      <c r="M88" s="40">
        <v>179.5959</v>
      </c>
      <c r="N88" s="40">
        <v>0</v>
      </c>
      <c r="O88" s="41">
        <v>6836.3697899999997</v>
      </c>
    </row>
    <row r="89" spans="1:15" s="16" customFormat="1" x14ac:dyDescent="0.25">
      <c r="A89" s="2" t="s">
        <v>95</v>
      </c>
      <c r="B89" s="40">
        <v>658.30018999999993</v>
      </c>
      <c r="C89" s="40">
        <v>2992.5506</v>
      </c>
      <c r="D89" s="40">
        <v>0</v>
      </c>
      <c r="E89" s="40">
        <v>444.62754999999999</v>
      </c>
      <c r="F89" s="40">
        <v>0</v>
      </c>
      <c r="G89" s="40">
        <v>312.33425</v>
      </c>
      <c r="H89" s="40">
        <v>0</v>
      </c>
      <c r="I89" s="40">
        <v>0</v>
      </c>
      <c r="J89" s="40">
        <v>14470.659210000002</v>
      </c>
      <c r="K89" s="40">
        <v>83.292029999999997</v>
      </c>
      <c r="L89" s="40">
        <v>50</v>
      </c>
      <c r="M89" s="40">
        <v>1E-3</v>
      </c>
      <c r="N89" s="40">
        <v>233.71504000000002</v>
      </c>
      <c r="O89" s="41">
        <v>19245.479870000003</v>
      </c>
    </row>
    <row r="90" spans="1:15" s="16" customFormat="1" x14ac:dyDescent="0.25">
      <c r="A90" s="2" t="s">
        <v>96</v>
      </c>
      <c r="B90" s="40">
        <v>725.20773999999994</v>
      </c>
      <c r="C90" s="40">
        <v>1500.7791200000001</v>
      </c>
      <c r="D90" s="40">
        <v>0</v>
      </c>
      <c r="E90" s="40">
        <v>422.32163000000003</v>
      </c>
      <c r="F90" s="40">
        <v>0</v>
      </c>
      <c r="G90" s="40">
        <v>0</v>
      </c>
      <c r="H90" s="40">
        <v>2961.2840000000001</v>
      </c>
      <c r="I90" s="40">
        <v>0</v>
      </c>
      <c r="J90" s="40">
        <v>8861.2807899999989</v>
      </c>
      <c r="K90" s="40">
        <v>0</v>
      </c>
      <c r="L90" s="40">
        <v>25</v>
      </c>
      <c r="M90" s="40">
        <v>1843.3038999999999</v>
      </c>
      <c r="N90" s="40">
        <v>0</v>
      </c>
      <c r="O90" s="41">
        <v>16339.177179999999</v>
      </c>
    </row>
    <row r="91" spans="1:15" s="16" customFormat="1" x14ac:dyDescent="0.25">
      <c r="A91" s="2" t="s">
        <v>97</v>
      </c>
      <c r="B91" s="40">
        <v>201.83807999999999</v>
      </c>
      <c r="C91" s="40">
        <v>2559.3964900000001</v>
      </c>
      <c r="D91" s="40">
        <v>0</v>
      </c>
      <c r="E91" s="40">
        <v>2301.1065600000002</v>
      </c>
      <c r="F91" s="40">
        <v>0</v>
      </c>
      <c r="G91" s="40">
        <v>230.7337</v>
      </c>
      <c r="H91" s="40">
        <v>3536.47127</v>
      </c>
      <c r="I91" s="40">
        <v>0</v>
      </c>
      <c r="J91" s="40">
        <v>18292.902850000002</v>
      </c>
      <c r="K91" s="40">
        <v>605.24123999999995</v>
      </c>
      <c r="L91" s="40">
        <v>0</v>
      </c>
      <c r="M91" s="40">
        <v>100</v>
      </c>
      <c r="N91" s="40">
        <v>1273.7503700000002</v>
      </c>
      <c r="O91" s="41">
        <v>29101.440560000003</v>
      </c>
    </row>
    <row r="92" spans="1:15" s="16" customFormat="1" ht="12.75" customHeight="1" x14ac:dyDescent="0.25">
      <c r="A92" s="2" t="s">
        <v>98</v>
      </c>
      <c r="B92" s="40">
        <v>242.75332999999998</v>
      </c>
      <c r="C92" s="40">
        <v>4527.5844000000006</v>
      </c>
      <c r="D92" s="40">
        <v>0</v>
      </c>
      <c r="E92" s="40">
        <v>2561.5709700000002</v>
      </c>
      <c r="F92" s="40">
        <v>19.35275</v>
      </c>
      <c r="G92" s="40">
        <v>0</v>
      </c>
      <c r="H92" s="40">
        <v>81.015000000000001</v>
      </c>
      <c r="I92" s="40">
        <v>0</v>
      </c>
      <c r="J92" s="40">
        <v>27077.015370000001</v>
      </c>
      <c r="K92" s="40">
        <v>1023.0134499999999</v>
      </c>
      <c r="L92" s="40">
        <v>20</v>
      </c>
      <c r="M92" s="40">
        <v>1264.02018</v>
      </c>
      <c r="N92" s="40">
        <v>395.74559999999997</v>
      </c>
      <c r="O92" s="41">
        <v>37212.071049999999</v>
      </c>
    </row>
    <row r="93" spans="1:15" s="16" customFormat="1" x14ac:dyDescent="0.25">
      <c r="A93" s="2" t="s">
        <v>99</v>
      </c>
      <c r="B93" s="40">
        <v>2175.3120299999996</v>
      </c>
      <c r="C93" s="40">
        <v>5222.0354100000004</v>
      </c>
      <c r="D93" s="40">
        <v>0</v>
      </c>
      <c r="E93" s="40">
        <v>1674.30645</v>
      </c>
      <c r="F93" s="40">
        <v>43.048199999999994</v>
      </c>
      <c r="G93" s="40">
        <v>0</v>
      </c>
      <c r="H93" s="40">
        <v>0</v>
      </c>
      <c r="I93" s="40">
        <v>0</v>
      </c>
      <c r="J93" s="40">
        <v>5046.3670700000002</v>
      </c>
      <c r="K93" s="40">
        <v>501.48565000000002</v>
      </c>
      <c r="L93" s="40">
        <v>0</v>
      </c>
      <c r="M93" s="40">
        <v>135.13739999999999</v>
      </c>
      <c r="N93" s="40">
        <v>56.818849999999998</v>
      </c>
      <c r="O93" s="41">
        <v>14854.511059999999</v>
      </c>
    </row>
    <row r="94" spans="1:15" s="16" customFormat="1" x14ac:dyDescent="0.25">
      <c r="A94" s="2" t="s">
        <v>590</v>
      </c>
      <c r="B94" s="40">
        <v>404.71978000000001</v>
      </c>
      <c r="C94" s="40">
        <v>3052.93822</v>
      </c>
      <c r="D94" s="40">
        <v>0</v>
      </c>
      <c r="E94" s="40">
        <v>1636.9673700000001</v>
      </c>
      <c r="F94" s="40">
        <v>14.6</v>
      </c>
      <c r="G94" s="40">
        <v>0</v>
      </c>
      <c r="H94" s="40">
        <v>0</v>
      </c>
      <c r="I94" s="40">
        <v>0</v>
      </c>
      <c r="J94" s="40">
        <v>12883.56702</v>
      </c>
      <c r="K94" s="40">
        <v>303.56340999999998</v>
      </c>
      <c r="L94" s="40">
        <v>0</v>
      </c>
      <c r="M94" s="40">
        <v>0</v>
      </c>
      <c r="N94" s="40">
        <v>2577.82089</v>
      </c>
      <c r="O94" s="41">
        <v>20874.17669</v>
      </c>
    </row>
    <row r="95" spans="1:15" s="16" customFormat="1" ht="12.75" customHeight="1" x14ac:dyDescent="0.25">
      <c r="A95" s="4" t="s">
        <v>22</v>
      </c>
      <c r="B95" s="40">
        <v>448.76754</v>
      </c>
      <c r="C95" s="40">
        <v>2623.0389500000001</v>
      </c>
      <c r="D95" s="40">
        <v>0</v>
      </c>
      <c r="E95" s="40">
        <v>785.83294999999998</v>
      </c>
      <c r="F95" s="40">
        <v>16</v>
      </c>
      <c r="G95" s="40">
        <v>0</v>
      </c>
      <c r="H95" s="40">
        <v>4299.7018200000002</v>
      </c>
      <c r="I95" s="40">
        <v>0</v>
      </c>
      <c r="J95" s="40">
        <v>13929.239019999999</v>
      </c>
      <c r="K95" s="40">
        <v>305.64078000000001</v>
      </c>
      <c r="L95" s="40">
        <v>0</v>
      </c>
      <c r="M95" s="40">
        <v>0</v>
      </c>
      <c r="N95" s="40">
        <v>1219.3763000000001</v>
      </c>
      <c r="O95" s="41">
        <v>23627.59736</v>
      </c>
    </row>
    <row r="96" spans="1:15" s="16" customFormat="1" x14ac:dyDescent="0.25">
      <c r="A96" s="2" t="s">
        <v>100</v>
      </c>
      <c r="B96" s="40">
        <v>-182.34184999999999</v>
      </c>
      <c r="C96" s="40">
        <v>2894.1265099999996</v>
      </c>
      <c r="D96" s="40">
        <v>0</v>
      </c>
      <c r="E96" s="40">
        <v>834.09269999999992</v>
      </c>
      <c r="F96" s="40">
        <v>0</v>
      </c>
      <c r="G96" s="40">
        <v>121.61425</v>
      </c>
      <c r="H96" s="40">
        <v>1698.9284</v>
      </c>
      <c r="I96" s="40">
        <v>0</v>
      </c>
      <c r="J96" s="40">
        <v>19481.189579999998</v>
      </c>
      <c r="K96" s="40">
        <v>772.44119999999998</v>
      </c>
      <c r="L96" s="40">
        <v>0</v>
      </c>
      <c r="M96" s="40">
        <v>514.46596</v>
      </c>
      <c r="N96" s="40">
        <v>1345.9573600000001</v>
      </c>
      <c r="O96" s="41">
        <v>27480.474110000003</v>
      </c>
    </row>
    <row r="97" spans="1:15" s="16" customFormat="1" ht="12.75" customHeight="1" x14ac:dyDescent="0.25">
      <c r="A97" s="2" t="s">
        <v>101</v>
      </c>
      <c r="B97" s="40">
        <v>1294.64257</v>
      </c>
      <c r="C97" s="40">
        <v>2508.91192</v>
      </c>
      <c r="D97" s="40">
        <v>0</v>
      </c>
      <c r="E97" s="40">
        <v>2262.7088399999998</v>
      </c>
      <c r="F97" s="40">
        <v>23.613610000000001</v>
      </c>
      <c r="G97" s="40">
        <v>0.2</v>
      </c>
      <c r="H97" s="40">
        <v>2002.31233</v>
      </c>
      <c r="I97" s="40">
        <v>0</v>
      </c>
      <c r="J97" s="40">
        <v>12573.67375</v>
      </c>
      <c r="K97" s="40">
        <v>116.27294999999999</v>
      </c>
      <c r="L97" s="40">
        <v>0</v>
      </c>
      <c r="M97" s="40">
        <v>0</v>
      </c>
      <c r="N97" s="40">
        <v>1729.5378999999998</v>
      </c>
      <c r="O97" s="41">
        <v>22511.873869999999</v>
      </c>
    </row>
    <row r="98" spans="1:15" s="16" customFormat="1" x14ac:dyDescent="0.25">
      <c r="A98" s="2" t="s">
        <v>23</v>
      </c>
      <c r="B98" s="40">
        <v>5543.26422</v>
      </c>
      <c r="C98" s="40">
        <v>7832.2686199999998</v>
      </c>
      <c r="D98" s="40">
        <v>7008.53125</v>
      </c>
      <c r="E98" s="40">
        <v>-5535.1758300000001</v>
      </c>
      <c r="F98" s="40">
        <v>0</v>
      </c>
      <c r="G98" s="40">
        <v>193.10995</v>
      </c>
      <c r="H98" s="40">
        <v>0</v>
      </c>
      <c r="I98" s="40">
        <v>0</v>
      </c>
      <c r="J98" s="40">
        <v>25016</v>
      </c>
      <c r="K98" s="40">
        <v>1378</v>
      </c>
      <c r="L98" s="40">
        <v>0</v>
      </c>
      <c r="M98" s="40">
        <v>0</v>
      </c>
      <c r="N98" s="40">
        <v>3579</v>
      </c>
      <c r="O98" s="41">
        <v>45014.998209999998</v>
      </c>
    </row>
    <row r="99" spans="1:15" s="16" customFormat="1" x14ac:dyDescent="0.25">
      <c r="A99" s="2" t="s">
        <v>102</v>
      </c>
      <c r="B99" s="40">
        <v>1761.14535</v>
      </c>
      <c r="C99" s="40">
        <v>2767.2863600000001</v>
      </c>
      <c r="D99" s="40">
        <v>0</v>
      </c>
      <c r="E99" s="40">
        <v>959.48275000000001</v>
      </c>
      <c r="F99" s="40">
        <v>20.177949999999999</v>
      </c>
      <c r="G99" s="40">
        <v>0</v>
      </c>
      <c r="H99" s="40">
        <v>0</v>
      </c>
      <c r="I99" s="40">
        <v>0</v>
      </c>
      <c r="J99" s="40">
        <v>22403.803920000002</v>
      </c>
      <c r="K99" s="40">
        <v>1538.1063999999999</v>
      </c>
      <c r="L99" s="40">
        <v>0</v>
      </c>
      <c r="M99" s="40">
        <v>1215.6571000000001</v>
      </c>
      <c r="N99" s="40">
        <v>1564.8033500000001</v>
      </c>
      <c r="O99" s="41">
        <v>32230.463180000006</v>
      </c>
    </row>
    <row r="100" spans="1:15" s="16" customFormat="1" x14ac:dyDescent="0.25">
      <c r="A100" s="2" t="s">
        <v>24</v>
      </c>
      <c r="B100" s="40">
        <v>868.39122999999995</v>
      </c>
      <c r="C100" s="40">
        <v>4801.0674600000002</v>
      </c>
      <c r="D100" s="40">
        <v>0</v>
      </c>
      <c r="E100" s="40">
        <v>1240.87825</v>
      </c>
      <c r="F100" s="40">
        <v>11.731450000000001</v>
      </c>
      <c r="G100" s="40">
        <v>19.1432</v>
      </c>
      <c r="H100" s="40">
        <v>1670</v>
      </c>
      <c r="I100" s="40">
        <v>0</v>
      </c>
      <c r="J100" s="40">
        <v>15082.51418</v>
      </c>
      <c r="K100" s="40">
        <v>173.18173999999999</v>
      </c>
      <c r="L100" s="40">
        <v>0</v>
      </c>
      <c r="M100" s="40">
        <v>292.00200000000001</v>
      </c>
      <c r="N100" s="40">
        <v>259.77055000000001</v>
      </c>
      <c r="O100" s="41">
        <v>24418.680060000002</v>
      </c>
    </row>
    <row r="101" spans="1:15" s="16" customFormat="1" x14ac:dyDescent="0.25">
      <c r="A101" s="3" t="s">
        <v>103</v>
      </c>
      <c r="B101" s="40">
        <v>2222.8673399999998</v>
      </c>
      <c r="C101" s="40">
        <v>2863.9266400000001</v>
      </c>
      <c r="D101" s="40">
        <v>0.14940000000000001</v>
      </c>
      <c r="E101" s="40">
        <v>2158.11123</v>
      </c>
      <c r="F101" s="40">
        <v>25.773499999999999</v>
      </c>
      <c r="G101" s="40">
        <v>214.81304999999998</v>
      </c>
      <c r="H101" s="40">
        <v>1E-3</v>
      </c>
      <c r="I101" s="40">
        <v>0</v>
      </c>
      <c r="J101" s="40">
        <v>19518.836609999998</v>
      </c>
      <c r="K101" s="40">
        <v>412.77090000000004</v>
      </c>
      <c r="L101" s="40">
        <v>0</v>
      </c>
      <c r="M101" s="40">
        <v>0.501</v>
      </c>
      <c r="N101" s="40">
        <v>2495.2017999999998</v>
      </c>
      <c r="O101" s="41">
        <v>29912.95247</v>
      </c>
    </row>
    <row r="102" spans="1:15" s="16" customFormat="1" x14ac:dyDescent="0.25">
      <c r="A102" s="2" t="s">
        <v>104</v>
      </c>
      <c r="B102" s="40">
        <v>1972.2038</v>
      </c>
      <c r="C102" s="40">
        <v>4356.4465300000002</v>
      </c>
      <c r="D102" s="40">
        <v>0</v>
      </c>
      <c r="E102" s="40">
        <v>3201.6270600000003</v>
      </c>
      <c r="F102" s="40">
        <v>35.207999999999998</v>
      </c>
      <c r="G102" s="40">
        <v>63.319050000000004</v>
      </c>
      <c r="H102" s="40">
        <v>1046.5266999999999</v>
      </c>
      <c r="I102" s="40">
        <v>0</v>
      </c>
      <c r="J102" s="40">
        <v>20809.975039999998</v>
      </c>
      <c r="K102" s="40">
        <v>975.49410999999998</v>
      </c>
      <c r="L102" s="40">
        <v>0</v>
      </c>
      <c r="M102" s="40">
        <v>16.100000000000001</v>
      </c>
      <c r="N102" s="40">
        <v>2171.1776</v>
      </c>
      <c r="O102" s="41">
        <v>34648.07789</v>
      </c>
    </row>
    <row r="103" spans="1:15" s="16" customFormat="1" x14ac:dyDescent="0.25">
      <c r="A103" s="2" t="s">
        <v>25</v>
      </c>
      <c r="B103" s="40">
        <v>5250.4938000000002</v>
      </c>
      <c r="C103" s="40">
        <v>4912.5289299999995</v>
      </c>
      <c r="D103" s="40">
        <v>4000.8666699999999</v>
      </c>
      <c r="E103" s="40">
        <v>744.39976000000001</v>
      </c>
      <c r="F103" s="40">
        <v>84.479789999999994</v>
      </c>
      <c r="G103" s="40">
        <v>0</v>
      </c>
      <c r="H103" s="40">
        <v>740.80684999999994</v>
      </c>
      <c r="I103" s="40">
        <v>0</v>
      </c>
      <c r="J103" s="40">
        <v>9348.9430700000012</v>
      </c>
      <c r="K103" s="40">
        <v>784.02742000000001</v>
      </c>
      <c r="L103" s="40">
        <v>0</v>
      </c>
      <c r="M103" s="40">
        <v>200</v>
      </c>
      <c r="N103" s="40">
        <v>409.12284999999997</v>
      </c>
      <c r="O103" s="41">
        <v>26475.669139999998</v>
      </c>
    </row>
    <row r="104" spans="1:15" s="16" customFormat="1" x14ac:dyDescent="0.25">
      <c r="A104" s="2" t="s">
        <v>105</v>
      </c>
      <c r="B104" s="40">
        <v>623.59577000000002</v>
      </c>
      <c r="C104" s="40">
        <v>2625.8101299999998</v>
      </c>
      <c r="D104" s="40">
        <v>7028.3833399999994</v>
      </c>
      <c r="E104" s="40">
        <v>2174.26188</v>
      </c>
      <c r="F104" s="40">
        <v>20</v>
      </c>
      <c r="G104" s="40">
        <v>874.84715000000006</v>
      </c>
      <c r="H104" s="40">
        <v>3488.0655999999999</v>
      </c>
      <c r="I104" s="40">
        <v>0</v>
      </c>
      <c r="J104" s="40">
        <v>21634.166239999999</v>
      </c>
      <c r="K104" s="40">
        <v>620.19858999999997</v>
      </c>
      <c r="L104" s="40">
        <v>0</v>
      </c>
      <c r="M104" s="40">
        <v>11</v>
      </c>
      <c r="N104" s="40">
        <v>871.37143000000003</v>
      </c>
      <c r="O104" s="41">
        <v>39971.700129999997</v>
      </c>
    </row>
    <row r="105" spans="1:15" s="16" customFormat="1" x14ac:dyDescent="0.25">
      <c r="A105" s="2" t="s">
        <v>106</v>
      </c>
      <c r="B105" s="40">
        <v>926.01049</v>
      </c>
      <c r="C105" s="40">
        <v>951.94043999999997</v>
      </c>
      <c r="D105" s="40">
        <v>0</v>
      </c>
      <c r="E105" s="40">
        <v>440.63109000000003</v>
      </c>
      <c r="F105" s="40">
        <v>12.6364</v>
      </c>
      <c r="G105" s="40">
        <v>11.3575</v>
      </c>
      <c r="H105" s="40">
        <v>51</v>
      </c>
      <c r="I105" s="40">
        <v>0</v>
      </c>
      <c r="J105" s="40">
        <v>6102.6525300000003</v>
      </c>
      <c r="K105" s="40">
        <v>689.55495999999994</v>
      </c>
      <c r="L105" s="40">
        <v>0</v>
      </c>
      <c r="M105" s="40">
        <v>0</v>
      </c>
      <c r="N105" s="40">
        <v>306.9803</v>
      </c>
      <c r="O105" s="41">
        <v>9492.7637099999993</v>
      </c>
    </row>
    <row r="106" spans="1:15" s="16" customFormat="1" x14ac:dyDescent="0.25">
      <c r="A106" s="2" t="s">
        <v>107</v>
      </c>
      <c r="B106" s="40">
        <v>1271.3783999999998</v>
      </c>
      <c r="C106" s="40">
        <v>1425.5030200000001</v>
      </c>
      <c r="D106" s="40">
        <v>0</v>
      </c>
      <c r="E106" s="40">
        <v>762.74623999999994</v>
      </c>
      <c r="F106" s="40">
        <v>97.437399999999997</v>
      </c>
      <c r="G106" s="40">
        <v>0.8</v>
      </c>
      <c r="H106" s="40">
        <v>62.311999999999998</v>
      </c>
      <c r="I106" s="40">
        <v>0</v>
      </c>
      <c r="J106" s="40">
        <v>8026.6884099999997</v>
      </c>
      <c r="K106" s="40">
        <v>598.4991</v>
      </c>
      <c r="L106" s="40">
        <v>0</v>
      </c>
      <c r="M106" s="40">
        <v>209.53100000000001</v>
      </c>
      <c r="N106" s="40">
        <v>188.55120000000002</v>
      </c>
      <c r="O106" s="41">
        <v>12643.446769999999</v>
      </c>
    </row>
    <row r="107" spans="1:15" s="16" customFormat="1" x14ac:dyDescent="0.25">
      <c r="A107" s="2" t="s">
        <v>108</v>
      </c>
      <c r="B107" s="40">
        <v>1351.1049399999999</v>
      </c>
      <c r="C107" s="40">
        <v>2403.1761800000004</v>
      </c>
      <c r="D107" s="40">
        <v>0</v>
      </c>
      <c r="E107" s="40">
        <v>1397.0913400000002</v>
      </c>
      <c r="F107" s="40">
        <v>0</v>
      </c>
      <c r="G107" s="40">
        <v>0</v>
      </c>
      <c r="H107" s="40">
        <v>0</v>
      </c>
      <c r="I107" s="40">
        <v>0</v>
      </c>
      <c r="J107" s="40">
        <v>12608.09562</v>
      </c>
      <c r="K107" s="40">
        <v>541.51668999999993</v>
      </c>
      <c r="L107" s="40">
        <v>0</v>
      </c>
      <c r="M107" s="40">
        <v>60</v>
      </c>
      <c r="N107" s="40">
        <v>1854.77045</v>
      </c>
      <c r="O107" s="41">
        <v>20215.755219999999</v>
      </c>
    </row>
    <row r="108" spans="1:15" s="16" customFormat="1" x14ac:dyDescent="0.25">
      <c r="A108" s="2" t="s">
        <v>109</v>
      </c>
      <c r="B108" s="40">
        <v>2181.5870299999997</v>
      </c>
      <c r="C108" s="40">
        <v>1537.33392</v>
      </c>
      <c r="D108" s="40">
        <v>0</v>
      </c>
      <c r="E108" s="40">
        <v>1241.9453100000001</v>
      </c>
      <c r="F108" s="40">
        <v>0</v>
      </c>
      <c r="G108" s="40">
        <v>39.099150000000002</v>
      </c>
      <c r="H108" s="40">
        <v>0</v>
      </c>
      <c r="I108" s="40">
        <v>0</v>
      </c>
      <c r="J108" s="40">
        <v>8845.7963900000013</v>
      </c>
      <c r="K108" s="40">
        <v>263.61171999999999</v>
      </c>
      <c r="L108" s="40">
        <v>0</v>
      </c>
      <c r="M108" s="40">
        <v>0</v>
      </c>
      <c r="N108" s="40">
        <v>187.85726</v>
      </c>
      <c r="O108" s="41">
        <v>14297.230780000002</v>
      </c>
    </row>
    <row r="109" spans="1:15" s="23" customFormat="1" ht="18" customHeight="1" x14ac:dyDescent="0.25">
      <c r="A109" s="17" t="s">
        <v>224</v>
      </c>
      <c r="B109" s="43">
        <v>360844.00856999983</v>
      </c>
      <c r="C109" s="43">
        <v>865119.6572699995</v>
      </c>
      <c r="D109" s="43">
        <v>182894.18182999999</v>
      </c>
      <c r="E109" s="43">
        <v>70680.303609999988</v>
      </c>
      <c r="F109" s="43">
        <v>2665.6569299999983</v>
      </c>
      <c r="G109" s="43">
        <v>44723.286829999983</v>
      </c>
      <c r="H109" s="43">
        <v>442177.50508999988</v>
      </c>
      <c r="I109" s="43">
        <v>32220.211569999999</v>
      </c>
      <c r="J109" s="43">
        <v>2308659.7444999991</v>
      </c>
      <c r="K109" s="43">
        <v>84184.621270000032</v>
      </c>
      <c r="L109" s="43">
        <v>22290.001700000004</v>
      </c>
      <c r="M109" s="43">
        <v>527696.46109999984</v>
      </c>
      <c r="N109" s="43">
        <v>289278.62180000002</v>
      </c>
      <c r="O109" s="43">
        <v>5233434.2620700011</v>
      </c>
    </row>
    <row r="110" spans="1:15" s="23" customFormat="1" ht="18" customHeight="1" x14ac:dyDescent="0.15">
      <c r="A110" s="23" t="s">
        <v>225</v>
      </c>
      <c r="B110" s="44"/>
      <c r="C110" s="44"/>
      <c r="D110" s="45"/>
      <c r="E110" s="44"/>
      <c r="F110" s="45"/>
      <c r="G110" s="44"/>
      <c r="H110" s="44"/>
      <c r="I110" s="44"/>
      <c r="J110" s="44"/>
      <c r="K110" s="44"/>
      <c r="L110" s="44"/>
      <c r="M110" s="44"/>
      <c r="N110" s="45"/>
      <c r="O110" s="44"/>
    </row>
    <row r="111" spans="1:15" x14ac:dyDescent="0.25">
      <c r="B111" s="16"/>
      <c r="C111" s="16"/>
      <c r="D111" s="16"/>
      <c r="E111" s="59"/>
      <c r="F111" s="16"/>
      <c r="G111" s="16"/>
      <c r="H111" s="16"/>
      <c r="I111" s="16"/>
      <c r="J111" s="16"/>
      <c r="K111" s="16"/>
      <c r="L111" s="16"/>
      <c r="M111" s="16"/>
      <c r="N111" s="16"/>
      <c r="O111" s="60"/>
    </row>
    <row r="112" spans="1:15" x14ac:dyDescent="0.25">
      <c r="B112" s="16"/>
      <c r="C112" s="16"/>
      <c r="D112" s="16"/>
      <c r="E112" s="59"/>
      <c r="F112" s="16"/>
      <c r="G112" s="16"/>
      <c r="H112" s="16"/>
      <c r="I112" s="16"/>
      <c r="J112" s="16"/>
      <c r="K112" s="16"/>
      <c r="L112" s="16"/>
      <c r="M112" s="16"/>
      <c r="N112" s="16"/>
      <c r="O112" s="60"/>
    </row>
    <row r="113" spans="2:15" x14ac:dyDescent="0.25">
      <c r="B113" s="16"/>
      <c r="C113" s="16"/>
      <c r="D113" s="16"/>
      <c r="E113" s="59"/>
      <c r="F113" s="16"/>
      <c r="G113" s="16"/>
      <c r="H113" s="16"/>
      <c r="I113" s="16"/>
      <c r="J113" s="16"/>
      <c r="K113" s="16"/>
      <c r="L113" s="16"/>
      <c r="M113" s="16"/>
      <c r="N113" s="16"/>
      <c r="O113" s="60"/>
    </row>
    <row r="114" spans="2:15" x14ac:dyDescent="0.25">
      <c r="B114" s="16"/>
      <c r="C114" s="16"/>
      <c r="D114" s="16"/>
      <c r="E114" s="59"/>
      <c r="F114" s="16"/>
      <c r="G114" s="16"/>
      <c r="H114" s="16"/>
      <c r="I114" s="16"/>
      <c r="J114" s="16"/>
      <c r="K114" s="16"/>
      <c r="L114" s="16"/>
      <c r="M114" s="16"/>
      <c r="N114" s="16"/>
      <c r="O114" s="60"/>
    </row>
    <row r="115" spans="2:15" x14ac:dyDescent="0.25">
      <c r="B115" s="16"/>
      <c r="C115" s="16"/>
      <c r="D115" s="16"/>
      <c r="E115" s="59"/>
      <c r="F115" s="16"/>
      <c r="G115" s="16"/>
      <c r="H115" s="16"/>
      <c r="I115" s="16"/>
      <c r="J115" s="16"/>
      <c r="K115" s="16"/>
      <c r="L115" s="16"/>
      <c r="M115" s="16"/>
      <c r="N115" s="16"/>
      <c r="O115" s="60"/>
    </row>
    <row r="116" spans="2:15" x14ac:dyDescent="0.25">
      <c r="B116" s="16"/>
      <c r="C116" s="16"/>
      <c r="D116" s="16"/>
      <c r="E116" s="59"/>
      <c r="F116" s="16"/>
      <c r="G116" s="16"/>
      <c r="H116" s="16"/>
      <c r="I116" s="16"/>
      <c r="J116" s="16"/>
      <c r="K116" s="16"/>
      <c r="L116" s="16"/>
      <c r="M116" s="16"/>
      <c r="N116" s="16"/>
      <c r="O116" s="60"/>
    </row>
    <row r="117" spans="2:15" x14ac:dyDescent="0.25">
      <c r="B117" s="16"/>
      <c r="C117" s="16"/>
      <c r="D117" s="16"/>
      <c r="E117" s="59"/>
      <c r="F117" s="16"/>
      <c r="G117" s="16"/>
      <c r="H117" s="16"/>
      <c r="I117" s="16"/>
      <c r="J117" s="16"/>
      <c r="K117" s="16"/>
      <c r="L117" s="16"/>
      <c r="M117" s="16"/>
      <c r="N117" s="16"/>
      <c r="O117" s="60"/>
    </row>
    <row r="118" spans="2:15" x14ac:dyDescent="0.25">
      <c r="B118" s="16"/>
      <c r="C118" s="16"/>
      <c r="D118" s="16"/>
      <c r="E118" s="59"/>
      <c r="F118" s="16"/>
      <c r="G118" s="16"/>
      <c r="H118" s="16"/>
      <c r="I118" s="16"/>
      <c r="J118" s="16"/>
      <c r="K118" s="16"/>
      <c r="L118" s="16"/>
      <c r="M118" s="16"/>
      <c r="N118" s="16"/>
      <c r="O118" s="60"/>
    </row>
    <row r="119" spans="2:15" x14ac:dyDescent="0.25">
      <c r="B119" s="16"/>
      <c r="C119" s="16"/>
      <c r="D119" s="16"/>
      <c r="E119" s="59"/>
      <c r="F119" s="16"/>
      <c r="G119" s="16"/>
      <c r="H119" s="16"/>
      <c r="I119" s="16"/>
      <c r="J119" s="16"/>
      <c r="K119" s="16"/>
      <c r="L119" s="16"/>
      <c r="M119" s="16"/>
      <c r="N119" s="16"/>
      <c r="O119" s="60"/>
    </row>
    <row r="120" spans="2:15" x14ac:dyDescent="0.25">
      <c r="B120" s="16"/>
      <c r="C120" s="16"/>
      <c r="D120" s="16"/>
      <c r="E120" s="59"/>
      <c r="F120" s="16"/>
      <c r="G120" s="16"/>
      <c r="H120" s="16"/>
      <c r="I120" s="16"/>
      <c r="J120" s="16"/>
      <c r="K120" s="16"/>
      <c r="L120" s="16"/>
      <c r="M120" s="16"/>
      <c r="N120" s="16"/>
      <c r="O120" s="60"/>
    </row>
    <row r="121" spans="2:15" x14ac:dyDescent="0.25">
      <c r="B121" s="16"/>
      <c r="C121" s="16"/>
      <c r="D121" s="16"/>
      <c r="E121" s="59"/>
      <c r="F121" s="16"/>
      <c r="G121" s="16"/>
      <c r="H121" s="16"/>
      <c r="I121" s="16"/>
      <c r="J121" s="16"/>
      <c r="K121" s="16"/>
      <c r="L121" s="16"/>
      <c r="M121" s="16"/>
      <c r="N121" s="16"/>
      <c r="O121" s="60"/>
    </row>
    <row r="122" spans="2:15" x14ac:dyDescent="0.25">
      <c r="B122" s="16"/>
      <c r="C122" s="16"/>
      <c r="D122" s="16"/>
      <c r="E122" s="59"/>
      <c r="F122" s="16"/>
      <c r="G122" s="16"/>
      <c r="H122" s="16"/>
      <c r="I122" s="16"/>
      <c r="J122" s="16"/>
      <c r="K122" s="16"/>
      <c r="L122" s="16"/>
      <c r="M122" s="16"/>
      <c r="N122" s="16"/>
      <c r="O122" s="60"/>
    </row>
    <row r="123" spans="2:15" x14ac:dyDescent="0.25">
      <c r="B123" s="16"/>
      <c r="C123" s="16"/>
      <c r="D123" s="16"/>
      <c r="E123" s="59"/>
      <c r="F123" s="16"/>
      <c r="G123" s="16"/>
      <c r="H123" s="16"/>
      <c r="I123" s="16"/>
      <c r="J123" s="16"/>
      <c r="K123" s="16"/>
      <c r="L123" s="16"/>
      <c r="M123" s="16"/>
      <c r="N123" s="16"/>
      <c r="O123" s="60"/>
    </row>
    <row r="124" spans="2:15" x14ac:dyDescent="0.25">
      <c r="B124" s="16"/>
      <c r="C124" s="16"/>
      <c r="D124" s="16"/>
      <c r="E124" s="59"/>
      <c r="F124" s="16"/>
      <c r="G124" s="16"/>
      <c r="H124" s="16"/>
      <c r="I124" s="16"/>
      <c r="J124" s="16"/>
      <c r="K124" s="16"/>
      <c r="L124" s="16"/>
      <c r="M124" s="16"/>
      <c r="N124" s="16"/>
      <c r="O124" s="60"/>
    </row>
    <row r="125" spans="2:15" x14ac:dyDescent="0.25">
      <c r="B125" s="16"/>
      <c r="C125" s="16"/>
      <c r="D125" s="16"/>
      <c r="E125" s="59"/>
      <c r="F125" s="16"/>
      <c r="G125" s="16"/>
      <c r="H125" s="16"/>
      <c r="I125" s="16"/>
      <c r="J125" s="16"/>
      <c r="K125" s="16"/>
      <c r="L125" s="16"/>
      <c r="M125" s="16"/>
      <c r="N125" s="16"/>
      <c r="O125" s="60"/>
    </row>
    <row r="126" spans="2:15" x14ac:dyDescent="0.25">
      <c r="B126" s="16"/>
      <c r="C126" s="16"/>
      <c r="D126" s="16"/>
      <c r="E126" s="59"/>
      <c r="F126" s="16"/>
      <c r="G126" s="16"/>
      <c r="H126" s="16"/>
      <c r="I126" s="16"/>
      <c r="J126" s="16"/>
      <c r="K126" s="16"/>
      <c r="L126" s="16"/>
      <c r="M126" s="16"/>
      <c r="N126" s="16"/>
      <c r="O126" s="60"/>
    </row>
    <row r="127" spans="2:15" x14ac:dyDescent="0.25">
      <c r="B127" s="16"/>
      <c r="C127" s="16"/>
      <c r="D127" s="16"/>
      <c r="E127" s="59"/>
      <c r="F127" s="16"/>
      <c r="G127" s="16"/>
      <c r="H127" s="16"/>
      <c r="I127" s="16"/>
      <c r="J127" s="16"/>
      <c r="K127" s="16"/>
      <c r="L127" s="16"/>
      <c r="M127" s="16"/>
      <c r="N127" s="16"/>
      <c r="O127" s="60"/>
    </row>
    <row r="128" spans="2:15" x14ac:dyDescent="0.25">
      <c r="B128" s="16"/>
      <c r="C128" s="16"/>
      <c r="D128" s="16"/>
      <c r="E128" s="59"/>
      <c r="F128" s="16"/>
      <c r="G128" s="16"/>
      <c r="H128" s="16"/>
      <c r="I128" s="16"/>
      <c r="J128" s="16"/>
      <c r="K128" s="16"/>
      <c r="L128" s="16"/>
      <c r="M128" s="16"/>
      <c r="N128" s="16"/>
      <c r="O128" s="60"/>
    </row>
    <row r="129" spans="2:15" x14ac:dyDescent="0.25">
      <c r="B129" s="16"/>
      <c r="C129" s="16"/>
      <c r="D129" s="16"/>
      <c r="E129" s="59"/>
      <c r="F129" s="16"/>
      <c r="G129" s="16"/>
      <c r="H129" s="16"/>
      <c r="I129" s="16"/>
      <c r="J129" s="16"/>
      <c r="K129" s="16"/>
      <c r="L129" s="16"/>
      <c r="M129" s="16"/>
      <c r="N129" s="16"/>
      <c r="O129" s="60"/>
    </row>
    <row r="130" spans="2:15" x14ac:dyDescent="0.25">
      <c r="B130" s="16"/>
      <c r="C130" s="16"/>
      <c r="D130" s="16"/>
      <c r="E130" s="59"/>
      <c r="F130" s="16"/>
      <c r="G130" s="16"/>
      <c r="H130" s="16"/>
      <c r="I130" s="16"/>
      <c r="J130" s="16"/>
      <c r="K130" s="16"/>
      <c r="L130" s="16"/>
      <c r="M130" s="16"/>
      <c r="N130" s="16"/>
      <c r="O130" s="60"/>
    </row>
    <row r="131" spans="2:15" x14ac:dyDescent="0.25">
      <c r="B131" s="16"/>
      <c r="C131" s="16"/>
      <c r="D131" s="16"/>
      <c r="E131" s="59"/>
      <c r="F131" s="16"/>
      <c r="G131" s="16"/>
      <c r="H131" s="16"/>
      <c r="I131" s="16"/>
      <c r="J131" s="16"/>
      <c r="K131" s="16"/>
      <c r="L131" s="16"/>
      <c r="M131" s="16"/>
      <c r="N131" s="16"/>
      <c r="O131" s="60"/>
    </row>
    <row r="132" spans="2:15" x14ac:dyDescent="0.25">
      <c r="B132" s="16"/>
      <c r="C132" s="16"/>
      <c r="D132" s="16"/>
      <c r="E132" s="59"/>
      <c r="F132" s="16"/>
      <c r="G132" s="16"/>
      <c r="H132" s="16"/>
      <c r="I132" s="16"/>
      <c r="J132" s="16"/>
      <c r="K132" s="16"/>
      <c r="L132" s="16"/>
      <c r="M132" s="16"/>
      <c r="N132" s="16"/>
      <c r="O132" s="60"/>
    </row>
    <row r="133" spans="2:15" x14ac:dyDescent="0.25">
      <c r="B133" s="16"/>
      <c r="C133" s="16"/>
      <c r="D133" s="16"/>
      <c r="E133" s="59"/>
      <c r="F133" s="16"/>
      <c r="G133" s="16"/>
      <c r="H133" s="16"/>
      <c r="I133" s="16"/>
      <c r="J133" s="16"/>
      <c r="K133" s="16"/>
      <c r="L133" s="16"/>
      <c r="M133" s="16"/>
      <c r="N133" s="16"/>
      <c r="O133" s="60"/>
    </row>
    <row r="134" spans="2:15" x14ac:dyDescent="0.25">
      <c r="B134" s="16"/>
      <c r="C134" s="16"/>
      <c r="D134" s="16"/>
      <c r="E134" s="59"/>
      <c r="F134" s="16"/>
      <c r="G134" s="16"/>
      <c r="H134" s="16"/>
      <c r="I134" s="16"/>
      <c r="J134" s="16"/>
      <c r="K134" s="16"/>
      <c r="L134" s="16"/>
      <c r="M134" s="16"/>
      <c r="N134" s="16"/>
      <c r="O134" s="60"/>
    </row>
    <row r="135" spans="2:15" x14ac:dyDescent="0.25">
      <c r="B135" s="16"/>
      <c r="C135" s="16"/>
      <c r="D135" s="16"/>
      <c r="E135" s="59"/>
      <c r="F135" s="16"/>
      <c r="G135" s="16"/>
      <c r="H135" s="16"/>
      <c r="I135" s="16"/>
      <c r="J135" s="16"/>
      <c r="K135" s="16"/>
      <c r="L135" s="16"/>
      <c r="M135" s="16"/>
      <c r="N135" s="16"/>
      <c r="O135" s="60"/>
    </row>
    <row r="136" spans="2:15" x14ac:dyDescent="0.25">
      <c r="B136" s="16"/>
      <c r="C136" s="16"/>
      <c r="D136" s="16"/>
      <c r="E136" s="59"/>
      <c r="F136" s="16"/>
      <c r="G136" s="16"/>
      <c r="H136" s="16"/>
      <c r="I136" s="16"/>
      <c r="J136" s="16"/>
      <c r="K136" s="16"/>
      <c r="L136" s="16"/>
      <c r="M136" s="16"/>
      <c r="N136" s="16"/>
      <c r="O136" s="60"/>
    </row>
    <row r="137" spans="2:15" x14ac:dyDescent="0.25">
      <c r="B137" s="16"/>
      <c r="C137" s="16"/>
      <c r="D137" s="16"/>
      <c r="E137" s="59"/>
      <c r="F137" s="16"/>
      <c r="G137" s="16"/>
      <c r="H137" s="16"/>
      <c r="I137" s="16"/>
      <c r="J137" s="16"/>
      <c r="K137" s="16"/>
      <c r="L137" s="16"/>
      <c r="M137" s="16"/>
      <c r="N137" s="16"/>
      <c r="O137" s="60"/>
    </row>
    <row r="138" spans="2:15" x14ac:dyDescent="0.25">
      <c r="B138" s="16"/>
      <c r="C138" s="16"/>
      <c r="D138" s="16"/>
      <c r="E138" s="59"/>
      <c r="F138" s="16"/>
      <c r="G138" s="16"/>
      <c r="H138" s="16"/>
      <c r="I138" s="16"/>
      <c r="J138" s="16"/>
      <c r="K138" s="16"/>
      <c r="L138" s="16"/>
      <c r="M138" s="16"/>
      <c r="N138" s="16"/>
      <c r="O138" s="60"/>
    </row>
    <row r="139" spans="2:15" x14ac:dyDescent="0.25">
      <c r="B139" s="16"/>
      <c r="C139" s="16"/>
      <c r="D139" s="16"/>
      <c r="E139" s="59"/>
      <c r="F139" s="16"/>
      <c r="G139" s="16"/>
      <c r="H139" s="16"/>
      <c r="I139" s="16"/>
      <c r="J139" s="16"/>
      <c r="K139" s="16"/>
      <c r="L139" s="16"/>
      <c r="M139" s="16"/>
      <c r="N139" s="16"/>
      <c r="O139" s="60"/>
    </row>
    <row r="140" spans="2:15" x14ac:dyDescent="0.25">
      <c r="B140" s="16"/>
      <c r="C140" s="16"/>
      <c r="D140" s="16"/>
      <c r="E140" s="59"/>
      <c r="F140" s="16"/>
      <c r="G140" s="16"/>
      <c r="H140" s="16"/>
      <c r="I140" s="16"/>
      <c r="J140" s="16"/>
      <c r="K140" s="16"/>
      <c r="L140" s="16"/>
      <c r="M140" s="16"/>
      <c r="N140" s="16"/>
      <c r="O140" s="60"/>
    </row>
    <row r="141" spans="2:15" x14ac:dyDescent="0.25">
      <c r="B141" s="16"/>
      <c r="C141" s="16"/>
      <c r="D141" s="16"/>
      <c r="E141" s="59"/>
      <c r="F141" s="16"/>
      <c r="G141" s="16"/>
      <c r="H141" s="16"/>
      <c r="I141" s="16"/>
      <c r="J141" s="16"/>
      <c r="K141" s="16"/>
      <c r="L141" s="16"/>
      <c r="M141" s="16"/>
      <c r="N141" s="16"/>
      <c r="O141" s="60"/>
    </row>
    <row r="142" spans="2:15" x14ac:dyDescent="0.25">
      <c r="B142" s="16"/>
      <c r="C142" s="16"/>
      <c r="D142" s="16"/>
      <c r="E142" s="59"/>
      <c r="F142" s="16"/>
      <c r="G142" s="16"/>
      <c r="H142" s="16"/>
      <c r="I142" s="16"/>
      <c r="J142" s="16"/>
      <c r="K142" s="16"/>
      <c r="L142" s="16"/>
      <c r="M142" s="16"/>
      <c r="N142" s="16"/>
      <c r="O142" s="60"/>
    </row>
    <row r="143" spans="2:15" x14ac:dyDescent="0.25">
      <c r="B143" s="16"/>
      <c r="C143" s="16"/>
      <c r="D143" s="16"/>
      <c r="E143" s="59"/>
      <c r="F143" s="16"/>
      <c r="G143" s="16"/>
      <c r="H143" s="16"/>
      <c r="I143" s="16"/>
      <c r="J143" s="16"/>
      <c r="K143" s="16"/>
      <c r="L143" s="16"/>
      <c r="M143" s="16"/>
      <c r="N143" s="16"/>
      <c r="O143" s="60"/>
    </row>
    <row r="144" spans="2:15" x14ac:dyDescent="0.25">
      <c r="B144" s="16"/>
      <c r="C144" s="16"/>
      <c r="D144" s="16"/>
      <c r="E144" s="59"/>
      <c r="F144" s="16"/>
      <c r="G144" s="16"/>
      <c r="H144" s="16"/>
      <c r="I144" s="16"/>
      <c r="J144" s="16"/>
      <c r="K144" s="16"/>
      <c r="L144" s="16"/>
      <c r="M144" s="16"/>
      <c r="N144" s="16"/>
      <c r="O144" s="60"/>
    </row>
    <row r="145" spans="2:15" x14ac:dyDescent="0.25">
      <c r="B145" s="16"/>
      <c r="C145" s="16"/>
      <c r="D145" s="16"/>
      <c r="E145" s="59"/>
      <c r="F145" s="16"/>
      <c r="G145" s="16"/>
      <c r="H145" s="16"/>
      <c r="I145" s="16"/>
      <c r="J145" s="16"/>
      <c r="K145" s="16"/>
      <c r="L145" s="16"/>
      <c r="M145" s="16"/>
      <c r="N145" s="16"/>
      <c r="O145" s="60"/>
    </row>
    <row r="146" spans="2:15" x14ac:dyDescent="0.25">
      <c r="B146" s="16"/>
      <c r="C146" s="16"/>
      <c r="D146" s="16"/>
      <c r="E146" s="59"/>
      <c r="F146" s="16"/>
      <c r="G146" s="16"/>
      <c r="H146" s="16"/>
      <c r="I146" s="16"/>
      <c r="J146" s="16"/>
      <c r="K146" s="16"/>
      <c r="L146" s="16"/>
      <c r="M146" s="16"/>
      <c r="N146" s="16"/>
      <c r="O146" s="60"/>
    </row>
    <row r="147" spans="2:15" x14ac:dyDescent="0.25">
      <c r="B147" s="16"/>
      <c r="C147" s="16"/>
      <c r="D147" s="16"/>
      <c r="E147" s="59"/>
      <c r="F147" s="16"/>
      <c r="G147" s="16"/>
      <c r="H147" s="16"/>
      <c r="I147" s="16"/>
      <c r="J147" s="16"/>
      <c r="K147" s="16"/>
      <c r="L147" s="16"/>
      <c r="M147" s="16"/>
      <c r="N147" s="16"/>
      <c r="O147" s="60"/>
    </row>
    <row r="148" spans="2:15" x14ac:dyDescent="0.25">
      <c r="B148" s="16"/>
      <c r="C148" s="16"/>
      <c r="D148" s="16"/>
      <c r="E148" s="59"/>
      <c r="F148" s="16"/>
      <c r="G148" s="16"/>
      <c r="H148" s="16"/>
      <c r="I148" s="16"/>
      <c r="J148" s="16"/>
      <c r="K148" s="16"/>
      <c r="L148" s="16"/>
      <c r="M148" s="16"/>
      <c r="N148" s="16"/>
      <c r="O148" s="60"/>
    </row>
    <row r="149" spans="2:15" x14ac:dyDescent="0.25">
      <c r="B149" s="16"/>
      <c r="C149" s="16"/>
      <c r="D149" s="16"/>
      <c r="E149" s="59"/>
      <c r="F149" s="16"/>
      <c r="G149" s="16"/>
      <c r="H149" s="16"/>
      <c r="I149" s="16"/>
      <c r="J149" s="16"/>
      <c r="K149" s="16"/>
      <c r="L149" s="16"/>
      <c r="M149" s="16"/>
      <c r="N149" s="16"/>
      <c r="O149" s="60"/>
    </row>
    <row r="150" spans="2:15" x14ac:dyDescent="0.25">
      <c r="B150" s="16"/>
      <c r="C150" s="16"/>
      <c r="D150" s="16"/>
      <c r="E150" s="59"/>
      <c r="F150" s="16"/>
      <c r="G150" s="16"/>
      <c r="H150" s="16"/>
      <c r="I150" s="16"/>
      <c r="J150" s="16"/>
      <c r="K150" s="16"/>
      <c r="L150" s="16"/>
      <c r="M150" s="16"/>
      <c r="N150" s="16"/>
      <c r="O150" s="60"/>
    </row>
    <row r="151" spans="2:15" x14ac:dyDescent="0.25">
      <c r="B151" s="16"/>
      <c r="C151" s="16"/>
      <c r="D151" s="16"/>
      <c r="E151" s="59"/>
      <c r="F151" s="16"/>
      <c r="G151" s="16"/>
      <c r="H151" s="16"/>
      <c r="I151" s="16"/>
      <c r="J151" s="16"/>
      <c r="K151" s="16"/>
      <c r="L151" s="16"/>
      <c r="M151" s="16"/>
      <c r="N151" s="16"/>
      <c r="O151" s="60"/>
    </row>
    <row r="152" spans="2:15" x14ac:dyDescent="0.25">
      <c r="B152" s="16"/>
      <c r="C152" s="16"/>
      <c r="D152" s="16"/>
      <c r="E152" s="59"/>
      <c r="F152" s="16"/>
      <c r="G152" s="16"/>
      <c r="H152" s="16"/>
      <c r="I152" s="16"/>
      <c r="J152" s="16"/>
      <c r="K152" s="16"/>
      <c r="L152" s="16"/>
      <c r="M152" s="16"/>
      <c r="N152" s="16"/>
      <c r="O152" s="60"/>
    </row>
    <row r="153" spans="2:15" x14ac:dyDescent="0.25">
      <c r="B153" s="16"/>
      <c r="C153" s="16"/>
      <c r="D153" s="16"/>
      <c r="E153" s="59"/>
      <c r="F153" s="16"/>
      <c r="G153" s="16"/>
      <c r="H153" s="16"/>
      <c r="I153" s="16"/>
      <c r="J153" s="16"/>
      <c r="K153" s="16"/>
      <c r="L153" s="16"/>
      <c r="M153" s="16"/>
      <c r="N153" s="16"/>
      <c r="O153" s="60"/>
    </row>
    <row r="154" spans="2:15" x14ac:dyDescent="0.25">
      <c r="B154" s="16"/>
      <c r="C154" s="16"/>
      <c r="D154" s="16"/>
      <c r="E154" s="59"/>
      <c r="F154" s="16"/>
      <c r="G154" s="16"/>
      <c r="H154" s="16"/>
      <c r="I154" s="16"/>
      <c r="J154" s="16"/>
      <c r="K154" s="16"/>
      <c r="L154" s="16"/>
      <c r="M154" s="16"/>
      <c r="N154" s="16"/>
      <c r="O154" s="60"/>
    </row>
    <row r="155" spans="2:15" x14ac:dyDescent="0.25">
      <c r="B155" s="16"/>
      <c r="C155" s="16"/>
      <c r="D155" s="16"/>
      <c r="E155" s="59"/>
      <c r="F155" s="16"/>
      <c r="G155" s="16"/>
      <c r="H155" s="16"/>
      <c r="I155" s="16"/>
      <c r="J155" s="16"/>
      <c r="K155" s="16"/>
      <c r="L155" s="16"/>
      <c r="M155" s="16"/>
      <c r="N155" s="16"/>
      <c r="O155" s="60"/>
    </row>
    <row r="156" spans="2:15" x14ac:dyDescent="0.25">
      <c r="B156" s="16"/>
      <c r="C156" s="16"/>
      <c r="D156" s="16"/>
      <c r="E156" s="59"/>
      <c r="F156" s="16"/>
      <c r="G156" s="16"/>
      <c r="H156" s="16"/>
      <c r="I156" s="16"/>
      <c r="J156" s="16"/>
      <c r="K156" s="16"/>
      <c r="L156" s="16"/>
      <c r="M156" s="16"/>
      <c r="N156" s="16"/>
      <c r="O156" s="60"/>
    </row>
    <row r="157" spans="2:15" x14ac:dyDescent="0.25">
      <c r="B157" s="16"/>
      <c r="C157" s="16"/>
      <c r="D157" s="16"/>
      <c r="E157" s="59"/>
      <c r="F157" s="16"/>
      <c r="G157" s="16"/>
      <c r="H157" s="16"/>
      <c r="I157" s="16"/>
      <c r="J157" s="16"/>
      <c r="K157" s="16"/>
      <c r="L157" s="16"/>
      <c r="M157" s="16"/>
      <c r="N157" s="16"/>
      <c r="O157" s="60"/>
    </row>
    <row r="158" spans="2:15" x14ac:dyDescent="0.25">
      <c r="B158" s="16"/>
      <c r="C158" s="16"/>
      <c r="D158" s="16"/>
      <c r="E158" s="59"/>
      <c r="F158" s="16"/>
      <c r="G158" s="16"/>
      <c r="H158" s="16"/>
      <c r="I158" s="16"/>
      <c r="J158" s="16"/>
      <c r="K158" s="16"/>
      <c r="L158" s="16"/>
      <c r="M158" s="16"/>
      <c r="N158" s="16"/>
      <c r="O158" s="60"/>
    </row>
    <row r="159" spans="2:15" x14ac:dyDescent="0.25">
      <c r="B159" s="16"/>
      <c r="C159" s="16"/>
      <c r="D159" s="16"/>
      <c r="E159" s="59"/>
      <c r="F159" s="16"/>
      <c r="G159" s="16"/>
      <c r="H159" s="16"/>
      <c r="I159" s="16"/>
      <c r="J159" s="16"/>
      <c r="K159" s="16"/>
      <c r="L159" s="16"/>
      <c r="M159" s="16"/>
      <c r="N159" s="16"/>
      <c r="O159" s="60"/>
    </row>
    <row r="160" spans="2:15" x14ac:dyDescent="0.25">
      <c r="B160" s="16"/>
      <c r="C160" s="16"/>
      <c r="D160" s="16"/>
      <c r="E160" s="59"/>
      <c r="F160" s="16"/>
      <c r="G160" s="16"/>
      <c r="H160" s="16"/>
      <c r="I160" s="16"/>
      <c r="J160" s="16"/>
      <c r="K160" s="16"/>
      <c r="L160" s="16"/>
      <c r="M160" s="16"/>
      <c r="N160" s="16"/>
      <c r="O160" s="60"/>
    </row>
    <row r="161" spans="2:15" x14ac:dyDescent="0.25">
      <c r="B161" s="16"/>
      <c r="C161" s="16"/>
      <c r="D161" s="16"/>
      <c r="E161" s="59"/>
      <c r="F161" s="16"/>
      <c r="G161" s="16"/>
      <c r="H161" s="16"/>
      <c r="I161" s="16"/>
      <c r="J161" s="16"/>
      <c r="K161" s="16"/>
      <c r="L161" s="16"/>
      <c r="M161" s="16"/>
      <c r="N161" s="16"/>
      <c r="O161" s="60"/>
    </row>
    <row r="162" spans="2:15" x14ac:dyDescent="0.25">
      <c r="B162" s="16"/>
      <c r="C162" s="16"/>
      <c r="D162" s="16"/>
      <c r="E162" s="59"/>
      <c r="F162" s="16"/>
      <c r="G162" s="16"/>
      <c r="H162" s="16"/>
      <c r="I162" s="16"/>
      <c r="J162" s="16"/>
      <c r="K162" s="16"/>
      <c r="L162" s="16"/>
      <c r="M162" s="16"/>
      <c r="N162" s="16"/>
      <c r="O162" s="60"/>
    </row>
    <row r="163" spans="2:15" x14ac:dyDescent="0.25">
      <c r="B163" s="16"/>
      <c r="C163" s="16"/>
      <c r="D163" s="16"/>
      <c r="E163" s="59"/>
      <c r="F163" s="16"/>
      <c r="G163" s="16"/>
      <c r="H163" s="16"/>
      <c r="I163" s="16"/>
      <c r="J163" s="16"/>
      <c r="K163" s="16"/>
      <c r="L163" s="16"/>
      <c r="M163" s="16"/>
      <c r="N163" s="16"/>
      <c r="O163" s="60"/>
    </row>
    <row r="164" spans="2:15" x14ac:dyDescent="0.25">
      <c r="B164" s="16"/>
      <c r="C164" s="16"/>
      <c r="D164" s="16"/>
      <c r="E164" s="59"/>
      <c r="F164" s="16"/>
      <c r="G164" s="16"/>
      <c r="H164" s="16"/>
      <c r="I164" s="16"/>
      <c r="J164" s="16"/>
      <c r="K164" s="16"/>
      <c r="L164" s="16"/>
      <c r="M164" s="16"/>
      <c r="N164" s="16"/>
      <c r="O164" s="60"/>
    </row>
    <row r="165" spans="2:15" x14ac:dyDescent="0.25">
      <c r="B165" s="16"/>
      <c r="C165" s="16"/>
      <c r="D165" s="16"/>
      <c r="E165" s="59"/>
      <c r="F165" s="16"/>
      <c r="G165" s="16"/>
      <c r="H165" s="16"/>
      <c r="I165" s="16"/>
      <c r="J165" s="16"/>
      <c r="K165" s="16"/>
      <c r="L165" s="16"/>
      <c r="M165" s="16"/>
      <c r="N165" s="16"/>
      <c r="O165" s="60"/>
    </row>
    <row r="166" spans="2:15" x14ac:dyDescent="0.25">
      <c r="B166" s="16"/>
      <c r="C166" s="16"/>
      <c r="D166" s="16"/>
      <c r="E166" s="59"/>
      <c r="F166" s="16"/>
      <c r="G166" s="16"/>
      <c r="H166" s="16"/>
      <c r="I166" s="16"/>
      <c r="J166" s="16"/>
      <c r="K166" s="16"/>
      <c r="L166" s="16"/>
      <c r="M166" s="16"/>
      <c r="N166" s="16"/>
      <c r="O166" s="60"/>
    </row>
    <row r="167" spans="2:15" x14ac:dyDescent="0.25">
      <c r="B167" s="16"/>
      <c r="C167" s="16"/>
      <c r="D167" s="16"/>
      <c r="E167" s="59"/>
      <c r="F167" s="16"/>
      <c r="G167" s="16"/>
      <c r="H167" s="16"/>
      <c r="I167" s="16"/>
      <c r="J167" s="16"/>
      <c r="K167" s="16"/>
      <c r="L167" s="16"/>
      <c r="M167" s="16"/>
      <c r="N167" s="16"/>
      <c r="O167" s="60"/>
    </row>
    <row r="168" spans="2:15" x14ac:dyDescent="0.25">
      <c r="B168" s="16"/>
      <c r="C168" s="16"/>
      <c r="D168" s="16"/>
      <c r="E168" s="59"/>
      <c r="F168" s="16"/>
      <c r="G168" s="16"/>
      <c r="H168" s="16"/>
      <c r="I168" s="16"/>
      <c r="J168" s="16"/>
      <c r="K168" s="16"/>
      <c r="L168" s="16"/>
      <c r="M168" s="16"/>
      <c r="N168" s="16"/>
      <c r="O168" s="60"/>
    </row>
    <row r="169" spans="2:15" x14ac:dyDescent="0.25">
      <c r="B169" s="16"/>
      <c r="C169" s="16"/>
      <c r="D169" s="16"/>
      <c r="E169" s="59"/>
      <c r="F169" s="16"/>
      <c r="G169" s="16"/>
      <c r="H169" s="16"/>
      <c r="I169" s="16"/>
      <c r="J169" s="16"/>
      <c r="K169" s="16"/>
      <c r="L169" s="16"/>
      <c r="M169" s="16"/>
      <c r="N169" s="16"/>
      <c r="O169" s="60"/>
    </row>
    <row r="170" spans="2:15" x14ac:dyDescent="0.25">
      <c r="B170" s="16"/>
      <c r="C170" s="16"/>
      <c r="D170" s="16"/>
      <c r="E170" s="59"/>
      <c r="F170" s="16"/>
      <c r="G170" s="16"/>
      <c r="H170" s="16"/>
      <c r="I170" s="16"/>
      <c r="J170" s="16"/>
      <c r="K170" s="16"/>
      <c r="L170" s="16"/>
      <c r="M170" s="16"/>
      <c r="N170" s="16"/>
      <c r="O170" s="60"/>
    </row>
    <row r="171" spans="2:15" x14ac:dyDescent="0.25">
      <c r="B171" s="16"/>
      <c r="C171" s="16"/>
      <c r="D171" s="16"/>
      <c r="E171" s="59"/>
      <c r="F171" s="16"/>
      <c r="G171" s="16"/>
      <c r="H171" s="16"/>
      <c r="I171" s="16"/>
      <c r="J171" s="16"/>
      <c r="K171" s="16"/>
      <c r="L171" s="16"/>
      <c r="M171" s="16"/>
      <c r="N171" s="16"/>
      <c r="O171" s="60"/>
    </row>
    <row r="172" spans="2:15" x14ac:dyDescent="0.25">
      <c r="B172" s="16"/>
      <c r="C172" s="16"/>
      <c r="D172" s="16"/>
      <c r="E172" s="59"/>
      <c r="F172" s="16"/>
      <c r="G172" s="16"/>
      <c r="H172" s="16"/>
      <c r="I172" s="16"/>
      <c r="J172" s="16"/>
      <c r="K172" s="16"/>
      <c r="L172" s="16"/>
      <c r="M172" s="16"/>
      <c r="N172" s="16"/>
      <c r="O172" s="60"/>
    </row>
    <row r="173" spans="2:15" x14ac:dyDescent="0.25">
      <c r="B173" s="16"/>
      <c r="C173" s="16"/>
      <c r="D173" s="16"/>
      <c r="E173" s="59"/>
      <c r="F173" s="16"/>
      <c r="G173" s="16"/>
      <c r="H173" s="16"/>
      <c r="I173" s="16"/>
      <c r="J173" s="16"/>
      <c r="K173" s="16"/>
      <c r="L173" s="16"/>
      <c r="M173" s="16"/>
      <c r="N173" s="16"/>
      <c r="O173" s="60"/>
    </row>
    <row r="174" spans="2:15" x14ac:dyDescent="0.25">
      <c r="B174" s="16"/>
      <c r="C174" s="16"/>
      <c r="D174" s="16"/>
      <c r="E174" s="59"/>
      <c r="F174" s="16"/>
      <c r="G174" s="16"/>
      <c r="H174" s="16"/>
      <c r="I174" s="16"/>
      <c r="J174" s="16"/>
      <c r="K174" s="16"/>
      <c r="L174" s="16"/>
      <c r="M174" s="16"/>
      <c r="N174" s="16"/>
      <c r="O174" s="60"/>
    </row>
    <row r="175" spans="2:15" x14ac:dyDescent="0.25">
      <c r="B175" s="16"/>
      <c r="C175" s="16"/>
      <c r="D175" s="16"/>
      <c r="E175" s="59"/>
      <c r="F175" s="16"/>
      <c r="G175" s="16"/>
      <c r="H175" s="16"/>
      <c r="I175" s="16"/>
      <c r="J175" s="16"/>
      <c r="K175" s="16"/>
      <c r="L175" s="16"/>
      <c r="M175" s="16"/>
      <c r="N175" s="16"/>
      <c r="O175" s="60"/>
    </row>
    <row r="176" spans="2:15" x14ac:dyDescent="0.25">
      <c r="B176" s="16"/>
      <c r="C176" s="16"/>
      <c r="D176" s="16"/>
      <c r="E176" s="59"/>
      <c r="F176" s="16"/>
      <c r="G176" s="16"/>
      <c r="H176" s="16"/>
      <c r="I176" s="16"/>
      <c r="J176" s="16"/>
      <c r="K176" s="16"/>
      <c r="L176" s="16"/>
      <c r="M176" s="16"/>
      <c r="N176" s="16"/>
      <c r="O176" s="60"/>
    </row>
    <row r="177" spans="2:15" x14ac:dyDescent="0.25">
      <c r="B177" s="16"/>
      <c r="C177" s="16"/>
      <c r="D177" s="16"/>
      <c r="E177" s="59"/>
      <c r="F177" s="16"/>
      <c r="G177" s="16"/>
      <c r="H177" s="16"/>
      <c r="I177" s="16"/>
      <c r="J177" s="16"/>
      <c r="K177" s="16"/>
      <c r="L177" s="16"/>
      <c r="M177" s="16"/>
      <c r="N177" s="16"/>
      <c r="O177" s="60"/>
    </row>
    <row r="178" spans="2:15" x14ac:dyDescent="0.25">
      <c r="B178" s="16"/>
      <c r="C178" s="16"/>
      <c r="D178" s="16"/>
      <c r="E178" s="59"/>
      <c r="F178" s="16"/>
      <c r="G178" s="16"/>
      <c r="H178" s="16"/>
      <c r="I178" s="16"/>
      <c r="J178" s="16"/>
      <c r="K178" s="16"/>
      <c r="L178" s="16"/>
      <c r="M178" s="16"/>
      <c r="N178" s="16"/>
      <c r="O178" s="60"/>
    </row>
    <row r="179" spans="2:15" x14ac:dyDescent="0.25">
      <c r="B179" s="16"/>
      <c r="C179" s="16"/>
      <c r="D179" s="16"/>
      <c r="E179" s="59"/>
      <c r="F179" s="16"/>
      <c r="G179" s="16"/>
      <c r="H179" s="16"/>
      <c r="I179" s="16"/>
      <c r="J179" s="16"/>
      <c r="K179" s="16"/>
      <c r="L179" s="16"/>
      <c r="M179" s="16"/>
      <c r="N179" s="16"/>
      <c r="O179" s="60"/>
    </row>
    <row r="180" spans="2:15" x14ac:dyDescent="0.25">
      <c r="B180" s="16"/>
      <c r="C180" s="16"/>
      <c r="D180" s="16"/>
      <c r="E180" s="59"/>
      <c r="F180" s="16"/>
      <c r="G180" s="16"/>
      <c r="H180" s="16"/>
      <c r="I180" s="16"/>
      <c r="J180" s="16"/>
      <c r="K180" s="16"/>
      <c r="L180" s="16"/>
      <c r="M180" s="16"/>
      <c r="N180" s="16"/>
      <c r="O180" s="60"/>
    </row>
    <row r="181" spans="2:15" x14ac:dyDescent="0.25">
      <c r="B181" s="16"/>
      <c r="C181" s="16"/>
      <c r="D181" s="16"/>
      <c r="E181" s="59"/>
      <c r="F181" s="16"/>
      <c r="G181" s="16"/>
      <c r="H181" s="16"/>
      <c r="I181" s="16"/>
      <c r="J181" s="16"/>
      <c r="K181" s="16"/>
      <c r="L181" s="16"/>
      <c r="M181" s="16"/>
      <c r="N181" s="16"/>
      <c r="O181" s="60"/>
    </row>
    <row r="182" spans="2:15" x14ac:dyDescent="0.25">
      <c r="B182" s="16"/>
      <c r="C182" s="16"/>
      <c r="D182" s="16"/>
      <c r="E182" s="59"/>
      <c r="F182" s="16"/>
      <c r="G182" s="16"/>
      <c r="H182" s="16"/>
      <c r="I182" s="16"/>
      <c r="J182" s="16"/>
      <c r="K182" s="16"/>
      <c r="L182" s="16"/>
      <c r="M182" s="16"/>
      <c r="N182" s="16"/>
      <c r="O182" s="60"/>
    </row>
    <row r="183" spans="2:15" x14ac:dyDescent="0.25">
      <c r="B183" s="16"/>
      <c r="C183" s="16"/>
      <c r="D183" s="16"/>
      <c r="E183" s="59"/>
      <c r="F183" s="16"/>
      <c r="G183" s="16"/>
      <c r="H183" s="16"/>
      <c r="I183" s="16"/>
      <c r="J183" s="16"/>
      <c r="K183" s="16"/>
      <c r="L183" s="16"/>
      <c r="M183" s="16"/>
      <c r="N183" s="16"/>
      <c r="O183" s="60"/>
    </row>
    <row r="184" spans="2:15" x14ac:dyDescent="0.25">
      <c r="B184" s="16"/>
      <c r="C184" s="16"/>
      <c r="D184" s="16"/>
      <c r="E184" s="59"/>
      <c r="F184" s="16"/>
      <c r="G184" s="16"/>
      <c r="H184" s="16"/>
      <c r="I184" s="16"/>
      <c r="J184" s="16"/>
      <c r="K184" s="16"/>
      <c r="L184" s="16"/>
      <c r="M184" s="16"/>
      <c r="N184" s="16"/>
      <c r="O184" s="60"/>
    </row>
    <row r="185" spans="2:15" x14ac:dyDescent="0.25">
      <c r="B185" s="16"/>
      <c r="C185" s="16"/>
      <c r="D185" s="16"/>
      <c r="E185" s="59"/>
      <c r="F185" s="16"/>
      <c r="G185" s="16"/>
      <c r="H185" s="16"/>
      <c r="I185" s="16"/>
      <c r="J185" s="16"/>
      <c r="K185" s="16"/>
      <c r="L185" s="16"/>
      <c r="M185" s="16"/>
      <c r="N185" s="16"/>
      <c r="O185" s="60"/>
    </row>
    <row r="186" spans="2:15" x14ac:dyDescent="0.25">
      <c r="B186" s="16"/>
      <c r="C186" s="16"/>
      <c r="D186" s="16"/>
      <c r="E186" s="59"/>
      <c r="F186" s="16"/>
      <c r="G186" s="16"/>
      <c r="H186" s="16"/>
      <c r="I186" s="16"/>
      <c r="J186" s="16"/>
      <c r="K186" s="16"/>
      <c r="L186" s="16"/>
      <c r="M186" s="16"/>
      <c r="N186" s="16"/>
      <c r="O186" s="60"/>
    </row>
    <row r="187" spans="2:15" x14ac:dyDescent="0.25">
      <c r="B187" s="16"/>
      <c r="C187" s="16"/>
      <c r="D187" s="16"/>
      <c r="E187" s="59"/>
      <c r="F187" s="16"/>
      <c r="G187" s="16"/>
      <c r="H187" s="16"/>
      <c r="I187" s="16"/>
      <c r="J187" s="16"/>
      <c r="K187" s="16"/>
      <c r="L187" s="16"/>
      <c r="M187" s="16"/>
      <c r="N187" s="16"/>
      <c r="O187" s="60"/>
    </row>
    <row r="188" spans="2:15" x14ac:dyDescent="0.25">
      <c r="B188" s="16"/>
      <c r="C188" s="16"/>
      <c r="D188" s="16"/>
      <c r="E188" s="59"/>
      <c r="F188" s="16"/>
      <c r="G188" s="16"/>
      <c r="H188" s="16"/>
      <c r="I188" s="16"/>
      <c r="J188" s="16"/>
      <c r="K188" s="16"/>
      <c r="L188" s="16"/>
      <c r="M188" s="16"/>
      <c r="N188" s="16"/>
      <c r="O188" s="60"/>
    </row>
    <row r="189" spans="2:15" x14ac:dyDescent="0.25">
      <c r="B189" s="16"/>
      <c r="C189" s="16"/>
      <c r="D189" s="16"/>
      <c r="E189" s="59"/>
      <c r="F189" s="16"/>
      <c r="G189" s="16"/>
      <c r="H189" s="16"/>
      <c r="I189" s="16"/>
      <c r="J189" s="16"/>
      <c r="K189" s="16"/>
      <c r="L189" s="16"/>
      <c r="M189" s="16"/>
      <c r="N189" s="16"/>
      <c r="O189" s="60"/>
    </row>
    <row r="190" spans="2:15" x14ac:dyDescent="0.25">
      <c r="B190" s="16"/>
      <c r="C190" s="16"/>
      <c r="D190" s="16"/>
      <c r="E190" s="59"/>
      <c r="F190" s="16"/>
      <c r="G190" s="16"/>
      <c r="H190" s="16"/>
      <c r="I190" s="16"/>
      <c r="J190" s="16"/>
      <c r="K190" s="16"/>
      <c r="L190" s="16"/>
      <c r="M190" s="16"/>
      <c r="N190" s="16"/>
      <c r="O190" s="60"/>
    </row>
    <row r="191" spans="2:15" x14ac:dyDescent="0.25">
      <c r="B191" s="16"/>
      <c r="C191" s="16"/>
      <c r="D191" s="16"/>
      <c r="E191" s="59"/>
      <c r="F191" s="16"/>
      <c r="G191" s="16"/>
      <c r="H191" s="16"/>
      <c r="I191" s="16"/>
      <c r="J191" s="16"/>
      <c r="K191" s="16"/>
      <c r="L191" s="16"/>
      <c r="M191" s="16"/>
      <c r="N191" s="16"/>
      <c r="O191" s="60"/>
    </row>
    <row r="192" spans="2:15" x14ac:dyDescent="0.25">
      <c r="B192" s="16"/>
      <c r="C192" s="16"/>
      <c r="D192" s="16"/>
      <c r="E192" s="59"/>
      <c r="F192" s="16"/>
      <c r="G192" s="16"/>
      <c r="H192" s="16"/>
      <c r="I192" s="16"/>
      <c r="J192" s="16"/>
      <c r="K192" s="16"/>
      <c r="L192" s="16"/>
      <c r="M192" s="16"/>
      <c r="N192" s="16"/>
      <c r="O192" s="60"/>
    </row>
    <row r="193" spans="2:15" x14ac:dyDescent="0.25">
      <c r="B193" s="16"/>
      <c r="C193" s="16"/>
      <c r="D193" s="16"/>
      <c r="E193" s="59"/>
      <c r="F193" s="16"/>
      <c r="G193" s="16"/>
      <c r="H193" s="16"/>
      <c r="I193" s="16"/>
      <c r="J193" s="16"/>
      <c r="K193" s="16"/>
      <c r="L193" s="16"/>
      <c r="M193" s="16"/>
      <c r="N193" s="16"/>
      <c r="O193" s="60"/>
    </row>
    <row r="194" spans="2:15" x14ac:dyDescent="0.25">
      <c r="B194" s="16"/>
      <c r="C194" s="16"/>
      <c r="D194" s="16"/>
      <c r="E194" s="59"/>
      <c r="F194" s="16"/>
      <c r="G194" s="16"/>
      <c r="H194" s="16"/>
      <c r="I194" s="16"/>
      <c r="J194" s="16"/>
      <c r="K194" s="16"/>
      <c r="L194" s="16"/>
      <c r="M194" s="16"/>
      <c r="N194" s="16"/>
      <c r="O194" s="60"/>
    </row>
    <row r="195" spans="2:15" x14ac:dyDescent="0.25">
      <c r="B195" s="16"/>
      <c r="C195" s="16"/>
      <c r="D195" s="16"/>
      <c r="E195" s="59"/>
      <c r="F195" s="16"/>
      <c r="G195" s="16"/>
      <c r="H195" s="16"/>
      <c r="I195" s="16"/>
      <c r="J195" s="16"/>
      <c r="K195" s="16"/>
      <c r="L195" s="16"/>
      <c r="M195" s="16"/>
      <c r="N195" s="16"/>
      <c r="O195" s="60"/>
    </row>
    <row r="196" spans="2:15" x14ac:dyDescent="0.25">
      <c r="B196" s="16"/>
      <c r="C196" s="16"/>
      <c r="D196" s="16"/>
      <c r="E196" s="59"/>
      <c r="F196" s="16"/>
      <c r="G196" s="16"/>
      <c r="H196" s="16"/>
      <c r="I196" s="16"/>
      <c r="J196" s="16"/>
      <c r="K196" s="16"/>
      <c r="L196" s="16"/>
      <c r="M196" s="16"/>
      <c r="N196" s="16"/>
      <c r="O196" s="60"/>
    </row>
    <row r="197" spans="2:15" x14ac:dyDescent="0.25">
      <c r="B197" s="16"/>
      <c r="C197" s="16"/>
      <c r="D197" s="16"/>
      <c r="E197" s="59"/>
      <c r="F197" s="16"/>
      <c r="G197" s="16"/>
      <c r="H197" s="16"/>
      <c r="I197" s="16"/>
      <c r="J197" s="16"/>
      <c r="K197" s="16"/>
      <c r="L197" s="16"/>
      <c r="M197" s="16"/>
      <c r="N197" s="16"/>
      <c r="O197" s="60"/>
    </row>
    <row r="198" spans="2:15" x14ac:dyDescent="0.25">
      <c r="B198" s="16"/>
      <c r="C198" s="16"/>
      <c r="D198" s="16"/>
      <c r="E198" s="59"/>
      <c r="F198" s="16"/>
      <c r="G198" s="16"/>
      <c r="H198" s="16"/>
      <c r="I198" s="16"/>
      <c r="J198" s="16"/>
      <c r="K198" s="16"/>
      <c r="L198" s="16"/>
      <c r="M198" s="16"/>
      <c r="N198" s="16"/>
      <c r="O198" s="60"/>
    </row>
    <row r="199" spans="2:15" x14ac:dyDescent="0.25">
      <c r="B199" s="16"/>
      <c r="C199" s="16"/>
      <c r="D199" s="16"/>
      <c r="E199" s="59"/>
      <c r="F199" s="16"/>
      <c r="G199" s="16"/>
      <c r="H199" s="16"/>
      <c r="I199" s="16"/>
      <c r="J199" s="16"/>
      <c r="K199" s="16"/>
      <c r="L199" s="16"/>
      <c r="M199" s="16"/>
      <c r="N199" s="16"/>
      <c r="O199" s="60"/>
    </row>
    <row r="200" spans="2:15" x14ac:dyDescent="0.25">
      <c r="B200" s="16"/>
      <c r="C200" s="16"/>
      <c r="D200" s="16"/>
      <c r="E200" s="59"/>
      <c r="F200" s="16"/>
      <c r="G200" s="16"/>
      <c r="H200" s="16"/>
      <c r="I200" s="16"/>
      <c r="J200" s="16"/>
      <c r="K200" s="16"/>
      <c r="L200" s="16"/>
      <c r="M200" s="16"/>
      <c r="N200" s="16"/>
      <c r="O200" s="60"/>
    </row>
    <row r="201" spans="2:15" x14ac:dyDescent="0.25">
      <c r="B201" s="16"/>
      <c r="C201" s="16"/>
      <c r="D201" s="16"/>
      <c r="E201" s="59"/>
      <c r="F201" s="16"/>
      <c r="G201" s="16"/>
      <c r="H201" s="16"/>
      <c r="I201" s="16"/>
      <c r="J201" s="16"/>
      <c r="K201" s="16"/>
      <c r="L201" s="16"/>
      <c r="M201" s="16"/>
      <c r="N201" s="16"/>
      <c r="O201" s="60"/>
    </row>
    <row r="202" spans="2:15" x14ac:dyDescent="0.25">
      <c r="B202" s="16"/>
      <c r="C202" s="16"/>
      <c r="D202" s="16"/>
      <c r="E202" s="59"/>
      <c r="F202" s="16"/>
      <c r="G202" s="16"/>
      <c r="H202" s="16"/>
      <c r="I202" s="16"/>
      <c r="J202" s="16"/>
      <c r="K202" s="16"/>
      <c r="L202" s="16"/>
      <c r="M202" s="16"/>
      <c r="N202" s="16"/>
      <c r="O202" s="60"/>
    </row>
    <row r="203" spans="2:15" x14ac:dyDescent="0.25">
      <c r="B203" s="16"/>
      <c r="C203" s="16"/>
      <c r="D203" s="16"/>
      <c r="E203" s="59"/>
      <c r="F203" s="16"/>
      <c r="G203" s="16"/>
      <c r="H203" s="16"/>
      <c r="I203" s="16"/>
      <c r="J203" s="16"/>
      <c r="K203" s="16"/>
      <c r="L203" s="16"/>
      <c r="M203" s="16"/>
      <c r="N203" s="16"/>
      <c r="O203" s="60"/>
    </row>
    <row r="204" spans="2:15" x14ac:dyDescent="0.25">
      <c r="B204" s="16"/>
      <c r="C204" s="16"/>
      <c r="D204" s="16"/>
      <c r="E204" s="59"/>
      <c r="F204" s="16"/>
      <c r="G204" s="16"/>
      <c r="H204" s="16"/>
      <c r="I204" s="16"/>
      <c r="J204" s="16"/>
      <c r="K204" s="16"/>
      <c r="L204" s="16"/>
      <c r="M204" s="16"/>
      <c r="N204" s="16"/>
      <c r="O204" s="60"/>
    </row>
    <row r="205" spans="2:15" x14ac:dyDescent="0.25">
      <c r="B205" s="16"/>
      <c r="C205" s="16"/>
      <c r="D205" s="16"/>
      <c r="E205" s="59"/>
      <c r="F205" s="16"/>
      <c r="G205" s="16"/>
      <c r="H205" s="16"/>
      <c r="I205" s="16"/>
      <c r="J205" s="16"/>
      <c r="K205" s="16"/>
      <c r="L205" s="16"/>
      <c r="M205" s="16"/>
      <c r="N205" s="16"/>
      <c r="O205" s="60"/>
    </row>
    <row r="206" spans="2:15" x14ac:dyDescent="0.25">
      <c r="B206" s="16"/>
      <c r="C206" s="16"/>
      <c r="D206" s="16"/>
      <c r="E206" s="59"/>
      <c r="F206" s="16"/>
      <c r="G206" s="16"/>
      <c r="H206" s="16"/>
      <c r="I206" s="16"/>
      <c r="J206" s="16"/>
      <c r="K206" s="16"/>
      <c r="L206" s="16"/>
      <c r="M206" s="16"/>
      <c r="N206" s="16"/>
      <c r="O206" s="60"/>
    </row>
    <row r="207" spans="2:15" x14ac:dyDescent="0.25">
      <c r="B207" s="16"/>
      <c r="C207" s="16"/>
      <c r="D207" s="16"/>
      <c r="E207" s="59"/>
      <c r="F207" s="16"/>
      <c r="G207" s="16"/>
      <c r="H207" s="16"/>
      <c r="I207" s="16"/>
      <c r="J207" s="16"/>
      <c r="K207" s="16"/>
      <c r="L207" s="16"/>
      <c r="M207" s="16"/>
      <c r="N207" s="16"/>
      <c r="O207" s="60"/>
    </row>
    <row r="208" spans="2:15" x14ac:dyDescent="0.25">
      <c r="B208" s="16"/>
      <c r="C208" s="16"/>
      <c r="D208" s="16"/>
      <c r="E208" s="59"/>
      <c r="F208" s="16"/>
      <c r="G208" s="16"/>
      <c r="H208" s="16"/>
      <c r="I208" s="16"/>
      <c r="J208" s="16"/>
      <c r="K208" s="16"/>
      <c r="L208" s="16"/>
      <c r="M208" s="16"/>
      <c r="N208" s="16"/>
      <c r="O208" s="60"/>
    </row>
    <row r="209" spans="2:15" x14ac:dyDescent="0.25">
      <c r="B209" s="16"/>
      <c r="C209" s="16"/>
      <c r="D209" s="16"/>
      <c r="E209" s="59"/>
      <c r="F209" s="16"/>
      <c r="G209" s="16"/>
      <c r="H209" s="16"/>
      <c r="I209" s="16"/>
      <c r="J209" s="16"/>
      <c r="K209" s="16"/>
      <c r="L209" s="16"/>
      <c r="M209" s="16"/>
      <c r="N209" s="16"/>
      <c r="O209" s="60"/>
    </row>
    <row r="210" spans="2:15" x14ac:dyDescent="0.25">
      <c r="B210" s="16"/>
      <c r="C210" s="16"/>
      <c r="D210" s="16"/>
      <c r="E210" s="59"/>
      <c r="F210" s="16"/>
      <c r="G210" s="16"/>
      <c r="H210" s="16"/>
      <c r="I210" s="16"/>
      <c r="J210" s="16"/>
      <c r="K210" s="16"/>
      <c r="L210" s="16"/>
      <c r="M210" s="16"/>
      <c r="N210" s="16"/>
      <c r="O210" s="60"/>
    </row>
    <row r="211" spans="2:15" x14ac:dyDescent="0.25">
      <c r="B211" s="16"/>
      <c r="C211" s="16"/>
      <c r="D211" s="16"/>
      <c r="E211" s="59"/>
      <c r="F211" s="16"/>
      <c r="G211" s="16"/>
      <c r="H211" s="16"/>
      <c r="I211" s="16"/>
      <c r="J211" s="16"/>
      <c r="K211" s="16"/>
      <c r="L211" s="16"/>
      <c r="M211" s="16"/>
      <c r="N211" s="16"/>
      <c r="O211" s="60"/>
    </row>
    <row r="212" spans="2:15" x14ac:dyDescent="0.25">
      <c r="B212" s="16"/>
      <c r="C212" s="16"/>
      <c r="D212" s="16"/>
      <c r="E212" s="59"/>
      <c r="F212" s="16"/>
      <c r="G212" s="16"/>
      <c r="H212" s="16"/>
      <c r="I212" s="16"/>
      <c r="J212" s="16"/>
      <c r="K212" s="16"/>
      <c r="L212" s="16"/>
      <c r="M212" s="16"/>
      <c r="N212" s="16"/>
      <c r="O212" s="60"/>
    </row>
    <row r="213" spans="2:15" x14ac:dyDescent="0.25">
      <c r="B213" s="16"/>
      <c r="C213" s="16"/>
      <c r="D213" s="16"/>
      <c r="E213" s="59"/>
      <c r="F213" s="16"/>
      <c r="G213" s="16"/>
      <c r="H213" s="16"/>
      <c r="I213" s="16"/>
      <c r="J213" s="16"/>
      <c r="K213" s="16"/>
      <c r="L213" s="16"/>
      <c r="M213" s="16"/>
      <c r="N213" s="16"/>
      <c r="O213" s="60"/>
    </row>
    <row r="214" spans="2:15" x14ac:dyDescent="0.25">
      <c r="B214" s="16"/>
      <c r="C214" s="16"/>
      <c r="D214" s="16"/>
      <c r="E214" s="59"/>
      <c r="F214" s="16"/>
      <c r="G214" s="16"/>
      <c r="H214" s="16"/>
      <c r="I214" s="16"/>
      <c r="J214" s="16"/>
      <c r="K214" s="16"/>
      <c r="L214" s="16"/>
      <c r="M214" s="16"/>
      <c r="N214" s="16"/>
      <c r="O214" s="60"/>
    </row>
  </sheetData>
  <printOptions horizontalCentered="1"/>
  <pageMargins left="0.70866141732283472" right="0.70866141732283472" top="0.55118110236220474" bottom="0.35433070866141736" header="0.31496062992125984" footer="3.937007874015748E-2"/>
  <pageSetup paperSize="9" firstPageNumber="65" orientation="landscape" useFirstPageNumber="1" horizontalDpi="1200" verticalDpi="1200" r:id="rId1"/>
  <headerFooter>
    <oddFooter>&amp;C&amp;"Arial Narrow,Corsivo"&amp;7- pagina &amp;P -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214"/>
  <sheetViews>
    <sheetView zoomScale="150" zoomScaleNormal="150" workbookViewId="0">
      <pane ySplit="2" topLeftCell="A91" activePane="bottomLeft" state="frozenSplit"/>
      <selection pane="bottomLeft" activeCell="A109" sqref="A109"/>
    </sheetView>
  </sheetViews>
  <sheetFormatPr defaultRowHeight="13.5" x14ac:dyDescent="0.25"/>
  <cols>
    <col min="1" max="1" width="14.85546875" style="16" customWidth="1"/>
    <col min="2" max="3" width="8.42578125" style="51" customWidth="1"/>
    <col min="4" max="5" width="8.42578125" style="61" customWidth="1"/>
    <col min="6" max="12" width="8.42578125" style="51" customWidth="1"/>
    <col min="13" max="13" width="10.7109375" style="62" customWidth="1"/>
    <col min="14" max="15" width="9.140625" style="51"/>
    <col min="16" max="16" width="3" style="51" customWidth="1"/>
    <col min="17" max="254" width="9.140625" style="51"/>
    <col min="255" max="255" width="14.85546875" style="51" customWidth="1"/>
    <col min="256" max="266" width="7.5703125" style="51" customWidth="1"/>
    <col min="267" max="267" width="9.28515625" style="51" customWidth="1"/>
    <col min="268" max="268" width="13.140625" style="51" customWidth="1"/>
    <col min="269" max="271" width="9.140625" style="51"/>
    <col min="272" max="272" width="3" style="51" customWidth="1"/>
    <col min="273" max="510" width="9.140625" style="51"/>
    <col min="511" max="511" width="14.85546875" style="51" customWidth="1"/>
    <col min="512" max="522" width="7.5703125" style="51" customWidth="1"/>
    <col min="523" max="523" width="9.28515625" style="51" customWidth="1"/>
    <col min="524" max="524" width="13.140625" style="51" customWidth="1"/>
    <col min="525" max="527" width="9.140625" style="51"/>
    <col min="528" max="528" width="3" style="51" customWidth="1"/>
    <col min="529" max="766" width="9.140625" style="51"/>
    <col min="767" max="767" width="14.85546875" style="51" customWidth="1"/>
    <col min="768" max="778" width="7.5703125" style="51" customWidth="1"/>
    <col min="779" max="779" width="9.28515625" style="51" customWidth="1"/>
    <col min="780" max="780" width="13.140625" style="51" customWidth="1"/>
    <col min="781" max="783" width="9.140625" style="51"/>
    <col min="784" max="784" width="3" style="51" customWidth="1"/>
    <col min="785" max="1022" width="9.140625" style="51"/>
    <col min="1023" max="1023" width="14.85546875" style="51" customWidth="1"/>
    <col min="1024" max="1034" width="7.5703125" style="51" customWidth="1"/>
    <col min="1035" max="1035" width="9.28515625" style="51" customWidth="1"/>
    <col min="1036" max="1036" width="13.140625" style="51" customWidth="1"/>
    <col min="1037" max="1039" width="9.140625" style="51"/>
    <col min="1040" max="1040" width="3" style="51" customWidth="1"/>
    <col min="1041" max="1278" width="9.140625" style="51"/>
    <col min="1279" max="1279" width="14.85546875" style="51" customWidth="1"/>
    <col min="1280" max="1290" width="7.5703125" style="51" customWidth="1"/>
    <col min="1291" max="1291" width="9.28515625" style="51" customWidth="1"/>
    <col min="1292" max="1292" width="13.140625" style="51" customWidth="1"/>
    <col min="1293" max="1295" width="9.140625" style="51"/>
    <col min="1296" max="1296" width="3" style="51" customWidth="1"/>
    <col min="1297" max="1534" width="9.140625" style="51"/>
    <col min="1535" max="1535" width="14.85546875" style="51" customWidth="1"/>
    <col min="1536" max="1546" width="7.5703125" style="51" customWidth="1"/>
    <col min="1547" max="1547" width="9.28515625" style="51" customWidth="1"/>
    <col min="1548" max="1548" width="13.140625" style="51" customWidth="1"/>
    <col min="1549" max="1551" width="9.140625" style="51"/>
    <col min="1552" max="1552" width="3" style="51" customWidth="1"/>
    <col min="1553" max="1790" width="9.140625" style="51"/>
    <col min="1791" max="1791" width="14.85546875" style="51" customWidth="1"/>
    <col min="1792" max="1802" width="7.5703125" style="51" customWidth="1"/>
    <col min="1803" max="1803" width="9.28515625" style="51" customWidth="1"/>
    <col min="1804" max="1804" width="13.140625" style="51" customWidth="1"/>
    <col min="1805" max="1807" width="9.140625" style="51"/>
    <col min="1808" max="1808" width="3" style="51" customWidth="1"/>
    <col min="1809" max="2046" width="9.140625" style="51"/>
    <col min="2047" max="2047" width="14.85546875" style="51" customWidth="1"/>
    <col min="2048" max="2058" width="7.5703125" style="51" customWidth="1"/>
    <col min="2059" max="2059" width="9.28515625" style="51" customWidth="1"/>
    <col min="2060" max="2060" width="13.140625" style="51" customWidth="1"/>
    <col min="2061" max="2063" width="9.140625" style="51"/>
    <col min="2064" max="2064" width="3" style="51" customWidth="1"/>
    <col min="2065" max="2302" width="9.140625" style="51"/>
    <col min="2303" max="2303" width="14.85546875" style="51" customWidth="1"/>
    <col min="2304" max="2314" width="7.5703125" style="51" customWidth="1"/>
    <col min="2315" max="2315" width="9.28515625" style="51" customWidth="1"/>
    <col min="2316" max="2316" width="13.140625" style="51" customWidth="1"/>
    <col min="2317" max="2319" width="9.140625" style="51"/>
    <col min="2320" max="2320" width="3" style="51" customWidth="1"/>
    <col min="2321" max="2558" width="9.140625" style="51"/>
    <col min="2559" max="2559" width="14.85546875" style="51" customWidth="1"/>
    <col min="2560" max="2570" width="7.5703125" style="51" customWidth="1"/>
    <col min="2571" max="2571" width="9.28515625" style="51" customWidth="1"/>
    <col min="2572" max="2572" width="13.140625" style="51" customWidth="1"/>
    <col min="2573" max="2575" width="9.140625" style="51"/>
    <col min="2576" max="2576" width="3" style="51" customWidth="1"/>
    <col min="2577" max="2814" width="9.140625" style="51"/>
    <col min="2815" max="2815" width="14.85546875" style="51" customWidth="1"/>
    <col min="2816" max="2826" width="7.5703125" style="51" customWidth="1"/>
    <col min="2827" max="2827" width="9.28515625" style="51" customWidth="1"/>
    <col min="2828" max="2828" width="13.140625" style="51" customWidth="1"/>
    <col min="2829" max="2831" width="9.140625" style="51"/>
    <col min="2832" max="2832" width="3" style="51" customWidth="1"/>
    <col min="2833" max="3070" width="9.140625" style="51"/>
    <col min="3071" max="3071" width="14.85546875" style="51" customWidth="1"/>
    <col min="3072" max="3082" width="7.5703125" style="51" customWidth="1"/>
    <col min="3083" max="3083" width="9.28515625" style="51" customWidth="1"/>
    <col min="3084" max="3084" width="13.140625" style="51" customWidth="1"/>
    <col min="3085" max="3087" width="9.140625" style="51"/>
    <col min="3088" max="3088" width="3" style="51" customWidth="1"/>
    <col min="3089" max="3326" width="9.140625" style="51"/>
    <col min="3327" max="3327" width="14.85546875" style="51" customWidth="1"/>
    <col min="3328" max="3338" width="7.5703125" style="51" customWidth="1"/>
    <col min="3339" max="3339" width="9.28515625" style="51" customWidth="1"/>
    <col min="3340" max="3340" width="13.140625" style="51" customWidth="1"/>
    <col min="3341" max="3343" width="9.140625" style="51"/>
    <col min="3344" max="3344" width="3" style="51" customWidth="1"/>
    <col min="3345" max="3582" width="9.140625" style="51"/>
    <col min="3583" max="3583" width="14.85546875" style="51" customWidth="1"/>
    <col min="3584" max="3594" width="7.5703125" style="51" customWidth="1"/>
    <col min="3595" max="3595" width="9.28515625" style="51" customWidth="1"/>
    <col min="3596" max="3596" width="13.140625" style="51" customWidth="1"/>
    <col min="3597" max="3599" width="9.140625" style="51"/>
    <col min="3600" max="3600" width="3" style="51" customWidth="1"/>
    <col min="3601" max="3838" width="9.140625" style="51"/>
    <col min="3839" max="3839" width="14.85546875" style="51" customWidth="1"/>
    <col min="3840" max="3850" width="7.5703125" style="51" customWidth="1"/>
    <col min="3851" max="3851" width="9.28515625" style="51" customWidth="1"/>
    <col min="3852" max="3852" width="13.140625" style="51" customWidth="1"/>
    <col min="3853" max="3855" width="9.140625" style="51"/>
    <col min="3856" max="3856" width="3" style="51" customWidth="1"/>
    <col min="3857" max="4094" width="9.140625" style="51"/>
    <col min="4095" max="4095" width="14.85546875" style="51" customWidth="1"/>
    <col min="4096" max="4106" width="7.5703125" style="51" customWidth="1"/>
    <col min="4107" max="4107" width="9.28515625" style="51" customWidth="1"/>
    <col min="4108" max="4108" width="13.140625" style="51" customWidth="1"/>
    <col min="4109" max="4111" width="9.140625" style="51"/>
    <col min="4112" max="4112" width="3" style="51" customWidth="1"/>
    <col min="4113" max="4350" width="9.140625" style="51"/>
    <col min="4351" max="4351" width="14.85546875" style="51" customWidth="1"/>
    <col min="4352" max="4362" width="7.5703125" style="51" customWidth="1"/>
    <col min="4363" max="4363" width="9.28515625" style="51" customWidth="1"/>
    <col min="4364" max="4364" width="13.140625" style="51" customWidth="1"/>
    <col min="4365" max="4367" width="9.140625" style="51"/>
    <col min="4368" max="4368" width="3" style="51" customWidth="1"/>
    <col min="4369" max="4606" width="9.140625" style="51"/>
    <col min="4607" max="4607" width="14.85546875" style="51" customWidth="1"/>
    <col min="4608" max="4618" width="7.5703125" style="51" customWidth="1"/>
    <col min="4619" max="4619" width="9.28515625" style="51" customWidth="1"/>
    <col min="4620" max="4620" width="13.140625" style="51" customWidth="1"/>
    <col min="4621" max="4623" width="9.140625" style="51"/>
    <col min="4624" max="4624" width="3" style="51" customWidth="1"/>
    <col min="4625" max="4862" width="9.140625" style="51"/>
    <col min="4863" max="4863" width="14.85546875" style="51" customWidth="1"/>
    <col min="4864" max="4874" width="7.5703125" style="51" customWidth="1"/>
    <col min="4875" max="4875" width="9.28515625" style="51" customWidth="1"/>
    <col min="4876" max="4876" width="13.140625" style="51" customWidth="1"/>
    <col min="4877" max="4879" width="9.140625" style="51"/>
    <col min="4880" max="4880" width="3" style="51" customWidth="1"/>
    <col min="4881" max="5118" width="9.140625" style="51"/>
    <col min="5119" max="5119" width="14.85546875" style="51" customWidth="1"/>
    <col min="5120" max="5130" width="7.5703125" style="51" customWidth="1"/>
    <col min="5131" max="5131" width="9.28515625" style="51" customWidth="1"/>
    <col min="5132" max="5132" width="13.140625" style="51" customWidth="1"/>
    <col min="5133" max="5135" width="9.140625" style="51"/>
    <col min="5136" max="5136" width="3" style="51" customWidth="1"/>
    <col min="5137" max="5374" width="9.140625" style="51"/>
    <col min="5375" max="5375" width="14.85546875" style="51" customWidth="1"/>
    <col min="5376" max="5386" width="7.5703125" style="51" customWidth="1"/>
    <col min="5387" max="5387" width="9.28515625" style="51" customWidth="1"/>
    <col min="5388" max="5388" width="13.140625" style="51" customWidth="1"/>
    <col min="5389" max="5391" width="9.140625" style="51"/>
    <col min="5392" max="5392" width="3" style="51" customWidth="1"/>
    <col min="5393" max="5630" width="9.140625" style="51"/>
    <col min="5631" max="5631" width="14.85546875" style="51" customWidth="1"/>
    <col min="5632" max="5642" width="7.5703125" style="51" customWidth="1"/>
    <col min="5643" max="5643" width="9.28515625" style="51" customWidth="1"/>
    <col min="5644" max="5644" width="13.140625" style="51" customWidth="1"/>
    <col min="5645" max="5647" width="9.140625" style="51"/>
    <col min="5648" max="5648" width="3" style="51" customWidth="1"/>
    <col min="5649" max="5886" width="9.140625" style="51"/>
    <col min="5887" max="5887" width="14.85546875" style="51" customWidth="1"/>
    <col min="5888" max="5898" width="7.5703125" style="51" customWidth="1"/>
    <col min="5899" max="5899" width="9.28515625" style="51" customWidth="1"/>
    <col min="5900" max="5900" width="13.140625" style="51" customWidth="1"/>
    <col min="5901" max="5903" width="9.140625" style="51"/>
    <col min="5904" max="5904" width="3" style="51" customWidth="1"/>
    <col min="5905" max="6142" width="9.140625" style="51"/>
    <col min="6143" max="6143" width="14.85546875" style="51" customWidth="1"/>
    <col min="6144" max="6154" width="7.5703125" style="51" customWidth="1"/>
    <col min="6155" max="6155" width="9.28515625" style="51" customWidth="1"/>
    <col min="6156" max="6156" width="13.140625" style="51" customWidth="1"/>
    <col min="6157" max="6159" width="9.140625" style="51"/>
    <col min="6160" max="6160" width="3" style="51" customWidth="1"/>
    <col min="6161" max="6398" width="9.140625" style="51"/>
    <col min="6399" max="6399" width="14.85546875" style="51" customWidth="1"/>
    <col min="6400" max="6410" width="7.5703125" style="51" customWidth="1"/>
    <col min="6411" max="6411" width="9.28515625" style="51" customWidth="1"/>
    <col min="6412" max="6412" width="13.140625" style="51" customWidth="1"/>
    <col min="6413" max="6415" width="9.140625" style="51"/>
    <col min="6416" max="6416" width="3" style="51" customWidth="1"/>
    <col min="6417" max="6654" width="9.140625" style="51"/>
    <col min="6655" max="6655" width="14.85546875" style="51" customWidth="1"/>
    <col min="6656" max="6666" width="7.5703125" style="51" customWidth="1"/>
    <col min="6667" max="6667" width="9.28515625" style="51" customWidth="1"/>
    <col min="6668" max="6668" width="13.140625" style="51" customWidth="1"/>
    <col min="6669" max="6671" width="9.140625" style="51"/>
    <col min="6672" max="6672" width="3" style="51" customWidth="1"/>
    <col min="6673" max="6910" width="9.140625" style="51"/>
    <col min="6911" max="6911" width="14.85546875" style="51" customWidth="1"/>
    <col min="6912" max="6922" width="7.5703125" style="51" customWidth="1"/>
    <col min="6923" max="6923" width="9.28515625" style="51" customWidth="1"/>
    <col min="6924" max="6924" width="13.140625" style="51" customWidth="1"/>
    <col min="6925" max="6927" width="9.140625" style="51"/>
    <col min="6928" max="6928" width="3" style="51" customWidth="1"/>
    <col min="6929" max="7166" width="9.140625" style="51"/>
    <col min="7167" max="7167" width="14.85546875" style="51" customWidth="1"/>
    <col min="7168" max="7178" width="7.5703125" style="51" customWidth="1"/>
    <col min="7179" max="7179" width="9.28515625" style="51" customWidth="1"/>
    <col min="7180" max="7180" width="13.140625" style="51" customWidth="1"/>
    <col min="7181" max="7183" width="9.140625" style="51"/>
    <col min="7184" max="7184" width="3" style="51" customWidth="1"/>
    <col min="7185" max="7422" width="9.140625" style="51"/>
    <col min="7423" max="7423" width="14.85546875" style="51" customWidth="1"/>
    <col min="7424" max="7434" width="7.5703125" style="51" customWidth="1"/>
    <col min="7435" max="7435" width="9.28515625" style="51" customWidth="1"/>
    <col min="7436" max="7436" width="13.140625" style="51" customWidth="1"/>
    <col min="7437" max="7439" width="9.140625" style="51"/>
    <col min="7440" max="7440" width="3" style="51" customWidth="1"/>
    <col min="7441" max="7678" width="9.140625" style="51"/>
    <col min="7679" max="7679" width="14.85546875" style="51" customWidth="1"/>
    <col min="7680" max="7690" width="7.5703125" style="51" customWidth="1"/>
    <col min="7691" max="7691" width="9.28515625" style="51" customWidth="1"/>
    <col min="7692" max="7692" width="13.140625" style="51" customWidth="1"/>
    <col min="7693" max="7695" width="9.140625" style="51"/>
    <col min="7696" max="7696" width="3" style="51" customWidth="1"/>
    <col min="7697" max="7934" width="9.140625" style="51"/>
    <col min="7935" max="7935" width="14.85546875" style="51" customWidth="1"/>
    <col min="7936" max="7946" width="7.5703125" style="51" customWidth="1"/>
    <col min="7947" max="7947" width="9.28515625" style="51" customWidth="1"/>
    <col min="7948" max="7948" width="13.140625" style="51" customWidth="1"/>
    <col min="7949" max="7951" width="9.140625" style="51"/>
    <col min="7952" max="7952" width="3" style="51" customWidth="1"/>
    <col min="7953" max="8190" width="9.140625" style="51"/>
    <col min="8191" max="8191" width="14.85546875" style="51" customWidth="1"/>
    <col min="8192" max="8202" width="7.5703125" style="51" customWidth="1"/>
    <col min="8203" max="8203" width="9.28515625" style="51" customWidth="1"/>
    <col min="8204" max="8204" width="13.140625" style="51" customWidth="1"/>
    <col min="8205" max="8207" width="9.140625" style="51"/>
    <col min="8208" max="8208" width="3" style="51" customWidth="1"/>
    <col min="8209" max="8446" width="9.140625" style="51"/>
    <col min="8447" max="8447" width="14.85546875" style="51" customWidth="1"/>
    <col min="8448" max="8458" width="7.5703125" style="51" customWidth="1"/>
    <col min="8459" max="8459" width="9.28515625" style="51" customWidth="1"/>
    <col min="8460" max="8460" width="13.140625" style="51" customWidth="1"/>
    <col min="8461" max="8463" width="9.140625" style="51"/>
    <col min="8464" max="8464" width="3" style="51" customWidth="1"/>
    <col min="8465" max="8702" width="9.140625" style="51"/>
    <col min="8703" max="8703" width="14.85546875" style="51" customWidth="1"/>
    <col min="8704" max="8714" width="7.5703125" style="51" customWidth="1"/>
    <col min="8715" max="8715" width="9.28515625" style="51" customWidth="1"/>
    <col min="8716" max="8716" width="13.140625" style="51" customWidth="1"/>
    <col min="8717" max="8719" width="9.140625" style="51"/>
    <col min="8720" max="8720" width="3" style="51" customWidth="1"/>
    <col min="8721" max="8958" width="9.140625" style="51"/>
    <col min="8959" max="8959" width="14.85546875" style="51" customWidth="1"/>
    <col min="8960" max="8970" width="7.5703125" style="51" customWidth="1"/>
    <col min="8971" max="8971" width="9.28515625" style="51" customWidth="1"/>
    <col min="8972" max="8972" width="13.140625" style="51" customWidth="1"/>
    <col min="8973" max="8975" width="9.140625" style="51"/>
    <col min="8976" max="8976" width="3" style="51" customWidth="1"/>
    <col min="8977" max="9214" width="9.140625" style="51"/>
    <col min="9215" max="9215" width="14.85546875" style="51" customWidth="1"/>
    <col min="9216" max="9226" width="7.5703125" style="51" customWidth="1"/>
    <col min="9227" max="9227" width="9.28515625" style="51" customWidth="1"/>
    <col min="9228" max="9228" width="13.140625" style="51" customWidth="1"/>
    <col min="9229" max="9231" width="9.140625" style="51"/>
    <col min="9232" max="9232" width="3" style="51" customWidth="1"/>
    <col min="9233" max="9470" width="9.140625" style="51"/>
    <col min="9471" max="9471" width="14.85546875" style="51" customWidth="1"/>
    <col min="9472" max="9482" width="7.5703125" style="51" customWidth="1"/>
    <col min="9483" max="9483" width="9.28515625" style="51" customWidth="1"/>
    <col min="9484" max="9484" width="13.140625" style="51" customWidth="1"/>
    <col min="9485" max="9487" width="9.140625" style="51"/>
    <col min="9488" max="9488" width="3" style="51" customWidth="1"/>
    <col min="9489" max="9726" width="9.140625" style="51"/>
    <col min="9727" max="9727" width="14.85546875" style="51" customWidth="1"/>
    <col min="9728" max="9738" width="7.5703125" style="51" customWidth="1"/>
    <col min="9739" max="9739" width="9.28515625" style="51" customWidth="1"/>
    <col min="9740" max="9740" width="13.140625" style="51" customWidth="1"/>
    <col min="9741" max="9743" width="9.140625" style="51"/>
    <col min="9744" max="9744" width="3" style="51" customWidth="1"/>
    <col min="9745" max="9982" width="9.140625" style="51"/>
    <col min="9983" max="9983" width="14.85546875" style="51" customWidth="1"/>
    <col min="9984" max="9994" width="7.5703125" style="51" customWidth="1"/>
    <col min="9995" max="9995" width="9.28515625" style="51" customWidth="1"/>
    <col min="9996" max="9996" width="13.140625" style="51" customWidth="1"/>
    <col min="9997" max="9999" width="9.140625" style="51"/>
    <col min="10000" max="10000" width="3" style="51" customWidth="1"/>
    <col min="10001" max="10238" width="9.140625" style="51"/>
    <col min="10239" max="10239" width="14.85546875" style="51" customWidth="1"/>
    <col min="10240" max="10250" width="7.5703125" style="51" customWidth="1"/>
    <col min="10251" max="10251" width="9.28515625" style="51" customWidth="1"/>
    <col min="10252" max="10252" width="13.140625" style="51" customWidth="1"/>
    <col min="10253" max="10255" width="9.140625" style="51"/>
    <col min="10256" max="10256" width="3" style="51" customWidth="1"/>
    <col min="10257" max="10494" width="9.140625" style="51"/>
    <col min="10495" max="10495" width="14.85546875" style="51" customWidth="1"/>
    <col min="10496" max="10506" width="7.5703125" style="51" customWidth="1"/>
    <col min="10507" max="10507" width="9.28515625" style="51" customWidth="1"/>
    <col min="10508" max="10508" width="13.140625" style="51" customWidth="1"/>
    <col min="10509" max="10511" width="9.140625" style="51"/>
    <col min="10512" max="10512" width="3" style="51" customWidth="1"/>
    <col min="10513" max="10750" width="9.140625" style="51"/>
    <col min="10751" max="10751" width="14.85546875" style="51" customWidth="1"/>
    <col min="10752" max="10762" width="7.5703125" style="51" customWidth="1"/>
    <col min="10763" max="10763" width="9.28515625" style="51" customWidth="1"/>
    <col min="10764" max="10764" width="13.140625" style="51" customWidth="1"/>
    <col min="10765" max="10767" width="9.140625" style="51"/>
    <col min="10768" max="10768" width="3" style="51" customWidth="1"/>
    <col min="10769" max="11006" width="9.140625" style="51"/>
    <col min="11007" max="11007" width="14.85546875" style="51" customWidth="1"/>
    <col min="11008" max="11018" width="7.5703125" style="51" customWidth="1"/>
    <col min="11019" max="11019" width="9.28515625" style="51" customWidth="1"/>
    <col min="11020" max="11020" width="13.140625" style="51" customWidth="1"/>
    <col min="11021" max="11023" width="9.140625" style="51"/>
    <col min="11024" max="11024" width="3" style="51" customWidth="1"/>
    <col min="11025" max="11262" width="9.140625" style="51"/>
    <col min="11263" max="11263" width="14.85546875" style="51" customWidth="1"/>
    <col min="11264" max="11274" width="7.5703125" style="51" customWidth="1"/>
    <col min="11275" max="11275" width="9.28515625" style="51" customWidth="1"/>
    <col min="11276" max="11276" width="13.140625" style="51" customWidth="1"/>
    <col min="11277" max="11279" width="9.140625" style="51"/>
    <col min="11280" max="11280" width="3" style="51" customWidth="1"/>
    <col min="11281" max="11518" width="9.140625" style="51"/>
    <col min="11519" max="11519" width="14.85546875" style="51" customWidth="1"/>
    <col min="11520" max="11530" width="7.5703125" style="51" customWidth="1"/>
    <col min="11531" max="11531" width="9.28515625" style="51" customWidth="1"/>
    <col min="11532" max="11532" width="13.140625" style="51" customWidth="1"/>
    <col min="11533" max="11535" width="9.140625" style="51"/>
    <col min="11536" max="11536" width="3" style="51" customWidth="1"/>
    <col min="11537" max="11774" width="9.140625" style="51"/>
    <col min="11775" max="11775" width="14.85546875" style="51" customWidth="1"/>
    <col min="11776" max="11786" width="7.5703125" style="51" customWidth="1"/>
    <col min="11787" max="11787" width="9.28515625" style="51" customWidth="1"/>
    <col min="11788" max="11788" width="13.140625" style="51" customWidth="1"/>
    <col min="11789" max="11791" width="9.140625" style="51"/>
    <col min="11792" max="11792" width="3" style="51" customWidth="1"/>
    <col min="11793" max="12030" width="9.140625" style="51"/>
    <col min="12031" max="12031" width="14.85546875" style="51" customWidth="1"/>
    <col min="12032" max="12042" width="7.5703125" style="51" customWidth="1"/>
    <col min="12043" max="12043" width="9.28515625" style="51" customWidth="1"/>
    <col min="12044" max="12044" width="13.140625" style="51" customWidth="1"/>
    <col min="12045" max="12047" width="9.140625" style="51"/>
    <col min="12048" max="12048" width="3" style="51" customWidth="1"/>
    <col min="12049" max="12286" width="9.140625" style="51"/>
    <col min="12287" max="12287" width="14.85546875" style="51" customWidth="1"/>
    <col min="12288" max="12298" width="7.5703125" style="51" customWidth="1"/>
    <col min="12299" max="12299" width="9.28515625" style="51" customWidth="1"/>
    <col min="12300" max="12300" width="13.140625" style="51" customWidth="1"/>
    <col min="12301" max="12303" width="9.140625" style="51"/>
    <col min="12304" max="12304" width="3" style="51" customWidth="1"/>
    <col min="12305" max="12542" width="9.140625" style="51"/>
    <col min="12543" max="12543" width="14.85546875" style="51" customWidth="1"/>
    <col min="12544" max="12554" width="7.5703125" style="51" customWidth="1"/>
    <col min="12555" max="12555" width="9.28515625" style="51" customWidth="1"/>
    <col min="12556" max="12556" width="13.140625" style="51" customWidth="1"/>
    <col min="12557" max="12559" width="9.140625" style="51"/>
    <col min="12560" max="12560" width="3" style="51" customWidth="1"/>
    <col min="12561" max="12798" width="9.140625" style="51"/>
    <col min="12799" max="12799" width="14.85546875" style="51" customWidth="1"/>
    <col min="12800" max="12810" width="7.5703125" style="51" customWidth="1"/>
    <col min="12811" max="12811" width="9.28515625" style="51" customWidth="1"/>
    <col min="12812" max="12812" width="13.140625" style="51" customWidth="1"/>
    <col min="12813" max="12815" width="9.140625" style="51"/>
    <col min="12816" max="12816" width="3" style="51" customWidth="1"/>
    <col min="12817" max="13054" width="9.140625" style="51"/>
    <col min="13055" max="13055" width="14.85546875" style="51" customWidth="1"/>
    <col min="13056" max="13066" width="7.5703125" style="51" customWidth="1"/>
    <col min="13067" max="13067" width="9.28515625" style="51" customWidth="1"/>
    <col min="13068" max="13068" width="13.140625" style="51" customWidth="1"/>
    <col min="13069" max="13071" width="9.140625" style="51"/>
    <col min="13072" max="13072" width="3" style="51" customWidth="1"/>
    <col min="13073" max="13310" width="9.140625" style="51"/>
    <col min="13311" max="13311" width="14.85546875" style="51" customWidth="1"/>
    <col min="13312" max="13322" width="7.5703125" style="51" customWidth="1"/>
    <col min="13323" max="13323" width="9.28515625" style="51" customWidth="1"/>
    <col min="13324" max="13324" width="13.140625" style="51" customWidth="1"/>
    <col min="13325" max="13327" width="9.140625" style="51"/>
    <col min="13328" max="13328" width="3" style="51" customWidth="1"/>
    <col min="13329" max="13566" width="9.140625" style="51"/>
    <col min="13567" max="13567" width="14.85546875" style="51" customWidth="1"/>
    <col min="13568" max="13578" width="7.5703125" style="51" customWidth="1"/>
    <col min="13579" max="13579" width="9.28515625" style="51" customWidth="1"/>
    <col min="13580" max="13580" width="13.140625" style="51" customWidth="1"/>
    <col min="13581" max="13583" width="9.140625" style="51"/>
    <col min="13584" max="13584" width="3" style="51" customWidth="1"/>
    <col min="13585" max="13822" width="9.140625" style="51"/>
    <col min="13823" max="13823" width="14.85546875" style="51" customWidth="1"/>
    <col min="13824" max="13834" width="7.5703125" style="51" customWidth="1"/>
    <col min="13835" max="13835" width="9.28515625" style="51" customWidth="1"/>
    <col min="13836" max="13836" width="13.140625" style="51" customWidth="1"/>
    <col min="13837" max="13839" width="9.140625" style="51"/>
    <col min="13840" max="13840" width="3" style="51" customWidth="1"/>
    <col min="13841" max="14078" width="9.140625" style="51"/>
    <col min="14079" max="14079" width="14.85546875" style="51" customWidth="1"/>
    <col min="14080" max="14090" width="7.5703125" style="51" customWidth="1"/>
    <col min="14091" max="14091" width="9.28515625" style="51" customWidth="1"/>
    <col min="14092" max="14092" width="13.140625" style="51" customWidth="1"/>
    <col min="14093" max="14095" width="9.140625" style="51"/>
    <col min="14096" max="14096" width="3" style="51" customWidth="1"/>
    <col min="14097" max="14334" width="9.140625" style="51"/>
    <col min="14335" max="14335" width="14.85546875" style="51" customWidth="1"/>
    <col min="14336" max="14346" width="7.5703125" style="51" customWidth="1"/>
    <col min="14347" max="14347" width="9.28515625" style="51" customWidth="1"/>
    <col min="14348" max="14348" width="13.140625" style="51" customWidth="1"/>
    <col min="14349" max="14351" width="9.140625" style="51"/>
    <col min="14352" max="14352" width="3" style="51" customWidth="1"/>
    <col min="14353" max="14590" width="9.140625" style="51"/>
    <col min="14591" max="14591" width="14.85546875" style="51" customWidth="1"/>
    <col min="14592" max="14602" width="7.5703125" style="51" customWidth="1"/>
    <col min="14603" max="14603" width="9.28515625" style="51" customWidth="1"/>
    <col min="14604" max="14604" width="13.140625" style="51" customWidth="1"/>
    <col min="14605" max="14607" width="9.140625" style="51"/>
    <col min="14608" max="14608" width="3" style="51" customWidth="1"/>
    <col min="14609" max="14846" width="9.140625" style="51"/>
    <col min="14847" max="14847" width="14.85546875" style="51" customWidth="1"/>
    <col min="14848" max="14858" width="7.5703125" style="51" customWidth="1"/>
    <col min="14859" max="14859" width="9.28515625" style="51" customWidth="1"/>
    <col min="14860" max="14860" width="13.140625" style="51" customWidth="1"/>
    <col min="14861" max="14863" width="9.140625" style="51"/>
    <col min="14864" max="14864" width="3" style="51" customWidth="1"/>
    <col min="14865" max="15102" width="9.140625" style="51"/>
    <col min="15103" max="15103" width="14.85546875" style="51" customWidth="1"/>
    <col min="15104" max="15114" width="7.5703125" style="51" customWidth="1"/>
    <col min="15115" max="15115" width="9.28515625" style="51" customWidth="1"/>
    <col min="15116" max="15116" width="13.140625" style="51" customWidth="1"/>
    <col min="15117" max="15119" width="9.140625" style="51"/>
    <col min="15120" max="15120" width="3" style="51" customWidth="1"/>
    <col min="15121" max="15358" width="9.140625" style="51"/>
    <col min="15359" max="15359" width="14.85546875" style="51" customWidth="1"/>
    <col min="15360" max="15370" width="7.5703125" style="51" customWidth="1"/>
    <col min="15371" max="15371" width="9.28515625" style="51" customWidth="1"/>
    <col min="15372" max="15372" width="13.140625" style="51" customWidth="1"/>
    <col min="15373" max="15375" width="9.140625" style="51"/>
    <col min="15376" max="15376" width="3" style="51" customWidth="1"/>
    <col min="15377" max="15614" width="9.140625" style="51"/>
    <col min="15615" max="15615" width="14.85546875" style="51" customWidth="1"/>
    <col min="15616" max="15626" width="7.5703125" style="51" customWidth="1"/>
    <col min="15627" max="15627" width="9.28515625" style="51" customWidth="1"/>
    <col min="15628" max="15628" width="13.140625" style="51" customWidth="1"/>
    <col min="15629" max="15631" width="9.140625" style="51"/>
    <col min="15632" max="15632" width="3" style="51" customWidth="1"/>
    <col min="15633" max="15870" width="9.140625" style="51"/>
    <col min="15871" max="15871" width="14.85546875" style="51" customWidth="1"/>
    <col min="15872" max="15882" width="7.5703125" style="51" customWidth="1"/>
    <col min="15883" max="15883" width="9.28515625" style="51" customWidth="1"/>
    <col min="15884" max="15884" width="13.140625" style="51" customWidth="1"/>
    <col min="15885" max="15887" width="9.140625" style="51"/>
    <col min="15888" max="15888" width="3" style="51" customWidth="1"/>
    <col min="15889" max="16126" width="9.140625" style="51"/>
    <col min="16127" max="16127" width="14.85546875" style="51" customWidth="1"/>
    <col min="16128" max="16138" width="7.5703125" style="51" customWidth="1"/>
    <col min="16139" max="16139" width="9.28515625" style="51" customWidth="1"/>
    <col min="16140" max="16140" width="13.140625" style="51" customWidth="1"/>
    <col min="16141" max="16143" width="9.140625" style="51"/>
    <col min="16144" max="16144" width="3" style="51" customWidth="1"/>
    <col min="16145" max="16384" width="9.140625" style="51"/>
  </cols>
  <sheetData>
    <row r="1" spans="1:13" ht="21" customHeight="1" x14ac:dyDescent="0.2">
      <c r="A1" s="29" t="s">
        <v>617</v>
      </c>
      <c r="B1" s="48"/>
      <c r="C1" s="48"/>
      <c r="D1" s="49"/>
      <c r="E1" s="49"/>
      <c r="F1" s="48"/>
      <c r="G1" s="48"/>
      <c r="H1" s="48"/>
      <c r="I1" s="48"/>
      <c r="J1" s="48"/>
      <c r="K1" s="48"/>
      <c r="L1" s="48"/>
      <c r="M1" s="50"/>
    </row>
    <row r="2" spans="1:13" s="55" customFormat="1" ht="40.5" customHeight="1" x14ac:dyDescent="0.25">
      <c r="A2" s="52"/>
      <c r="B2" s="53" t="s">
        <v>359</v>
      </c>
      <c r="C2" s="53" t="s">
        <v>360</v>
      </c>
      <c r="D2" s="53" t="s">
        <v>361</v>
      </c>
      <c r="E2" s="53" t="s">
        <v>362</v>
      </c>
      <c r="F2" s="53" t="s">
        <v>363</v>
      </c>
      <c r="G2" s="53" t="s">
        <v>364</v>
      </c>
      <c r="H2" s="53" t="s">
        <v>365</v>
      </c>
      <c r="I2" s="53" t="s">
        <v>366</v>
      </c>
      <c r="J2" s="53" t="s">
        <v>367</v>
      </c>
      <c r="K2" s="53" t="s">
        <v>368</v>
      </c>
      <c r="L2" s="53" t="s">
        <v>369</v>
      </c>
      <c r="M2" s="54" t="s">
        <v>346</v>
      </c>
    </row>
    <row r="3" spans="1:13" s="16" customFormat="1" x14ac:dyDescent="0.25">
      <c r="A3" s="2" t="s">
        <v>31</v>
      </c>
      <c r="B3" s="40">
        <v>783.8763100000001</v>
      </c>
      <c r="C3" s="40">
        <v>2690.27817</v>
      </c>
      <c r="D3" s="40">
        <v>86.530439999999999</v>
      </c>
      <c r="E3" s="40">
        <v>0</v>
      </c>
      <c r="F3" s="40">
        <v>20018.599999999999</v>
      </c>
      <c r="G3" s="40">
        <v>613.48844999999994</v>
      </c>
      <c r="H3" s="40">
        <v>433.49574999999999</v>
      </c>
      <c r="I3" s="40">
        <v>256.29284999999999</v>
      </c>
      <c r="J3" s="40">
        <v>0</v>
      </c>
      <c r="K3" s="40">
        <v>0</v>
      </c>
      <c r="L3" s="40">
        <v>7705.5815400000001</v>
      </c>
      <c r="M3" s="41">
        <v>32588.143509999998</v>
      </c>
    </row>
    <row r="4" spans="1:13" s="16" customFormat="1" x14ac:dyDescent="0.25">
      <c r="A4" s="2" t="s">
        <v>32</v>
      </c>
      <c r="B4" s="40">
        <v>1135.88877</v>
      </c>
      <c r="C4" s="40">
        <v>3000</v>
      </c>
      <c r="D4" s="40">
        <v>1073.70399</v>
      </c>
      <c r="E4" s="40">
        <v>0</v>
      </c>
      <c r="F4" s="40">
        <v>32833.800000000003</v>
      </c>
      <c r="G4" s="40">
        <v>1883.5506</v>
      </c>
      <c r="H4" s="40">
        <v>74.169149999999988</v>
      </c>
      <c r="I4" s="40">
        <v>-421.94034000000005</v>
      </c>
      <c r="J4" s="40">
        <v>0</v>
      </c>
      <c r="K4" s="40">
        <v>0</v>
      </c>
      <c r="L4" s="40">
        <v>7058.4640199999994</v>
      </c>
      <c r="M4" s="41">
        <v>46637.636190000005</v>
      </c>
    </row>
    <row r="5" spans="1:13" s="16" customFormat="1" x14ac:dyDescent="0.25">
      <c r="A5" s="2" t="s">
        <v>4</v>
      </c>
      <c r="B5" s="40">
        <v>1417.9985099999999</v>
      </c>
      <c r="C5" s="40">
        <v>0</v>
      </c>
      <c r="D5" s="40">
        <v>2376.9577300000001</v>
      </c>
      <c r="E5" s="40">
        <v>0</v>
      </c>
      <c r="F5" s="40">
        <v>11100</v>
      </c>
      <c r="G5" s="40">
        <v>5417.7985499999995</v>
      </c>
      <c r="H5" s="40">
        <v>796.31574999999998</v>
      </c>
      <c r="I5" s="40">
        <v>1.5188199999999998</v>
      </c>
      <c r="J5" s="40">
        <v>0</v>
      </c>
      <c r="K5" s="40">
        <v>0</v>
      </c>
      <c r="L5" s="40">
        <v>3182.0694399999998</v>
      </c>
      <c r="M5" s="41">
        <v>24292.658800000001</v>
      </c>
    </row>
    <row r="6" spans="1:13" s="16" customFormat="1" x14ac:dyDescent="0.25">
      <c r="A6" s="2" t="s">
        <v>33</v>
      </c>
      <c r="B6" s="40">
        <v>414.76553999999999</v>
      </c>
      <c r="C6" s="40">
        <v>0</v>
      </c>
      <c r="D6" s="40">
        <v>568.91584999999998</v>
      </c>
      <c r="E6" s="40">
        <v>0</v>
      </c>
      <c r="F6" s="40">
        <v>12537.46</v>
      </c>
      <c r="G6" s="40">
        <v>0</v>
      </c>
      <c r="H6" s="40">
        <v>812.60822999999993</v>
      </c>
      <c r="I6" s="40">
        <v>-235.44058999999999</v>
      </c>
      <c r="J6" s="40">
        <v>0</v>
      </c>
      <c r="K6" s="40">
        <v>0</v>
      </c>
      <c r="L6" s="40">
        <v>3101.1083199999998</v>
      </c>
      <c r="M6" s="41">
        <v>17199.41735</v>
      </c>
    </row>
    <row r="7" spans="1:13" s="16" customFormat="1" x14ac:dyDescent="0.25">
      <c r="A7" s="2" t="s">
        <v>34</v>
      </c>
      <c r="B7" s="40">
        <v>113.99208</v>
      </c>
      <c r="C7" s="40">
        <v>0</v>
      </c>
      <c r="D7" s="40">
        <v>152.76875000000001</v>
      </c>
      <c r="E7" s="40">
        <v>0</v>
      </c>
      <c r="F7" s="40">
        <v>3271</v>
      </c>
      <c r="G7" s="40">
        <v>112.25605</v>
      </c>
      <c r="H7" s="40">
        <v>349.91415000000001</v>
      </c>
      <c r="I7" s="40">
        <v>-150.17655999999999</v>
      </c>
      <c r="J7" s="40">
        <v>0</v>
      </c>
      <c r="K7" s="40">
        <v>0</v>
      </c>
      <c r="L7" s="40">
        <v>844.44643000000008</v>
      </c>
      <c r="M7" s="41">
        <v>4694.2009000000007</v>
      </c>
    </row>
    <row r="8" spans="1:13" s="16" customFormat="1" x14ac:dyDescent="0.25">
      <c r="A8" s="2" t="s">
        <v>35</v>
      </c>
      <c r="B8" s="40">
        <v>1358.1447800000001</v>
      </c>
      <c r="C8" s="40">
        <v>0</v>
      </c>
      <c r="D8" s="40">
        <v>1559.85202</v>
      </c>
      <c r="E8" s="40">
        <v>0</v>
      </c>
      <c r="F8" s="40">
        <v>28000</v>
      </c>
      <c r="G8" s="40">
        <v>3826.59557</v>
      </c>
      <c r="H8" s="40">
        <v>2217.1479399999998</v>
      </c>
      <c r="I8" s="40">
        <v>193.32891000000001</v>
      </c>
      <c r="J8" s="40">
        <v>0</v>
      </c>
      <c r="K8" s="40">
        <v>0</v>
      </c>
      <c r="L8" s="40">
        <v>7524.8851699999996</v>
      </c>
      <c r="M8" s="41">
        <v>44679.954389999999</v>
      </c>
    </row>
    <row r="9" spans="1:13" s="16" customFormat="1" x14ac:dyDescent="0.25">
      <c r="A9" s="2" t="s">
        <v>36</v>
      </c>
      <c r="B9" s="40">
        <v>486.48489000000001</v>
      </c>
      <c r="C9" s="40">
        <v>0</v>
      </c>
      <c r="D9" s="40">
        <v>57.526679999999999</v>
      </c>
      <c r="E9" s="40">
        <v>0</v>
      </c>
      <c r="F9" s="40">
        <v>8500</v>
      </c>
      <c r="G9" s="40">
        <v>0</v>
      </c>
      <c r="H9" s="40">
        <v>396.68736999999999</v>
      </c>
      <c r="I9" s="40">
        <v>-148.30859000000001</v>
      </c>
      <c r="J9" s="40">
        <v>0</v>
      </c>
      <c r="K9" s="40">
        <v>0</v>
      </c>
      <c r="L9" s="40">
        <v>1155.5431999999998</v>
      </c>
      <c r="M9" s="41">
        <v>10447.93355</v>
      </c>
    </row>
    <row r="10" spans="1:13" s="16" customFormat="1" x14ac:dyDescent="0.25">
      <c r="A10" s="2" t="s">
        <v>5</v>
      </c>
      <c r="B10" s="40">
        <v>6317.2776599999997</v>
      </c>
      <c r="C10" s="40">
        <v>0</v>
      </c>
      <c r="D10" s="40">
        <v>197.87188</v>
      </c>
      <c r="E10" s="40">
        <v>38</v>
      </c>
      <c r="F10" s="40">
        <v>25000</v>
      </c>
      <c r="G10" s="40">
        <v>1476.3538000000001</v>
      </c>
      <c r="H10" s="40">
        <v>3085.95127</v>
      </c>
      <c r="I10" s="40">
        <v>330.74058000000002</v>
      </c>
      <c r="J10" s="40">
        <v>0</v>
      </c>
      <c r="K10" s="40">
        <v>0</v>
      </c>
      <c r="L10" s="40">
        <v>32125.853510000001</v>
      </c>
      <c r="M10" s="41">
        <v>68572.048699999985</v>
      </c>
    </row>
    <row r="11" spans="1:13" s="16" customFormat="1" x14ac:dyDescent="0.25">
      <c r="A11" s="2" t="s">
        <v>37</v>
      </c>
      <c r="B11" s="40">
        <v>104.77675000000001</v>
      </c>
      <c r="C11" s="40">
        <v>0</v>
      </c>
      <c r="D11" s="40">
        <v>24.74211</v>
      </c>
      <c r="E11" s="40">
        <v>0</v>
      </c>
      <c r="F11" s="40">
        <v>2910</v>
      </c>
      <c r="G11" s="40">
        <v>52.454000000000001</v>
      </c>
      <c r="H11" s="40">
        <v>214.03715</v>
      </c>
      <c r="I11" s="40">
        <v>-91.838080000000005</v>
      </c>
      <c r="J11" s="40">
        <v>0</v>
      </c>
      <c r="K11" s="40">
        <v>0</v>
      </c>
      <c r="L11" s="40">
        <v>100.21131</v>
      </c>
      <c r="M11" s="41">
        <v>3314.3832400000006</v>
      </c>
    </row>
    <row r="12" spans="1:13" s="16" customFormat="1" x14ac:dyDescent="0.25">
      <c r="A12" s="2" t="s">
        <v>38</v>
      </c>
      <c r="B12" s="40">
        <v>666.81647999999996</v>
      </c>
      <c r="C12" s="40">
        <v>801.44722999999999</v>
      </c>
      <c r="D12" s="40">
        <v>264.20411000000001</v>
      </c>
      <c r="E12" s="40">
        <v>0</v>
      </c>
      <c r="F12" s="40">
        <v>10449.75</v>
      </c>
      <c r="G12" s="40">
        <v>0.52895000000000003</v>
      </c>
      <c r="H12" s="40">
        <v>101.07599999999999</v>
      </c>
      <c r="I12" s="40">
        <v>-50.325510000000001</v>
      </c>
      <c r="J12" s="40">
        <v>0</v>
      </c>
      <c r="K12" s="40">
        <v>0</v>
      </c>
      <c r="L12" s="40">
        <v>2562.6575499999999</v>
      </c>
      <c r="M12" s="41">
        <v>14796.154809999998</v>
      </c>
    </row>
    <row r="13" spans="1:13" s="16" customFormat="1" x14ac:dyDescent="0.25">
      <c r="A13" s="2" t="s">
        <v>6</v>
      </c>
      <c r="B13" s="40">
        <v>1120.8664899999999</v>
      </c>
      <c r="C13" s="40">
        <v>0</v>
      </c>
      <c r="D13" s="40">
        <v>877.96033999999997</v>
      </c>
      <c r="E13" s="40">
        <v>0</v>
      </c>
      <c r="F13" s="40">
        <v>17635.2</v>
      </c>
      <c r="G13" s="40">
        <v>3643.9328500000001</v>
      </c>
      <c r="H13" s="40">
        <v>672.59802999999999</v>
      </c>
      <c r="I13" s="40">
        <v>59.645110000000003</v>
      </c>
      <c r="J13" s="40">
        <v>-5654.8029900000001</v>
      </c>
      <c r="K13" s="40">
        <v>0</v>
      </c>
      <c r="L13" s="40">
        <v>18835.951069999999</v>
      </c>
      <c r="M13" s="41">
        <v>37191.350900000005</v>
      </c>
    </row>
    <row r="14" spans="1:13" s="16" customFormat="1" x14ac:dyDescent="0.25">
      <c r="A14" s="2" t="s">
        <v>39</v>
      </c>
      <c r="B14" s="40">
        <v>531.75821999999994</v>
      </c>
      <c r="C14" s="40">
        <v>0</v>
      </c>
      <c r="D14" s="40">
        <v>140.73364999999998</v>
      </c>
      <c r="E14" s="40">
        <v>0</v>
      </c>
      <c r="F14" s="40">
        <v>17000</v>
      </c>
      <c r="G14" s="40">
        <v>0</v>
      </c>
      <c r="H14" s="40">
        <v>1191.1958</v>
      </c>
      <c r="I14" s="40">
        <v>-66.628679999999989</v>
      </c>
      <c r="J14" s="40">
        <v>0</v>
      </c>
      <c r="K14" s="40">
        <v>0</v>
      </c>
      <c r="L14" s="40">
        <v>6347.26836</v>
      </c>
      <c r="M14" s="41">
        <v>25144.32735</v>
      </c>
    </row>
    <row r="15" spans="1:13" s="16" customFormat="1" x14ac:dyDescent="0.25">
      <c r="A15" s="2" t="s">
        <v>40</v>
      </c>
      <c r="B15" s="40">
        <v>238.17292999999998</v>
      </c>
      <c r="C15" s="40">
        <v>0</v>
      </c>
      <c r="D15" s="40">
        <v>119.77946</v>
      </c>
      <c r="E15" s="40">
        <v>0</v>
      </c>
      <c r="F15" s="40">
        <v>5153</v>
      </c>
      <c r="G15" s="40">
        <v>306.46222999999998</v>
      </c>
      <c r="H15" s="40">
        <v>125.27222999999999</v>
      </c>
      <c r="I15" s="40">
        <v>283.95645999999999</v>
      </c>
      <c r="J15" s="40">
        <v>0</v>
      </c>
      <c r="K15" s="40">
        <v>0</v>
      </c>
      <c r="L15" s="40">
        <v>1481.5507399999999</v>
      </c>
      <c r="M15" s="41">
        <v>7708.1940500000001</v>
      </c>
    </row>
    <row r="16" spans="1:13" s="16" customFormat="1" x14ac:dyDescent="0.25">
      <c r="A16" s="2" t="s">
        <v>41</v>
      </c>
      <c r="B16" s="40">
        <v>306.79910999999998</v>
      </c>
      <c r="C16" s="40">
        <v>0</v>
      </c>
      <c r="D16" s="40">
        <v>0.3</v>
      </c>
      <c r="E16" s="40">
        <v>0</v>
      </c>
      <c r="F16" s="40">
        <v>1963.31835</v>
      </c>
      <c r="G16" s="40">
        <v>0</v>
      </c>
      <c r="H16" s="40">
        <v>131.07758999999999</v>
      </c>
      <c r="I16" s="40">
        <v>-22.690049999999999</v>
      </c>
      <c r="J16" s="40">
        <v>0</v>
      </c>
      <c r="K16" s="40">
        <v>0</v>
      </c>
      <c r="L16" s="40">
        <v>993.99244999999996</v>
      </c>
      <c r="M16" s="41">
        <v>3372.79745</v>
      </c>
    </row>
    <row r="17" spans="1:13" s="16" customFormat="1" x14ac:dyDescent="0.25">
      <c r="A17" s="2" t="s">
        <v>27</v>
      </c>
      <c r="B17" s="40">
        <v>9810.9731499999998</v>
      </c>
      <c r="C17" s="40">
        <v>10484.567359999999</v>
      </c>
      <c r="D17" s="40">
        <v>12269.087750000001</v>
      </c>
      <c r="E17" s="40">
        <v>4083.61303</v>
      </c>
      <c r="F17" s="40">
        <v>468339.56900000002</v>
      </c>
      <c r="G17" s="40">
        <v>36880.879810000006</v>
      </c>
      <c r="H17" s="40">
        <v>15151.962750000001</v>
      </c>
      <c r="I17" s="40">
        <v>-94.235420000000005</v>
      </c>
      <c r="J17" s="40">
        <v>922.55696</v>
      </c>
      <c r="K17" s="40">
        <v>0</v>
      </c>
      <c r="L17" s="40">
        <v>62525.129260000002</v>
      </c>
      <c r="M17" s="41">
        <v>620374.10364999983</v>
      </c>
    </row>
    <row r="18" spans="1:13" s="16" customFormat="1" x14ac:dyDescent="0.25">
      <c r="A18" s="2" t="s">
        <v>7</v>
      </c>
      <c r="B18" s="40">
        <v>4170.49208</v>
      </c>
      <c r="C18" s="40">
        <v>5000</v>
      </c>
      <c r="D18" s="40">
        <v>778.64595999999995</v>
      </c>
      <c r="E18" s="40">
        <v>0</v>
      </c>
      <c r="F18" s="40">
        <v>24184.799999999999</v>
      </c>
      <c r="G18" s="40">
        <v>0</v>
      </c>
      <c r="H18" s="40">
        <v>4852.4680499999995</v>
      </c>
      <c r="I18" s="40">
        <v>176.18992</v>
      </c>
      <c r="J18" s="40">
        <v>0</v>
      </c>
      <c r="K18" s="40">
        <v>0</v>
      </c>
      <c r="L18" s="40">
        <v>14746.3199</v>
      </c>
      <c r="M18" s="41">
        <v>53908.915910000003</v>
      </c>
    </row>
    <row r="19" spans="1:13" s="16" customFormat="1" x14ac:dyDescent="0.25">
      <c r="A19" s="2" t="s">
        <v>42</v>
      </c>
      <c r="B19" s="40">
        <v>5163.85581</v>
      </c>
      <c r="C19" s="40">
        <v>0</v>
      </c>
      <c r="D19" s="40">
        <v>372.28242</v>
      </c>
      <c r="E19" s="40">
        <v>0</v>
      </c>
      <c r="F19" s="40">
        <v>42000</v>
      </c>
      <c r="G19" s="40">
        <v>11.529950000000001</v>
      </c>
      <c r="H19" s="40">
        <v>955.67921000000001</v>
      </c>
      <c r="I19" s="40">
        <v>-896.04246000000001</v>
      </c>
      <c r="J19" s="40">
        <v>0</v>
      </c>
      <c r="K19" s="40">
        <v>0</v>
      </c>
      <c r="L19" s="40">
        <v>6777.1961200000005</v>
      </c>
      <c r="M19" s="41">
        <v>54384.501049999999</v>
      </c>
    </row>
    <row r="20" spans="1:13" s="16" customFormat="1" x14ac:dyDescent="0.25">
      <c r="A20" s="2" t="s">
        <v>43</v>
      </c>
      <c r="B20" s="40">
        <v>1208.2940900000001</v>
      </c>
      <c r="C20" s="40">
        <v>0</v>
      </c>
      <c r="D20" s="40">
        <v>510.92543000000001</v>
      </c>
      <c r="E20" s="40">
        <v>10.045299999999999</v>
      </c>
      <c r="F20" s="40">
        <v>11333.4789</v>
      </c>
      <c r="G20" s="40">
        <v>0</v>
      </c>
      <c r="H20" s="40">
        <v>343.90251000000001</v>
      </c>
      <c r="I20" s="40">
        <v>132.50547</v>
      </c>
      <c r="J20" s="40">
        <v>0</v>
      </c>
      <c r="K20" s="40">
        <v>0</v>
      </c>
      <c r="L20" s="40">
        <v>2109.6100699999997</v>
      </c>
      <c r="M20" s="41">
        <v>15648.761770000001</v>
      </c>
    </row>
    <row r="21" spans="1:13" s="16" customFormat="1" x14ac:dyDescent="0.25">
      <c r="A21" s="2" t="s">
        <v>44</v>
      </c>
      <c r="B21" s="40">
        <v>1110.5942299999999</v>
      </c>
      <c r="C21" s="40">
        <v>3513.7816699999998</v>
      </c>
      <c r="D21" s="40">
        <v>26.554749999999999</v>
      </c>
      <c r="E21" s="40">
        <v>0</v>
      </c>
      <c r="F21" s="40">
        <v>17402.7</v>
      </c>
      <c r="G21" s="40">
        <v>0</v>
      </c>
      <c r="H21" s="40">
        <v>37.204999999999998</v>
      </c>
      <c r="I21" s="40">
        <v>36.274769999999997</v>
      </c>
      <c r="J21" s="40">
        <v>0</v>
      </c>
      <c r="K21" s="40">
        <v>0</v>
      </c>
      <c r="L21" s="40">
        <v>4256.1158399999995</v>
      </c>
      <c r="M21" s="41">
        <v>26383.226259999999</v>
      </c>
    </row>
    <row r="22" spans="1:13" s="16" customFormat="1" x14ac:dyDescent="0.25">
      <c r="A22" s="2" t="s">
        <v>8</v>
      </c>
      <c r="B22" s="40">
        <v>434.95780999999999</v>
      </c>
      <c r="C22" s="40">
        <v>165</v>
      </c>
      <c r="D22" s="40">
        <v>8.3572999999999986</v>
      </c>
      <c r="E22" s="40">
        <v>0</v>
      </c>
      <c r="F22" s="40">
        <v>8671.2000000000007</v>
      </c>
      <c r="G22" s="40">
        <v>520.62815000000001</v>
      </c>
      <c r="H22" s="40">
        <v>494.12443999999999</v>
      </c>
      <c r="I22" s="40">
        <v>-22.610990000000001</v>
      </c>
      <c r="J22" s="40">
        <v>0</v>
      </c>
      <c r="K22" s="40">
        <v>0</v>
      </c>
      <c r="L22" s="40">
        <v>1971.40228</v>
      </c>
      <c r="M22" s="41">
        <v>12243.058990000001</v>
      </c>
    </row>
    <row r="23" spans="1:13" s="16" customFormat="1" x14ac:dyDescent="0.25">
      <c r="A23" s="2" t="s">
        <v>45</v>
      </c>
      <c r="B23" s="40">
        <v>91.018439999999998</v>
      </c>
      <c r="C23" s="40">
        <v>0</v>
      </c>
      <c r="D23" s="40">
        <v>3.62</v>
      </c>
      <c r="E23" s="40">
        <v>0</v>
      </c>
      <c r="F23" s="40">
        <v>3459.6</v>
      </c>
      <c r="G23" s="40">
        <v>0</v>
      </c>
      <c r="H23" s="40">
        <v>377.78318000000002</v>
      </c>
      <c r="I23" s="40">
        <v>12.184989999999999</v>
      </c>
      <c r="J23" s="40">
        <v>0</v>
      </c>
      <c r="K23" s="40">
        <v>0</v>
      </c>
      <c r="L23" s="40">
        <v>-1035.44202</v>
      </c>
      <c r="M23" s="41">
        <v>2908.7645900000002</v>
      </c>
    </row>
    <row r="24" spans="1:13" s="16" customFormat="1" x14ac:dyDescent="0.25">
      <c r="A24" s="2" t="s">
        <v>46</v>
      </c>
      <c r="B24" s="40">
        <v>836.50522999999998</v>
      </c>
      <c r="C24" s="40">
        <v>1.86741</v>
      </c>
      <c r="D24" s="40">
        <v>191.66552999999999</v>
      </c>
      <c r="E24" s="40">
        <v>0</v>
      </c>
      <c r="F24" s="40">
        <v>27349.200000000001</v>
      </c>
      <c r="G24" s="40">
        <v>97.653449999999992</v>
      </c>
      <c r="H24" s="40">
        <v>759.25149999999996</v>
      </c>
      <c r="I24" s="40">
        <v>-41.889650000000003</v>
      </c>
      <c r="J24" s="40">
        <v>0</v>
      </c>
      <c r="K24" s="40">
        <v>0</v>
      </c>
      <c r="L24" s="40">
        <v>1787.1730600000001</v>
      </c>
      <c r="M24" s="41">
        <v>30981.426530000001</v>
      </c>
    </row>
    <row r="25" spans="1:13" s="16" customFormat="1" x14ac:dyDescent="0.25">
      <c r="A25" s="2" t="s">
        <v>47</v>
      </c>
      <c r="B25" s="40">
        <v>531.15257999999994</v>
      </c>
      <c r="C25" s="40">
        <v>0</v>
      </c>
      <c r="D25" s="40">
        <v>0</v>
      </c>
      <c r="E25" s="40">
        <v>0</v>
      </c>
      <c r="F25" s="40">
        <v>7400</v>
      </c>
      <c r="G25" s="40">
        <v>4.2911999999999999</v>
      </c>
      <c r="H25" s="40">
        <v>254.65726999999998</v>
      </c>
      <c r="I25" s="40">
        <v>-17.808669999999999</v>
      </c>
      <c r="J25" s="40">
        <v>0</v>
      </c>
      <c r="K25" s="40">
        <v>0</v>
      </c>
      <c r="L25" s="40">
        <v>1254.49324</v>
      </c>
      <c r="M25" s="41">
        <v>9426.7856199999987</v>
      </c>
    </row>
    <row r="26" spans="1:13" s="16" customFormat="1" x14ac:dyDescent="0.25">
      <c r="A26" s="2" t="s">
        <v>48</v>
      </c>
      <c r="B26" s="40">
        <v>2666.1232</v>
      </c>
      <c r="C26" s="40">
        <v>1000</v>
      </c>
      <c r="D26" s="40">
        <v>292.82297999999997</v>
      </c>
      <c r="E26" s="40">
        <v>0</v>
      </c>
      <c r="F26" s="40">
        <v>19900</v>
      </c>
      <c r="G26" s="40">
        <v>0</v>
      </c>
      <c r="H26" s="40">
        <v>4024.9844500000004</v>
      </c>
      <c r="I26" s="40">
        <v>4265.7149600000002</v>
      </c>
      <c r="J26" s="40">
        <v>0</v>
      </c>
      <c r="K26" s="40">
        <v>0</v>
      </c>
      <c r="L26" s="40">
        <v>6046.0034699999997</v>
      </c>
      <c r="M26" s="41">
        <v>38195.649059999996</v>
      </c>
    </row>
    <row r="27" spans="1:13" s="16" customFormat="1" x14ac:dyDescent="0.25">
      <c r="A27" s="2" t="s">
        <v>49</v>
      </c>
      <c r="B27" s="40">
        <v>168.66359</v>
      </c>
      <c r="C27" s="40">
        <v>0</v>
      </c>
      <c r="D27" s="40">
        <v>125.9092</v>
      </c>
      <c r="E27" s="40">
        <v>0</v>
      </c>
      <c r="F27" s="40">
        <v>5700</v>
      </c>
      <c r="G27" s="40">
        <v>0</v>
      </c>
      <c r="H27" s="40">
        <v>39.35078</v>
      </c>
      <c r="I27" s="40">
        <v>-66.939399999999992</v>
      </c>
      <c r="J27" s="40">
        <v>0</v>
      </c>
      <c r="K27" s="40">
        <v>0</v>
      </c>
      <c r="L27" s="40">
        <v>4744.86283</v>
      </c>
      <c r="M27" s="41">
        <v>10711.847</v>
      </c>
    </row>
    <row r="28" spans="1:13" s="16" customFormat="1" x14ac:dyDescent="0.25">
      <c r="A28" s="2" t="s">
        <v>50</v>
      </c>
      <c r="B28" s="40">
        <v>124.30674999999999</v>
      </c>
      <c r="C28" s="40">
        <v>900.36178000000007</v>
      </c>
      <c r="D28" s="40">
        <v>98.470619999999997</v>
      </c>
      <c r="E28" s="40">
        <v>0</v>
      </c>
      <c r="F28" s="40">
        <v>10815</v>
      </c>
      <c r="G28" s="40">
        <v>1.32297</v>
      </c>
      <c r="H28" s="40">
        <v>302.02716999999996</v>
      </c>
      <c r="I28" s="40">
        <v>-199.70992999999999</v>
      </c>
      <c r="J28" s="40">
        <v>0</v>
      </c>
      <c r="K28" s="40">
        <v>0</v>
      </c>
      <c r="L28" s="40">
        <v>733.17813000000001</v>
      </c>
      <c r="M28" s="41">
        <v>12774.957490000001</v>
      </c>
    </row>
    <row r="29" spans="1:13" s="16" customFormat="1" x14ac:dyDescent="0.25">
      <c r="A29" s="2" t="s">
        <v>51</v>
      </c>
      <c r="B29" s="40">
        <v>3635.6862700000001</v>
      </c>
      <c r="C29" s="40">
        <v>8000</v>
      </c>
      <c r="D29" s="40">
        <v>441.76828999999998</v>
      </c>
      <c r="E29" s="40">
        <v>63.541110000000003</v>
      </c>
      <c r="F29" s="40">
        <v>0</v>
      </c>
      <c r="G29" s="40">
        <v>2674.0713500000002</v>
      </c>
      <c r="H29" s="40">
        <v>246.41085000000001</v>
      </c>
      <c r="I29" s="40">
        <v>-380.08789000000002</v>
      </c>
      <c r="J29" s="40">
        <v>0</v>
      </c>
      <c r="K29" s="40">
        <v>0</v>
      </c>
      <c r="L29" s="40">
        <v>7536.5156799999995</v>
      </c>
      <c r="M29" s="41">
        <v>22217.90566</v>
      </c>
    </row>
    <row r="30" spans="1:13" s="16" customFormat="1" x14ac:dyDescent="0.25">
      <c r="A30" s="2" t="s">
        <v>52</v>
      </c>
      <c r="B30" s="40">
        <v>687.26889000000006</v>
      </c>
      <c r="C30" s="40">
        <v>0</v>
      </c>
      <c r="D30" s="40">
        <v>493.63776000000001</v>
      </c>
      <c r="E30" s="40">
        <v>0</v>
      </c>
      <c r="F30" s="40">
        <v>12800</v>
      </c>
      <c r="G30" s="40">
        <v>3559.8145099999997</v>
      </c>
      <c r="H30" s="40">
        <v>1124.64345</v>
      </c>
      <c r="I30" s="40">
        <v>671.04858999999999</v>
      </c>
      <c r="J30" s="40">
        <v>0</v>
      </c>
      <c r="K30" s="40">
        <v>0</v>
      </c>
      <c r="L30" s="40">
        <v>6638.5494000000008</v>
      </c>
      <c r="M30" s="41">
        <v>25974.962599999999</v>
      </c>
    </row>
    <row r="31" spans="1:13" s="16" customFormat="1" x14ac:dyDescent="0.25">
      <c r="A31" s="2" t="s">
        <v>9</v>
      </c>
      <c r="B31" s="40">
        <v>114.04735000000001</v>
      </c>
      <c r="C31" s="40">
        <v>-0.86387999999999998</v>
      </c>
      <c r="D31" s="40">
        <v>8.0828000000000007</v>
      </c>
      <c r="E31" s="40">
        <v>0</v>
      </c>
      <c r="F31" s="40">
        <v>2215</v>
      </c>
      <c r="G31" s="40">
        <v>0</v>
      </c>
      <c r="H31" s="40">
        <v>384.30234999999999</v>
      </c>
      <c r="I31" s="40">
        <v>2.6869499999999999</v>
      </c>
      <c r="J31" s="40">
        <v>0</v>
      </c>
      <c r="K31" s="40">
        <v>0</v>
      </c>
      <c r="L31" s="40">
        <v>1696.7662399999999</v>
      </c>
      <c r="M31" s="41">
        <v>4420.0218100000002</v>
      </c>
    </row>
    <row r="32" spans="1:13" s="16" customFormat="1" x14ac:dyDescent="0.25">
      <c r="A32" s="2" t="s">
        <v>10</v>
      </c>
      <c r="B32" s="40">
        <v>1567.31556</v>
      </c>
      <c r="C32" s="40">
        <v>0.02</v>
      </c>
      <c r="D32" s="40">
        <v>257.64789000000002</v>
      </c>
      <c r="E32" s="40">
        <v>0</v>
      </c>
      <c r="F32" s="40">
        <v>15555</v>
      </c>
      <c r="G32" s="40">
        <v>0</v>
      </c>
      <c r="H32" s="40">
        <v>241.38475</v>
      </c>
      <c r="I32" s="40">
        <v>-120.56269999999999</v>
      </c>
      <c r="J32" s="40">
        <v>0</v>
      </c>
      <c r="K32" s="40">
        <v>0</v>
      </c>
      <c r="L32" s="40">
        <v>3504.9285</v>
      </c>
      <c r="M32" s="41">
        <v>21005.734000000004</v>
      </c>
    </row>
    <row r="33" spans="1:13" s="16" customFormat="1" x14ac:dyDescent="0.25">
      <c r="A33" s="2" t="s">
        <v>53</v>
      </c>
      <c r="B33" s="40">
        <v>1047.7748000000001</v>
      </c>
      <c r="C33" s="40">
        <v>0</v>
      </c>
      <c r="D33" s="40">
        <v>353.54907000000003</v>
      </c>
      <c r="E33" s="40">
        <v>0</v>
      </c>
      <c r="F33" s="40">
        <v>74179.3</v>
      </c>
      <c r="G33" s="40">
        <v>0</v>
      </c>
      <c r="H33" s="40">
        <v>902.65741000000003</v>
      </c>
      <c r="I33" s="40">
        <v>-1184.0878400000001</v>
      </c>
      <c r="J33" s="40">
        <v>0</v>
      </c>
      <c r="K33" s="40">
        <v>0</v>
      </c>
      <c r="L33" s="40">
        <v>11402.85169</v>
      </c>
      <c r="M33" s="41">
        <v>86702.045129999999</v>
      </c>
    </row>
    <row r="34" spans="1:13" s="16" customFormat="1" x14ac:dyDescent="0.25">
      <c r="A34" s="2" t="s">
        <v>54</v>
      </c>
      <c r="B34" s="40">
        <v>1801.6454699999999</v>
      </c>
      <c r="C34" s="40">
        <v>2000</v>
      </c>
      <c r="D34" s="40">
        <v>955.74428</v>
      </c>
      <c r="E34" s="40">
        <v>0</v>
      </c>
      <c r="F34" s="40">
        <v>27500</v>
      </c>
      <c r="G34" s="40">
        <v>1613.1030499999999</v>
      </c>
      <c r="H34" s="40">
        <v>3745.6969199999999</v>
      </c>
      <c r="I34" s="40">
        <v>-396.30404999999996</v>
      </c>
      <c r="J34" s="40">
        <v>0</v>
      </c>
      <c r="K34" s="40">
        <v>0</v>
      </c>
      <c r="L34" s="40">
        <v>5133.2253799999999</v>
      </c>
      <c r="M34" s="41">
        <v>42353.111050000007</v>
      </c>
    </row>
    <row r="35" spans="1:13" s="16" customFormat="1" x14ac:dyDescent="0.25">
      <c r="A35" s="2" t="s">
        <v>55</v>
      </c>
      <c r="B35" s="40">
        <v>1214.4609399999999</v>
      </c>
      <c r="C35" s="40">
        <v>2533.6861899999999</v>
      </c>
      <c r="D35" s="40">
        <v>305.38481999999999</v>
      </c>
      <c r="E35" s="40">
        <v>0</v>
      </c>
      <c r="F35" s="40">
        <v>10099.1</v>
      </c>
      <c r="G35" s="40">
        <v>2753.40445</v>
      </c>
      <c r="H35" s="40">
        <v>417.41559999999998</v>
      </c>
      <c r="I35" s="40">
        <v>-334.48040999999995</v>
      </c>
      <c r="J35" s="40">
        <v>0</v>
      </c>
      <c r="K35" s="40">
        <v>0</v>
      </c>
      <c r="L35" s="40">
        <v>23469.87643</v>
      </c>
      <c r="M35" s="41">
        <v>40458.848019999998</v>
      </c>
    </row>
    <row r="36" spans="1:13" s="16" customFormat="1" x14ac:dyDescent="0.25">
      <c r="A36" s="2" t="s">
        <v>56</v>
      </c>
      <c r="B36" s="40">
        <v>734.59073999999998</v>
      </c>
      <c r="C36" s="40">
        <v>0</v>
      </c>
      <c r="D36" s="40">
        <v>169.22828000000001</v>
      </c>
      <c r="E36" s="40">
        <v>0</v>
      </c>
      <c r="F36" s="40">
        <v>15094.8</v>
      </c>
      <c r="G36" s="40">
        <v>43.795999999999999</v>
      </c>
      <c r="H36" s="40">
        <v>327.03258</v>
      </c>
      <c r="I36" s="40">
        <v>317.39857000000001</v>
      </c>
      <c r="J36" s="40">
        <v>0</v>
      </c>
      <c r="K36" s="40">
        <v>0</v>
      </c>
      <c r="L36" s="40">
        <v>1648.58401</v>
      </c>
      <c r="M36" s="41">
        <v>18335.430179999999</v>
      </c>
    </row>
    <row r="37" spans="1:13" s="16" customFormat="1" x14ac:dyDescent="0.25">
      <c r="A37" s="2" t="s">
        <v>57</v>
      </c>
      <c r="B37" s="40">
        <v>299.04397999999998</v>
      </c>
      <c r="C37" s="40">
        <v>1228.98829</v>
      </c>
      <c r="D37" s="40">
        <v>1.2504000000000002</v>
      </c>
      <c r="E37" s="40">
        <v>0</v>
      </c>
      <c r="F37" s="40">
        <v>2118.5100000000002</v>
      </c>
      <c r="G37" s="40">
        <v>2.3567</v>
      </c>
      <c r="H37" s="40">
        <v>184.12609</v>
      </c>
      <c r="I37" s="40">
        <v>82.973219999999998</v>
      </c>
      <c r="J37" s="40">
        <v>0</v>
      </c>
      <c r="K37" s="40">
        <v>0</v>
      </c>
      <c r="L37" s="40">
        <v>237.71761999999998</v>
      </c>
      <c r="M37" s="41">
        <v>4154.9663</v>
      </c>
    </row>
    <row r="38" spans="1:13" s="16" customFormat="1" x14ac:dyDescent="0.25">
      <c r="A38" s="2" t="s">
        <v>58</v>
      </c>
      <c r="B38" s="40">
        <v>406.05190999999996</v>
      </c>
      <c r="C38" s="40">
        <v>2892.63807</v>
      </c>
      <c r="D38" s="40">
        <v>131.04964999999999</v>
      </c>
      <c r="E38" s="40">
        <v>0</v>
      </c>
      <c r="F38" s="40">
        <v>11062.41</v>
      </c>
      <c r="G38" s="40">
        <v>3850.87</v>
      </c>
      <c r="H38" s="40">
        <v>387.75839000000002</v>
      </c>
      <c r="I38" s="40">
        <v>210.28640999999999</v>
      </c>
      <c r="J38" s="40">
        <v>0</v>
      </c>
      <c r="K38" s="40">
        <v>0</v>
      </c>
      <c r="L38" s="40">
        <v>1767.77802</v>
      </c>
      <c r="M38" s="41">
        <v>20708.84245</v>
      </c>
    </row>
    <row r="39" spans="1:13" s="16" customFormat="1" x14ac:dyDescent="0.25">
      <c r="A39" s="2" t="s">
        <v>11</v>
      </c>
      <c r="B39" s="40">
        <v>6221.3758200000002</v>
      </c>
      <c r="C39" s="40">
        <v>9000</v>
      </c>
      <c r="D39" s="40">
        <v>2469.0403500000002</v>
      </c>
      <c r="E39" s="40">
        <v>0</v>
      </c>
      <c r="F39" s="40">
        <v>97800</v>
      </c>
      <c r="G39" s="40">
        <v>0</v>
      </c>
      <c r="H39" s="40">
        <v>2464.0151900000001</v>
      </c>
      <c r="I39" s="40">
        <v>5.36233</v>
      </c>
      <c r="J39" s="40">
        <v>0</v>
      </c>
      <c r="K39" s="40">
        <v>0</v>
      </c>
      <c r="L39" s="40">
        <v>13998.9977</v>
      </c>
      <c r="M39" s="41">
        <v>131958.79139</v>
      </c>
    </row>
    <row r="40" spans="1:13" s="16" customFormat="1" x14ac:dyDescent="0.25">
      <c r="A40" s="3" t="s">
        <v>59</v>
      </c>
      <c r="B40" s="40">
        <v>419.09727000000004</v>
      </c>
      <c r="C40" s="40">
        <v>0</v>
      </c>
      <c r="D40" s="40">
        <v>420.17484000000002</v>
      </c>
      <c r="E40" s="40">
        <v>0</v>
      </c>
      <c r="F40" s="40">
        <v>32300</v>
      </c>
      <c r="G40" s="40">
        <v>963.75399000000004</v>
      </c>
      <c r="H40" s="40">
        <v>307.91876000000002</v>
      </c>
      <c r="I40" s="40">
        <v>386.42948999999999</v>
      </c>
      <c r="J40" s="40">
        <v>0</v>
      </c>
      <c r="K40" s="40">
        <v>0</v>
      </c>
      <c r="L40" s="40">
        <v>5157.1292999999996</v>
      </c>
      <c r="M40" s="41">
        <v>39954.503649999999</v>
      </c>
    </row>
    <row r="41" spans="1:13" s="16" customFormat="1" x14ac:dyDescent="0.25">
      <c r="A41" s="2" t="s">
        <v>60</v>
      </c>
      <c r="B41" s="40">
        <v>1944.49433</v>
      </c>
      <c r="C41" s="40">
        <v>3.5281500000000001</v>
      </c>
      <c r="D41" s="40">
        <v>231.96110999999999</v>
      </c>
      <c r="E41" s="40">
        <v>0</v>
      </c>
      <c r="F41" s="40">
        <v>23000</v>
      </c>
      <c r="G41" s="40">
        <v>3594.9768799999997</v>
      </c>
      <c r="H41" s="40">
        <v>3049.0708999999997</v>
      </c>
      <c r="I41" s="40">
        <v>243.54701</v>
      </c>
      <c r="J41" s="40">
        <v>0</v>
      </c>
      <c r="K41" s="40">
        <v>0</v>
      </c>
      <c r="L41" s="40">
        <v>32331.87356</v>
      </c>
      <c r="M41" s="41">
        <v>64399.451939999999</v>
      </c>
    </row>
    <row r="42" spans="1:13" s="16" customFormat="1" x14ac:dyDescent="0.25">
      <c r="A42" s="2" t="s">
        <v>61</v>
      </c>
      <c r="B42" s="40">
        <v>956.14909999999998</v>
      </c>
      <c r="C42" s="40">
        <v>7000</v>
      </c>
      <c r="D42" s="40">
        <v>489.197</v>
      </c>
      <c r="E42" s="40">
        <v>0</v>
      </c>
      <c r="F42" s="40">
        <v>5500</v>
      </c>
      <c r="G42" s="40">
        <v>2006.87571</v>
      </c>
      <c r="H42" s="40">
        <v>1182.5086100000001</v>
      </c>
      <c r="I42" s="40">
        <v>141.42023999999998</v>
      </c>
      <c r="J42" s="40">
        <v>0</v>
      </c>
      <c r="K42" s="40">
        <v>0</v>
      </c>
      <c r="L42" s="40">
        <v>4166.0244700000003</v>
      </c>
      <c r="M42" s="41">
        <v>21442.17513</v>
      </c>
    </row>
    <row r="43" spans="1:13" s="16" customFormat="1" x14ac:dyDescent="0.25">
      <c r="A43" s="1" t="s">
        <v>62</v>
      </c>
      <c r="B43" s="40">
        <v>1048.8025600000001</v>
      </c>
      <c r="C43" s="40">
        <v>5000</v>
      </c>
      <c r="D43" s="40">
        <v>525.64863000000003</v>
      </c>
      <c r="E43" s="40">
        <v>118.7</v>
      </c>
      <c r="F43" s="40">
        <v>9000</v>
      </c>
      <c r="G43" s="40">
        <v>0</v>
      </c>
      <c r="H43" s="40">
        <v>759.10282999999993</v>
      </c>
      <c r="I43" s="40">
        <v>1861.6263300000001</v>
      </c>
      <c r="J43" s="40">
        <v>0</v>
      </c>
      <c r="K43" s="40">
        <v>0</v>
      </c>
      <c r="L43" s="40">
        <v>7999.3699000000006</v>
      </c>
      <c r="M43" s="41">
        <v>26313.250250000001</v>
      </c>
    </row>
    <row r="44" spans="1:13" s="16" customFormat="1" x14ac:dyDescent="0.25">
      <c r="A44" s="2" t="s">
        <v>63</v>
      </c>
      <c r="B44" s="40">
        <v>1347.83385</v>
      </c>
      <c r="C44" s="40">
        <v>1005.6</v>
      </c>
      <c r="D44" s="40">
        <v>213.37457999999998</v>
      </c>
      <c r="E44" s="40">
        <v>0</v>
      </c>
      <c r="F44" s="40">
        <v>6000</v>
      </c>
      <c r="G44" s="40">
        <v>0</v>
      </c>
      <c r="H44" s="40">
        <v>1120.6841999999999</v>
      </c>
      <c r="I44" s="40">
        <v>-469.35841999999997</v>
      </c>
      <c r="J44" s="40">
        <v>0</v>
      </c>
      <c r="K44" s="40">
        <v>0</v>
      </c>
      <c r="L44" s="40">
        <v>4147.4955099999997</v>
      </c>
      <c r="M44" s="41">
        <v>13365.629720000001</v>
      </c>
    </row>
    <row r="45" spans="1:13" s="16" customFormat="1" x14ac:dyDescent="0.25">
      <c r="A45" s="2" t="s">
        <v>64</v>
      </c>
      <c r="B45" s="40">
        <v>49.219269999999995</v>
      </c>
      <c r="C45" s="40">
        <v>0</v>
      </c>
      <c r="D45" s="40">
        <v>145.70361</v>
      </c>
      <c r="E45" s="40">
        <v>0</v>
      </c>
      <c r="F45" s="40">
        <v>4920</v>
      </c>
      <c r="G45" s="40">
        <v>0</v>
      </c>
      <c r="H45" s="40">
        <v>261.88279999999997</v>
      </c>
      <c r="I45" s="40">
        <v>48.780019999999993</v>
      </c>
      <c r="J45" s="40">
        <v>0</v>
      </c>
      <c r="K45" s="40">
        <v>0</v>
      </c>
      <c r="L45" s="40">
        <v>510.13036999999997</v>
      </c>
      <c r="M45" s="41">
        <v>5935.7160700000004</v>
      </c>
    </row>
    <row r="46" spans="1:13" s="16" customFormat="1" x14ac:dyDescent="0.25">
      <c r="A46" s="2" t="s">
        <v>65</v>
      </c>
      <c r="B46" s="40">
        <v>246.66704000000001</v>
      </c>
      <c r="C46" s="40">
        <v>0</v>
      </c>
      <c r="D46" s="40">
        <v>100.01505</v>
      </c>
      <c r="E46" s="40">
        <v>84.522499999999994</v>
      </c>
      <c r="F46" s="40">
        <v>1400</v>
      </c>
      <c r="G46" s="40">
        <v>0.7085499999999999</v>
      </c>
      <c r="H46" s="40">
        <v>179.42099999999999</v>
      </c>
      <c r="I46" s="40">
        <v>333.73753000000005</v>
      </c>
      <c r="J46" s="40">
        <v>0</v>
      </c>
      <c r="K46" s="40">
        <v>0</v>
      </c>
      <c r="L46" s="40">
        <v>737.24120999999991</v>
      </c>
      <c r="M46" s="41">
        <v>3082.3128800000004</v>
      </c>
    </row>
    <row r="47" spans="1:13" s="16" customFormat="1" x14ac:dyDescent="0.25">
      <c r="A47" s="2" t="s">
        <v>66</v>
      </c>
      <c r="B47" s="40">
        <v>762.21203000000003</v>
      </c>
      <c r="C47" s="40">
        <v>0</v>
      </c>
      <c r="D47" s="40">
        <v>63.311349999999997</v>
      </c>
      <c r="E47" s="40">
        <v>0</v>
      </c>
      <c r="F47" s="40">
        <v>25964.5</v>
      </c>
      <c r="G47" s="40">
        <v>617.32594999999992</v>
      </c>
      <c r="H47" s="40">
        <v>951.83497</v>
      </c>
      <c r="I47" s="40">
        <v>163.22179</v>
      </c>
      <c r="J47" s="40">
        <v>0</v>
      </c>
      <c r="K47" s="40">
        <v>0</v>
      </c>
      <c r="L47" s="40">
        <v>7184.1412900000005</v>
      </c>
      <c r="M47" s="41">
        <v>35706.547379999996</v>
      </c>
    </row>
    <row r="48" spans="1:13" s="16" customFormat="1" x14ac:dyDescent="0.25">
      <c r="A48" s="2" t="s">
        <v>67</v>
      </c>
      <c r="B48" s="40">
        <v>2734.5834399999999</v>
      </c>
      <c r="C48" s="40">
        <v>6963.7926900000002</v>
      </c>
      <c r="D48" s="40">
        <v>565.09037999999998</v>
      </c>
      <c r="E48" s="40">
        <v>0</v>
      </c>
      <c r="F48" s="40">
        <v>63951.37255</v>
      </c>
      <c r="G48" s="40">
        <v>4271.9740099999999</v>
      </c>
      <c r="H48" s="40">
        <v>1623.3760199999999</v>
      </c>
      <c r="I48" s="40">
        <v>1727.4047499999999</v>
      </c>
      <c r="J48" s="40">
        <v>0</v>
      </c>
      <c r="K48" s="40">
        <v>0</v>
      </c>
      <c r="L48" s="40">
        <v>9837.4900600000001</v>
      </c>
      <c r="M48" s="41">
        <v>91675.083899999998</v>
      </c>
    </row>
    <row r="49" spans="1:13" s="16" customFormat="1" x14ac:dyDescent="0.25">
      <c r="A49" s="2" t="s">
        <v>68</v>
      </c>
      <c r="B49" s="40">
        <v>270.73615999999998</v>
      </c>
      <c r="C49" s="40">
        <v>0</v>
      </c>
      <c r="D49" s="40">
        <v>11.8</v>
      </c>
      <c r="E49" s="40">
        <v>460</v>
      </c>
      <c r="F49" s="40">
        <v>9732.5380000000005</v>
      </c>
      <c r="G49" s="40">
        <v>0</v>
      </c>
      <c r="H49" s="40">
        <v>614.0021999999999</v>
      </c>
      <c r="I49" s="40">
        <v>328.32087999999999</v>
      </c>
      <c r="J49" s="40">
        <v>0</v>
      </c>
      <c r="K49" s="40">
        <v>0</v>
      </c>
      <c r="L49" s="40">
        <v>3518.1340099999998</v>
      </c>
      <c r="M49" s="41">
        <v>14935.531249999998</v>
      </c>
    </row>
    <row r="50" spans="1:13" s="16" customFormat="1" x14ac:dyDescent="0.25">
      <c r="A50" s="2" t="s">
        <v>69</v>
      </c>
      <c r="B50" s="40">
        <v>2490.6433299999999</v>
      </c>
      <c r="C50" s="40">
        <v>2500</v>
      </c>
      <c r="D50" s="40">
        <v>627.52536999999995</v>
      </c>
      <c r="E50" s="40">
        <v>0</v>
      </c>
      <c r="F50" s="40">
        <v>37052.400000000001</v>
      </c>
      <c r="G50" s="40">
        <v>2432.0704300000002</v>
      </c>
      <c r="H50" s="40">
        <v>1904.6880100000001</v>
      </c>
      <c r="I50" s="40">
        <v>430.84978000000001</v>
      </c>
      <c r="J50" s="40">
        <v>0</v>
      </c>
      <c r="K50" s="40">
        <v>0</v>
      </c>
      <c r="L50" s="40">
        <v>9429.1543099999999</v>
      </c>
      <c r="M50" s="41">
        <v>56867.331229999996</v>
      </c>
    </row>
    <row r="51" spans="1:13" s="16" customFormat="1" x14ac:dyDescent="0.25">
      <c r="A51" s="2" t="s">
        <v>12</v>
      </c>
      <c r="B51" s="40">
        <v>339.33688000000001</v>
      </c>
      <c r="C51" s="40">
        <v>0</v>
      </c>
      <c r="D51" s="40">
        <v>0</v>
      </c>
      <c r="E51" s="40">
        <v>0</v>
      </c>
      <c r="F51" s="40">
        <v>4449</v>
      </c>
      <c r="G51" s="40">
        <v>175.97579000000002</v>
      </c>
      <c r="H51" s="40">
        <v>343.51580000000001</v>
      </c>
      <c r="I51" s="40">
        <v>-8.5271399999999993</v>
      </c>
      <c r="J51" s="40">
        <v>0</v>
      </c>
      <c r="K51" s="40">
        <v>0</v>
      </c>
      <c r="L51" s="40">
        <v>2534.2271700000001</v>
      </c>
      <c r="M51" s="41">
        <v>7833.5285000000003</v>
      </c>
    </row>
    <row r="52" spans="1:13" s="16" customFormat="1" x14ac:dyDescent="0.25">
      <c r="A52" s="2" t="s">
        <v>70</v>
      </c>
      <c r="B52" s="40">
        <v>415.72929999999997</v>
      </c>
      <c r="C52" s="40">
        <v>1000</v>
      </c>
      <c r="D52" s="40">
        <v>340.37799999999999</v>
      </c>
      <c r="E52" s="40">
        <v>0</v>
      </c>
      <c r="F52" s="40">
        <v>7000</v>
      </c>
      <c r="G52" s="40">
        <v>72.674750000000003</v>
      </c>
      <c r="H52" s="40">
        <v>122.89914999999999</v>
      </c>
      <c r="I52" s="40">
        <v>-50.307569999999998</v>
      </c>
      <c r="J52" s="40">
        <v>0</v>
      </c>
      <c r="K52" s="40">
        <v>0</v>
      </c>
      <c r="L52" s="40">
        <v>2028.13888</v>
      </c>
      <c r="M52" s="41">
        <v>10929.512509999999</v>
      </c>
    </row>
    <row r="53" spans="1:13" s="16" customFormat="1" x14ac:dyDescent="0.25">
      <c r="A53" s="2" t="s">
        <v>71</v>
      </c>
      <c r="B53" s="40">
        <v>253.56424999999999</v>
      </c>
      <c r="C53" s="40">
        <v>0</v>
      </c>
      <c r="D53" s="40">
        <v>13.7318</v>
      </c>
      <c r="E53" s="40">
        <v>0</v>
      </c>
      <c r="F53" s="40">
        <v>7494</v>
      </c>
      <c r="G53" s="40">
        <v>0</v>
      </c>
      <c r="H53" s="40">
        <v>66.920149999999992</v>
      </c>
      <c r="I53" s="40">
        <v>68.295839999999998</v>
      </c>
      <c r="J53" s="40">
        <v>0</v>
      </c>
      <c r="K53" s="40">
        <v>0</v>
      </c>
      <c r="L53" s="40">
        <v>524.25157999999999</v>
      </c>
      <c r="M53" s="41">
        <v>8420.7636199999997</v>
      </c>
    </row>
    <row r="54" spans="1:13" s="16" customFormat="1" x14ac:dyDescent="0.25">
      <c r="A54" s="2" t="s">
        <v>72</v>
      </c>
      <c r="B54" s="40">
        <v>401.28985</v>
      </c>
      <c r="C54" s="40">
        <v>7437.8022000000001</v>
      </c>
      <c r="D54" s="40">
        <v>536.39101000000005</v>
      </c>
      <c r="E54" s="40">
        <v>0</v>
      </c>
      <c r="F54" s="40">
        <v>13400</v>
      </c>
      <c r="G54" s="40">
        <v>0</v>
      </c>
      <c r="H54" s="40">
        <v>583.14535000000001</v>
      </c>
      <c r="I54" s="40">
        <v>53.420670000000001</v>
      </c>
      <c r="J54" s="40">
        <v>0</v>
      </c>
      <c r="K54" s="40">
        <v>0</v>
      </c>
      <c r="L54" s="40">
        <v>4840.36805</v>
      </c>
      <c r="M54" s="41">
        <v>27252.417129999998</v>
      </c>
    </row>
    <row r="55" spans="1:13" s="16" customFormat="1" x14ac:dyDescent="0.25">
      <c r="A55" s="2" t="s">
        <v>13</v>
      </c>
      <c r="B55" s="40">
        <v>475.42215000000004</v>
      </c>
      <c r="C55" s="40">
        <v>0</v>
      </c>
      <c r="D55" s="40">
        <v>549.36350000000004</v>
      </c>
      <c r="E55" s="40">
        <v>0</v>
      </c>
      <c r="F55" s="40">
        <v>10654.922</v>
      </c>
      <c r="G55" s="40">
        <v>45</v>
      </c>
      <c r="H55" s="40">
        <v>638.97960999999998</v>
      </c>
      <c r="I55" s="40">
        <v>32.637799999999999</v>
      </c>
      <c r="J55" s="40">
        <v>0</v>
      </c>
      <c r="K55" s="40">
        <v>0</v>
      </c>
      <c r="L55" s="40">
        <v>2220.64311</v>
      </c>
      <c r="M55" s="41">
        <v>14616.96817</v>
      </c>
    </row>
    <row r="56" spans="1:13" s="16" customFormat="1" x14ac:dyDescent="0.25">
      <c r="A56" s="2" t="s">
        <v>26</v>
      </c>
      <c r="B56" s="40">
        <v>577.26949999999999</v>
      </c>
      <c r="C56" s="40">
        <v>706.58200999999997</v>
      </c>
      <c r="D56" s="40">
        <v>146.15607</v>
      </c>
      <c r="E56" s="40">
        <v>0</v>
      </c>
      <c r="F56" s="40">
        <v>7677.69</v>
      </c>
      <c r="G56" s="40">
        <v>6487.0153</v>
      </c>
      <c r="H56" s="40">
        <v>352.93809999999996</v>
      </c>
      <c r="I56" s="40">
        <v>14.532170000000001</v>
      </c>
      <c r="J56" s="40">
        <v>0</v>
      </c>
      <c r="K56" s="40">
        <v>0</v>
      </c>
      <c r="L56" s="40">
        <v>1705.4849999999999</v>
      </c>
      <c r="M56" s="41">
        <v>17667.668149999998</v>
      </c>
    </row>
    <row r="57" spans="1:13" s="16" customFormat="1" ht="12.75" customHeight="1" x14ac:dyDescent="0.25">
      <c r="A57" s="2" t="s">
        <v>73</v>
      </c>
      <c r="B57" s="40">
        <v>16.723599999999998</v>
      </c>
      <c r="C57" s="40">
        <v>324.71251000000001</v>
      </c>
      <c r="D57" s="40">
        <v>0</v>
      </c>
      <c r="E57" s="40">
        <v>0</v>
      </c>
      <c r="F57" s="40">
        <v>252.3</v>
      </c>
      <c r="G57" s="40">
        <v>0</v>
      </c>
      <c r="H57" s="40">
        <v>93.319399999999987</v>
      </c>
      <c r="I57" s="40">
        <v>97.931979999999996</v>
      </c>
      <c r="J57" s="40">
        <v>0</v>
      </c>
      <c r="K57" s="40">
        <v>0</v>
      </c>
      <c r="L57" s="40">
        <v>207.55901999999998</v>
      </c>
      <c r="M57" s="41">
        <v>992.5465099999999</v>
      </c>
    </row>
    <row r="58" spans="1:13" s="16" customFormat="1" x14ac:dyDescent="0.25">
      <c r="A58" s="2" t="s">
        <v>14</v>
      </c>
      <c r="B58" s="40">
        <v>16423.269090000002</v>
      </c>
      <c r="C58" s="40">
        <v>39900</v>
      </c>
      <c r="D58" s="40">
        <v>4495.9283299999997</v>
      </c>
      <c r="E58" s="40">
        <v>0</v>
      </c>
      <c r="F58" s="40">
        <v>120096.8</v>
      </c>
      <c r="G58" s="40">
        <v>9842.4998599999999</v>
      </c>
      <c r="H58" s="40">
        <v>5895.2085199999992</v>
      </c>
      <c r="I58" s="40">
        <v>-112.32399000000001</v>
      </c>
      <c r="J58" s="40">
        <v>0</v>
      </c>
      <c r="K58" s="40">
        <v>408.65454999999997</v>
      </c>
      <c r="L58" s="40">
        <v>38149.76251</v>
      </c>
      <c r="M58" s="41">
        <v>235099.79887</v>
      </c>
    </row>
    <row r="59" spans="1:13" s="16" customFormat="1" x14ac:dyDescent="0.25">
      <c r="A59" s="2" t="s">
        <v>28</v>
      </c>
      <c r="B59" s="40">
        <v>1709.7881</v>
      </c>
      <c r="C59" s="40">
        <v>3800</v>
      </c>
      <c r="D59" s="40">
        <v>668.56534999999997</v>
      </c>
      <c r="E59" s="40">
        <v>0</v>
      </c>
      <c r="F59" s="40">
        <v>32785</v>
      </c>
      <c r="G59" s="40">
        <v>3889.5292599999998</v>
      </c>
      <c r="H59" s="40">
        <v>626.87950000000001</v>
      </c>
      <c r="I59" s="40">
        <v>465.91828000000004</v>
      </c>
      <c r="J59" s="40">
        <v>0</v>
      </c>
      <c r="K59" s="40">
        <v>0</v>
      </c>
      <c r="L59" s="40">
        <v>14487.194949999999</v>
      </c>
      <c r="M59" s="41">
        <v>58432.875440000003</v>
      </c>
    </row>
    <row r="60" spans="1:13" s="16" customFormat="1" x14ac:dyDescent="0.25">
      <c r="A60" s="2" t="s">
        <v>29</v>
      </c>
      <c r="B60" s="40">
        <v>51597.377369999995</v>
      </c>
      <c r="C60" s="40">
        <v>35000</v>
      </c>
      <c r="D60" s="40">
        <v>13287.98539</v>
      </c>
      <c r="E60" s="40">
        <v>0</v>
      </c>
      <c r="F60" s="40">
        <v>1050521.1100000001</v>
      </c>
      <c r="G60" s="40">
        <v>52041.321080000002</v>
      </c>
      <c r="H60" s="40">
        <v>21660.17323</v>
      </c>
      <c r="I60" s="40">
        <v>579.00310999999999</v>
      </c>
      <c r="J60" s="40">
        <v>0</v>
      </c>
      <c r="K60" s="40">
        <v>0</v>
      </c>
      <c r="L60" s="40">
        <v>185497.85438999999</v>
      </c>
      <c r="M60" s="41">
        <v>1410184.8245699999</v>
      </c>
    </row>
    <row r="61" spans="1:13" s="16" customFormat="1" x14ac:dyDescent="0.25">
      <c r="A61" s="2" t="s">
        <v>74</v>
      </c>
      <c r="B61" s="40">
        <v>551.05852000000004</v>
      </c>
      <c r="C61" s="40">
        <v>0</v>
      </c>
      <c r="D61" s="40">
        <v>256.73619000000002</v>
      </c>
      <c r="E61" s="40">
        <v>0</v>
      </c>
      <c r="F61" s="40">
        <v>17726</v>
      </c>
      <c r="G61" s="40">
        <v>0</v>
      </c>
      <c r="H61" s="40">
        <v>138.9973</v>
      </c>
      <c r="I61" s="40">
        <v>184.71970000000002</v>
      </c>
      <c r="J61" s="40">
        <v>0</v>
      </c>
      <c r="K61" s="40">
        <v>0</v>
      </c>
      <c r="L61" s="40">
        <v>2122.3556699999999</v>
      </c>
      <c r="M61" s="41">
        <v>20979.867380000003</v>
      </c>
    </row>
    <row r="62" spans="1:13" s="16" customFormat="1" x14ac:dyDescent="0.25">
      <c r="A62" s="2" t="s">
        <v>75</v>
      </c>
      <c r="B62" s="40">
        <v>565.11191000000008</v>
      </c>
      <c r="C62" s="40">
        <v>0</v>
      </c>
      <c r="D62" s="40">
        <v>738.17665</v>
      </c>
      <c r="E62" s="40">
        <v>0</v>
      </c>
      <c r="F62" s="40">
        <v>18060.37</v>
      </c>
      <c r="G62" s="40">
        <v>1063.9703100000002</v>
      </c>
      <c r="H62" s="40">
        <v>1184.6932099999999</v>
      </c>
      <c r="I62" s="40">
        <v>596.61874</v>
      </c>
      <c r="J62" s="40">
        <v>0</v>
      </c>
      <c r="K62" s="40">
        <v>0</v>
      </c>
      <c r="L62" s="40">
        <v>4832.6120199999996</v>
      </c>
      <c r="M62" s="41">
        <v>27041.552840000004</v>
      </c>
    </row>
    <row r="63" spans="1:13" s="16" customFormat="1" x14ac:dyDescent="0.25">
      <c r="A63" s="2" t="s">
        <v>76</v>
      </c>
      <c r="B63" s="40">
        <v>882.21710999999993</v>
      </c>
      <c r="C63" s="40">
        <v>750</v>
      </c>
      <c r="D63" s="40">
        <v>88.666800000000009</v>
      </c>
      <c r="E63" s="40">
        <v>30.549150000000001</v>
      </c>
      <c r="F63" s="40">
        <v>3000</v>
      </c>
      <c r="G63" s="40">
        <v>0</v>
      </c>
      <c r="H63" s="40">
        <v>1157.9010900000001</v>
      </c>
      <c r="I63" s="40">
        <v>-113.44632</v>
      </c>
      <c r="J63" s="40">
        <v>0</v>
      </c>
      <c r="K63" s="40">
        <v>0</v>
      </c>
      <c r="L63" s="40">
        <v>8724.1934199999996</v>
      </c>
      <c r="M63" s="41">
        <v>14520.081249999999</v>
      </c>
    </row>
    <row r="64" spans="1:13" s="16" customFormat="1" x14ac:dyDescent="0.25">
      <c r="A64" s="2" t="s">
        <v>77</v>
      </c>
      <c r="B64" s="40">
        <v>619.2368100000001</v>
      </c>
      <c r="C64" s="40">
        <v>0</v>
      </c>
      <c r="D64" s="40">
        <v>313.31504999999999</v>
      </c>
      <c r="E64" s="40">
        <v>703.65</v>
      </c>
      <c r="F64" s="40">
        <v>0</v>
      </c>
      <c r="G64" s="40">
        <v>52.959499999999998</v>
      </c>
      <c r="H64" s="40">
        <v>732.60034999999993</v>
      </c>
      <c r="I64" s="40">
        <v>-105.40044</v>
      </c>
      <c r="J64" s="40">
        <v>0</v>
      </c>
      <c r="K64" s="40">
        <v>0</v>
      </c>
      <c r="L64" s="40">
        <v>32367.19095</v>
      </c>
      <c r="M64" s="41">
        <v>34683.552219999998</v>
      </c>
    </row>
    <row r="65" spans="1:13" s="16" customFormat="1" ht="12.75" customHeight="1" x14ac:dyDescent="0.25">
      <c r="A65" s="2" t="s">
        <v>15</v>
      </c>
      <c r="B65" s="40">
        <v>2016.2221299999999</v>
      </c>
      <c r="C65" s="40">
        <v>2991.4376200000002</v>
      </c>
      <c r="D65" s="40">
        <v>237.12441000000001</v>
      </c>
      <c r="E65" s="40">
        <v>292.60804999999999</v>
      </c>
      <c r="F65" s="40">
        <v>47096</v>
      </c>
      <c r="G65" s="40">
        <v>1938.16706</v>
      </c>
      <c r="H65" s="40">
        <v>1062.82215</v>
      </c>
      <c r="I65" s="40">
        <v>-30.455200000000001</v>
      </c>
      <c r="J65" s="40">
        <v>0</v>
      </c>
      <c r="K65" s="40">
        <v>0</v>
      </c>
      <c r="L65" s="40">
        <v>14656.820470000001</v>
      </c>
      <c r="M65" s="41">
        <v>70260.74669</v>
      </c>
    </row>
    <row r="66" spans="1:13" s="16" customFormat="1" x14ac:dyDescent="0.25">
      <c r="A66" s="2" t="s">
        <v>78</v>
      </c>
      <c r="B66" s="40">
        <v>1509.8018400000001</v>
      </c>
      <c r="C66" s="40">
        <v>0</v>
      </c>
      <c r="D66" s="40">
        <v>559.96206999999993</v>
      </c>
      <c r="E66" s="40">
        <v>0</v>
      </c>
      <c r="F66" s="40">
        <v>18500</v>
      </c>
      <c r="G66" s="40">
        <v>0</v>
      </c>
      <c r="H66" s="40">
        <v>1007.4467</v>
      </c>
      <c r="I66" s="40">
        <v>-74.270610000000005</v>
      </c>
      <c r="J66" s="40">
        <v>0</v>
      </c>
      <c r="K66" s="40">
        <v>0</v>
      </c>
      <c r="L66" s="40">
        <v>9306.3415100000002</v>
      </c>
      <c r="M66" s="41">
        <v>30809.281510000001</v>
      </c>
    </row>
    <row r="67" spans="1:13" s="16" customFormat="1" ht="12.75" customHeight="1" x14ac:dyDescent="0.25">
      <c r="A67" s="2" t="s">
        <v>16</v>
      </c>
      <c r="B67" s="40">
        <v>6433.0892800000001</v>
      </c>
      <c r="C67" s="40">
        <v>0</v>
      </c>
      <c r="D67" s="40">
        <v>755.62318999999991</v>
      </c>
      <c r="E67" s="40">
        <v>255.92131000000001</v>
      </c>
      <c r="F67" s="40">
        <v>213670.34400000001</v>
      </c>
      <c r="G67" s="40">
        <v>19400.980820000001</v>
      </c>
      <c r="H67" s="40">
        <v>4296.52333</v>
      </c>
      <c r="I67" s="40">
        <v>187.79621</v>
      </c>
      <c r="J67" s="40">
        <v>0</v>
      </c>
      <c r="K67" s="40">
        <v>0</v>
      </c>
      <c r="L67" s="40">
        <v>38421.589439999996</v>
      </c>
      <c r="M67" s="41">
        <v>283421.86758000002</v>
      </c>
    </row>
    <row r="68" spans="1:13" s="16" customFormat="1" x14ac:dyDescent="0.25">
      <c r="A68" s="2" t="s">
        <v>79</v>
      </c>
      <c r="B68" s="40">
        <v>152.94420000000002</v>
      </c>
      <c r="C68" s="40">
        <v>1.4E-2</v>
      </c>
      <c r="D68" s="40">
        <v>120.41232000000001</v>
      </c>
      <c r="E68" s="40">
        <v>0</v>
      </c>
      <c r="F68" s="40">
        <v>2867.4</v>
      </c>
      <c r="G68" s="40">
        <v>0</v>
      </c>
      <c r="H68" s="40">
        <v>712.99674000000005</v>
      </c>
      <c r="I68" s="40">
        <v>335.89179999999999</v>
      </c>
      <c r="J68" s="40">
        <v>0</v>
      </c>
      <c r="K68" s="40">
        <v>0</v>
      </c>
      <c r="L68" s="40">
        <v>163.53178</v>
      </c>
      <c r="M68" s="41">
        <v>4353.1908400000002</v>
      </c>
    </row>
    <row r="69" spans="1:13" s="16" customFormat="1" x14ac:dyDescent="0.25">
      <c r="A69" s="2" t="s">
        <v>80</v>
      </c>
      <c r="B69" s="40">
        <v>160.08631</v>
      </c>
      <c r="C69" s="40">
        <v>7654.7977599999995</v>
      </c>
      <c r="D69" s="40">
        <v>323.87297999999998</v>
      </c>
      <c r="E69" s="40">
        <v>0</v>
      </c>
      <c r="F69" s="40">
        <v>8300</v>
      </c>
      <c r="G69" s="40">
        <v>86.729350000000011</v>
      </c>
      <c r="H69" s="40">
        <v>577.62076000000002</v>
      </c>
      <c r="I69" s="40">
        <v>-386.07321999999999</v>
      </c>
      <c r="J69" s="40">
        <v>0</v>
      </c>
      <c r="K69" s="40">
        <v>0</v>
      </c>
      <c r="L69" s="40">
        <v>6826.7077199999994</v>
      </c>
      <c r="M69" s="41">
        <v>23543.741660000003</v>
      </c>
    </row>
    <row r="70" spans="1:13" s="16" customFormat="1" x14ac:dyDescent="0.25">
      <c r="A70" s="2" t="s">
        <v>81</v>
      </c>
      <c r="B70" s="40">
        <v>176.86147</v>
      </c>
      <c r="C70" s="40">
        <v>1.3281800000000001</v>
      </c>
      <c r="D70" s="40">
        <v>21.626200000000001</v>
      </c>
      <c r="E70" s="40">
        <v>0</v>
      </c>
      <c r="F70" s="40">
        <v>3196.6819999999998</v>
      </c>
      <c r="G70" s="40">
        <v>0</v>
      </c>
      <c r="H70" s="40">
        <v>160.22460999999998</v>
      </c>
      <c r="I70" s="40">
        <v>-76.200789999999998</v>
      </c>
      <c r="J70" s="40">
        <v>0</v>
      </c>
      <c r="K70" s="40">
        <v>0</v>
      </c>
      <c r="L70" s="40">
        <v>115.09807000000001</v>
      </c>
      <c r="M70" s="41">
        <v>3595.6197400000001</v>
      </c>
    </row>
    <row r="71" spans="1:13" s="16" customFormat="1" x14ac:dyDescent="0.25">
      <c r="A71" s="2" t="s">
        <v>17</v>
      </c>
      <c r="B71" s="40">
        <v>3142.2944700000003</v>
      </c>
      <c r="C71" s="40">
        <v>6000</v>
      </c>
      <c r="D71" s="40">
        <v>683.00874999999996</v>
      </c>
      <c r="E71" s="40">
        <v>0</v>
      </c>
      <c r="F71" s="40">
        <v>50503.010499999997</v>
      </c>
      <c r="G71" s="40">
        <v>0</v>
      </c>
      <c r="H71" s="40">
        <v>4390.1965599999994</v>
      </c>
      <c r="I71" s="40">
        <v>68.247740000000007</v>
      </c>
      <c r="J71" s="40">
        <v>2.3627399999999996</v>
      </c>
      <c r="K71" s="40">
        <v>0</v>
      </c>
      <c r="L71" s="40">
        <v>7368.0863399999998</v>
      </c>
      <c r="M71" s="41">
        <v>72157.207099999985</v>
      </c>
    </row>
    <row r="72" spans="1:13" s="16" customFormat="1" x14ac:dyDescent="0.25">
      <c r="A72" s="2" t="s">
        <v>82</v>
      </c>
      <c r="B72" s="40">
        <v>1051.43487</v>
      </c>
      <c r="C72" s="40">
        <v>1.2602100000000001</v>
      </c>
      <c r="D72" s="40">
        <v>470.57228000000003</v>
      </c>
      <c r="E72" s="40">
        <v>0</v>
      </c>
      <c r="F72" s="40">
        <v>14635.2</v>
      </c>
      <c r="G72" s="40">
        <v>808.33975999999996</v>
      </c>
      <c r="H72" s="40">
        <v>2128.1477200000004</v>
      </c>
      <c r="I72" s="40">
        <v>1945.5061799999999</v>
      </c>
      <c r="J72" s="40">
        <v>0</v>
      </c>
      <c r="K72" s="40">
        <v>0</v>
      </c>
      <c r="L72" s="40">
        <v>8482.8261600000005</v>
      </c>
      <c r="M72" s="41">
        <v>29523.287180000003</v>
      </c>
    </row>
    <row r="73" spans="1:13" s="16" customFormat="1" x14ac:dyDescent="0.25">
      <c r="A73" s="1" t="s">
        <v>18</v>
      </c>
      <c r="B73" s="40">
        <v>932.72919999999999</v>
      </c>
      <c r="C73" s="40">
        <v>0</v>
      </c>
      <c r="D73" s="40">
        <v>815.42176000000006</v>
      </c>
      <c r="E73" s="40">
        <v>0</v>
      </c>
      <c r="F73" s="40">
        <v>8000</v>
      </c>
      <c r="G73" s="40">
        <v>2345.7084</v>
      </c>
      <c r="H73" s="40">
        <v>562.81074999999998</v>
      </c>
      <c r="I73" s="40">
        <v>206.87692999999999</v>
      </c>
      <c r="J73" s="40">
        <v>0</v>
      </c>
      <c r="K73" s="40">
        <v>0</v>
      </c>
      <c r="L73" s="40">
        <v>9890.0676100000001</v>
      </c>
      <c r="M73" s="41">
        <v>22753.61465</v>
      </c>
    </row>
    <row r="74" spans="1:13" s="16" customFormat="1" x14ac:dyDescent="0.25">
      <c r="A74" s="2" t="s">
        <v>83</v>
      </c>
      <c r="B74" s="40">
        <v>1973.11294</v>
      </c>
      <c r="C74" s="40">
        <v>0</v>
      </c>
      <c r="D74" s="40">
        <v>781.12913000000003</v>
      </c>
      <c r="E74" s="40">
        <v>0</v>
      </c>
      <c r="F74" s="40">
        <v>14600</v>
      </c>
      <c r="G74" s="40">
        <v>753.74315000000001</v>
      </c>
      <c r="H74" s="40">
        <v>3095.7571000000003</v>
      </c>
      <c r="I74" s="40">
        <v>694.85713999999996</v>
      </c>
      <c r="J74" s="40">
        <v>0</v>
      </c>
      <c r="K74" s="40">
        <v>0</v>
      </c>
      <c r="L74" s="40">
        <v>17677.84202</v>
      </c>
      <c r="M74" s="41">
        <v>39576.441479999994</v>
      </c>
    </row>
    <row r="75" spans="1:13" s="16" customFormat="1" x14ac:dyDescent="0.25">
      <c r="A75" s="2" t="s">
        <v>19</v>
      </c>
      <c r="B75" s="40">
        <v>696.97840000000008</v>
      </c>
      <c r="C75" s="40">
        <v>0</v>
      </c>
      <c r="D75" s="40">
        <v>629.35352999999998</v>
      </c>
      <c r="E75" s="40">
        <v>0</v>
      </c>
      <c r="F75" s="40">
        <v>14000</v>
      </c>
      <c r="G75" s="40">
        <v>0</v>
      </c>
      <c r="H75" s="40">
        <v>1642.3042</v>
      </c>
      <c r="I75" s="40">
        <v>99.582899999999995</v>
      </c>
      <c r="J75" s="40">
        <v>0</v>
      </c>
      <c r="K75" s="40">
        <v>0</v>
      </c>
      <c r="L75" s="40">
        <v>14723.580529999999</v>
      </c>
      <c r="M75" s="41">
        <v>31791.799559999999</v>
      </c>
    </row>
    <row r="76" spans="1:13" s="16" customFormat="1" x14ac:dyDescent="0.25">
      <c r="A76" s="2" t="s">
        <v>84</v>
      </c>
      <c r="B76" s="40">
        <v>1370.8841399999999</v>
      </c>
      <c r="C76" s="40">
        <v>0</v>
      </c>
      <c r="D76" s="40">
        <v>201.58945</v>
      </c>
      <c r="E76" s="40">
        <v>0</v>
      </c>
      <c r="F76" s="40">
        <v>6700</v>
      </c>
      <c r="G76" s="40">
        <v>474.82890000000003</v>
      </c>
      <c r="H76" s="40">
        <v>355.35120000000001</v>
      </c>
      <c r="I76" s="40">
        <v>26.28276</v>
      </c>
      <c r="J76" s="40">
        <v>0</v>
      </c>
      <c r="K76" s="40">
        <v>0</v>
      </c>
      <c r="L76" s="40">
        <v>3339.6680899999997</v>
      </c>
      <c r="M76" s="41">
        <v>12468.604539999998</v>
      </c>
    </row>
    <row r="77" spans="1:13" s="16" customFormat="1" x14ac:dyDescent="0.25">
      <c r="A77" s="2" t="s">
        <v>85</v>
      </c>
      <c r="B77" s="40">
        <v>407.20391999999998</v>
      </c>
      <c r="C77" s="40">
        <v>0</v>
      </c>
      <c r="D77" s="40">
        <v>140.53666000000001</v>
      </c>
      <c r="E77" s="40">
        <v>0</v>
      </c>
      <c r="F77" s="40">
        <v>4856.25</v>
      </c>
      <c r="G77" s="40">
        <v>432.5779</v>
      </c>
      <c r="H77" s="40">
        <v>80.169600000000003</v>
      </c>
      <c r="I77" s="40">
        <v>-127.26452999999999</v>
      </c>
      <c r="J77" s="40">
        <v>0</v>
      </c>
      <c r="K77" s="40">
        <v>0</v>
      </c>
      <c r="L77" s="40">
        <v>421.65383000000003</v>
      </c>
      <c r="M77" s="41">
        <v>6211.1273799999999</v>
      </c>
    </row>
    <row r="78" spans="1:13" s="16" customFormat="1" x14ac:dyDescent="0.25">
      <c r="A78" s="2" t="s">
        <v>86</v>
      </c>
      <c r="B78" s="40">
        <v>391.37234999999998</v>
      </c>
      <c r="C78" s="40">
        <v>400</v>
      </c>
      <c r="D78" s="40">
        <v>464.08659</v>
      </c>
      <c r="E78" s="40">
        <v>0</v>
      </c>
      <c r="F78" s="40">
        <v>4300</v>
      </c>
      <c r="G78" s="40">
        <v>10.058</v>
      </c>
      <c r="H78" s="40">
        <v>180.86775</v>
      </c>
      <c r="I78" s="40">
        <v>591.50599</v>
      </c>
      <c r="J78" s="40">
        <v>0</v>
      </c>
      <c r="K78" s="40">
        <v>0</v>
      </c>
      <c r="L78" s="40">
        <v>2408.7325099999998</v>
      </c>
      <c r="M78" s="41">
        <v>8746.6231900000002</v>
      </c>
    </row>
    <row r="79" spans="1:13" s="16" customFormat="1" x14ac:dyDescent="0.25">
      <c r="A79" s="2" t="s">
        <v>20</v>
      </c>
      <c r="B79" s="40">
        <v>1353.0613500000002</v>
      </c>
      <c r="C79" s="40">
        <v>0</v>
      </c>
      <c r="D79" s="40">
        <v>39.284939999999999</v>
      </c>
      <c r="E79" s="40">
        <v>0</v>
      </c>
      <c r="F79" s="40">
        <v>480</v>
      </c>
      <c r="G79" s="40">
        <v>20.680679999999999</v>
      </c>
      <c r="H79" s="40">
        <v>344.38597999999996</v>
      </c>
      <c r="I79" s="40">
        <v>2.3413400000000002</v>
      </c>
      <c r="J79" s="40">
        <v>0</v>
      </c>
      <c r="K79" s="40">
        <v>0</v>
      </c>
      <c r="L79" s="40">
        <v>13184.295050000001</v>
      </c>
      <c r="M79" s="41">
        <v>15424.049340000001</v>
      </c>
    </row>
    <row r="80" spans="1:13" s="16" customFormat="1" x14ac:dyDescent="0.25">
      <c r="A80" s="2" t="s">
        <v>87</v>
      </c>
      <c r="B80" s="40">
        <v>600.17444999999998</v>
      </c>
      <c r="C80" s="40">
        <v>0</v>
      </c>
      <c r="D80" s="40">
        <v>350.81615000000005</v>
      </c>
      <c r="E80" s="40">
        <v>0</v>
      </c>
      <c r="F80" s="40">
        <v>6222.17238</v>
      </c>
      <c r="G80" s="40">
        <v>0</v>
      </c>
      <c r="H80" s="40">
        <v>760.92651999999998</v>
      </c>
      <c r="I80" s="40">
        <v>-27.746669999999998</v>
      </c>
      <c r="J80" s="40">
        <v>0</v>
      </c>
      <c r="K80" s="40">
        <v>0</v>
      </c>
      <c r="L80" s="40">
        <v>1649.10302</v>
      </c>
      <c r="M80" s="41">
        <v>9555.4458500000001</v>
      </c>
    </row>
    <row r="81" spans="1:13" s="16" customFormat="1" x14ac:dyDescent="0.25">
      <c r="A81" s="2" t="s">
        <v>30</v>
      </c>
      <c r="B81" s="40">
        <v>159.97748999999999</v>
      </c>
      <c r="C81" s="40">
        <v>0</v>
      </c>
      <c r="D81" s="40">
        <v>1160.1204700000001</v>
      </c>
      <c r="E81" s="40">
        <v>0</v>
      </c>
      <c r="F81" s="40">
        <v>6700</v>
      </c>
      <c r="G81" s="40">
        <v>0</v>
      </c>
      <c r="H81" s="40">
        <v>26.02</v>
      </c>
      <c r="I81" s="40">
        <v>213.94082</v>
      </c>
      <c r="J81" s="40">
        <v>0</v>
      </c>
      <c r="K81" s="40">
        <v>0</v>
      </c>
      <c r="L81" s="40">
        <v>3634.0765899999997</v>
      </c>
      <c r="M81" s="41">
        <v>11894.13537</v>
      </c>
    </row>
    <row r="82" spans="1:13" s="16" customFormat="1" x14ac:dyDescent="0.25">
      <c r="A82" s="2" t="s">
        <v>88</v>
      </c>
      <c r="B82" s="40">
        <v>260.30696999999998</v>
      </c>
      <c r="C82" s="40">
        <v>0</v>
      </c>
      <c r="D82" s="40">
        <v>311.23111</v>
      </c>
      <c r="E82" s="40">
        <v>0</v>
      </c>
      <c r="F82" s="40">
        <v>6600</v>
      </c>
      <c r="G82" s="40">
        <v>0</v>
      </c>
      <c r="H82" s="40">
        <v>823.05192</v>
      </c>
      <c r="I82" s="40">
        <v>363.02479999999997</v>
      </c>
      <c r="J82" s="40">
        <v>0</v>
      </c>
      <c r="K82" s="40">
        <v>0</v>
      </c>
      <c r="L82" s="40">
        <v>3548.7783599999998</v>
      </c>
      <c r="M82" s="41">
        <v>11906.39316</v>
      </c>
    </row>
    <row r="83" spans="1:13" s="16" customFormat="1" x14ac:dyDescent="0.25">
      <c r="A83" s="2" t="s">
        <v>89</v>
      </c>
      <c r="B83" s="40">
        <v>12071.66411</v>
      </c>
      <c r="C83" s="40">
        <v>0</v>
      </c>
      <c r="D83" s="40">
        <v>0</v>
      </c>
      <c r="E83" s="40">
        <v>908.55200000000002</v>
      </c>
      <c r="F83" s="40">
        <v>0</v>
      </c>
      <c r="G83" s="40">
        <v>39</v>
      </c>
      <c r="H83" s="40">
        <v>3114.2626600000003</v>
      </c>
      <c r="I83" s="40">
        <v>2165.2374599999998</v>
      </c>
      <c r="J83" s="40">
        <v>1743.99935</v>
      </c>
      <c r="K83" s="40">
        <v>0</v>
      </c>
      <c r="L83" s="40">
        <v>59701.522530000002</v>
      </c>
      <c r="M83" s="41">
        <v>79744.238110000006</v>
      </c>
    </row>
    <row r="84" spans="1:13" s="16" customFormat="1" x14ac:dyDescent="0.25">
      <c r="A84" s="2" t="s">
        <v>90</v>
      </c>
      <c r="B84" s="40">
        <v>72.014049999999997</v>
      </c>
      <c r="C84" s="40">
        <v>0</v>
      </c>
      <c r="D84" s="40">
        <v>1088.3752400000001</v>
      </c>
      <c r="E84" s="40">
        <v>0</v>
      </c>
      <c r="F84" s="40">
        <v>827.14</v>
      </c>
      <c r="G84" s="40">
        <v>0</v>
      </c>
      <c r="H84" s="40">
        <v>158.65278000000001</v>
      </c>
      <c r="I84" s="40">
        <v>32.067029999999995</v>
      </c>
      <c r="J84" s="40">
        <v>0</v>
      </c>
      <c r="K84" s="40">
        <v>0</v>
      </c>
      <c r="L84" s="40">
        <v>2464.3916200000003</v>
      </c>
      <c r="M84" s="41">
        <v>4642.6407200000003</v>
      </c>
    </row>
    <row r="85" spans="1:13" s="16" customFormat="1" x14ac:dyDescent="0.25">
      <c r="A85" s="2" t="s">
        <v>91</v>
      </c>
      <c r="B85" s="40">
        <v>944.53787</v>
      </c>
      <c r="C85" s="40">
        <v>0</v>
      </c>
      <c r="D85" s="40">
        <v>1.2257</v>
      </c>
      <c r="E85" s="40">
        <v>0</v>
      </c>
      <c r="F85" s="40">
        <v>2220</v>
      </c>
      <c r="G85" s="40">
        <v>0</v>
      </c>
      <c r="H85" s="40">
        <v>203.78265999999999</v>
      </c>
      <c r="I85" s="40">
        <v>576.96179000000006</v>
      </c>
      <c r="J85" s="40">
        <v>0</v>
      </c>
      <c r="K85" s="40">
        <v>0</v>
      </c>
      <c r="L85" s="40">
        <v>2229.0536200000001</v>
      </c>
      <c r="M85" s="41">
        <v>6175.5616399999999</v>
      </c>
    </row>
    <row r="86" spans="1:13" s="16" customFormat="1" x14ac:dyDescent="0.25">
      <c r="A86" s="2" t="s">
        <v>92</v>
      </c>
      <c r="B86" s="40">
        <v>818.04896999999994</v>
      </c>
      <c r="C86" s="40">
        <v>0</v>
      </c>
      <c r="D86" s="40">
        <v>203.24331000000001</v>
      </c>
      <c r="E86" s="40">
        <v>0</v>
      </c>
      <c r="F86" s="40">
        <v>13600</v>
      </c>
      <c r="G86" s="40">
        <v>0</v>
      </c>
      <c r="H86" s="40">
        <v>314.0752</v>
      </c>
      <c r="I86" s="40">
        <v>-77.60011999999999</v>
      </c>
      <c r="J86" s="40">
        <v>0</v>
      </c>
      <c r="K86" s="40">
        <v>0</v>
      </c>
      <c r="L86" s="40">
        <v>2678.4192200000002</v>
      </c>
      <c r="M86" s="41">
        <v>17536.186580000001</v>
      </c>
    </row>
    <row r="87" spans="1:13" s="16" customFormat="1" x14ac:dyDescent="0.25">
      <c r="A87" s="2" t="s">
        <v>93</v>
      </c>
      <c r="B87" s="40">
        <v>2127.77232</v>
      </c>
      <c r="C87" s="40">
        <v>430.96734999999995</v>
      </c>
      <c r="D87" s="40">
        <v>620.28988000000004</v>
      </c>
      <c r="E87" s="40">
        <v>0</v>
      </c>
      <c r="F87" s="40">
        <v>4000</v>
      </c>
      <c r="G87" s="40">
        <v>62.256999999999998</v>
      </c>
      <c r="H87" s="40">
        <v>731.17155000000002</v>
      </c>
      <c r="I87" s="40">
        <v>775.99911999999995</v>
      </c>
      <c r="J87" s="40">
        <v>0</v>
      </c>
      <c r="K87" s="40">
        <v>0</v>
      </c>
      <c r="L87" s="40">
        <v>11983.743619999999</v>
      </c>
      <c r="M87" s="41">
        <v>20732.200839999998</v>
      </c>
    </row>
    <row r="88" spans="1:13" s="16" customFormat="1" ht="12.75" customHeight="1" x14ac:dyDescent="0.25">
      <c r="A88" s="2" t="s">
        <v>94</v>
      </c>
      <c r="B88" s="40">
        <v>222.25512000000001</v>
      </c>
      <c r="C88" s="40">
        <v>581.88612999999998</v>
      </c>
      <c r="D88" s="40">
        <v>6.1783000000000001</v>
      </c>
      <c r="E88" s="40">
        <v>0</v>
      </c>
      <c r="F88" s="40">
        <v>4998.2</v>
      </c>
      <c r="G88" s="40">
        <v>384.0052</v>
      </c>
      <c r="H88" s="40">
        <v>26.916400000000003</v>
      </c>
      <c r="I88" s="40">
        <v>-8.3395700000000001</v>
      </c>
      <c r="J88" s="40">
        <v>0</v>
      </c>
      <c r="K88" s="40">
        <v>0</v>
      </c>
      <c r="L88" s="40">
        <v>625.26820999999995</v>
      </c>
      <c r="M88" s="41">
        <v>6836.3697899999997</v>
      </c>
    </row>
    <row r="89" spans="1:13" s="16" customFormat="1" x14ac:dyDescent="0.25">
      <c r="A89" s="2" t="s">
        <v>95</v>
      </c>
      <c r="B89" s="40">
        <v>916.94060000000002</v>
      </c>
      <c r="C89" s="40">
        <v>0</v>
      </c>
      <c r="D89" s="40">
        <v>10.62415</v>
      </c>
      <c r="E89" s="40">
        <v>0</v>
      </c>
      <c r="F89" s="40">
        <v>14480</v>
      </c>
      <c r="G89" s="40">
        <v>0</v>
      </c>
      <c r="H89" s="40">
        <v>290.93627000000004</v>
      </c>
      <c r="I89" s="40">
        <v>90.332599999999999</v>
      </c>
      <c r="J89" s="40">
        <v>0</v>
      </c>
      <c r="K89" s="40">
        <v>0</v>
      </c>
      <c r="L89" s="40">
        <v>3456.6462499999998</v>
      </c>
      <c r="M89" s="41">
        <v>19245.479869999999</v>
      </c>
    </row>
    <row r="90" spans="1:13" s="16" customFormat="1" x14ac:dyDescent="0.25">
      <c r="A90" s="2" t="s">
        <v>96</v>
      </c>
      <c r="B90" s="40">
        <v>889.13229000000001</v>
      </c>
      <c r="C90" s="40">
        <v>1684.6875</v>
      </c>
      <c r="D90" s="40">
        <v>105.36429</v>
      </c>
      <c r="E90" s="40">
        <v>211.84800000000001</v>
      </c>
      <c r="F90" s="40">
        <v>9779.7999999999993</v>
      </c>
      <c r="G90" s="40">
        <v>0</v>
      </c>
      <c r="H90" s="40">
        <v>94</v>
      </c>
      <c r="I90" s="40">
        <v>391.93475999999998</v>
      </c>
      <c r="J90" s="40">
        <v>0</v>
      </c>
      <c r="K90" s="40">
        <v>0</v>
      </c>
      <c r="L90" s="40">
        <v>3182.4103399999999</v>
      </c>
      <c r="M90" s="41">
        <v>16339.177180000001</v>
      </c>
    </row>
    <row r="91" spans="1:13" s="16" customFormat="1" x14ac:dyDescent="0.25">
      <c r="A91" s="2" t="s">
        <v>97</v>
      </c>
      <c r="B91" s="40">
        <v>1899.7369899999999</v>
      </c>
      <c r="C91" s="40">
        <v>3722.18381</v>
      </c>
      <c r="D91" s="40">
        <v>266.88529</v>
      </c>
      <c r="E91" s="40">
        <v>312</v>
      </c>
      <c r="F91" s="40">
        <v>12900</v>
      </c>
      <c r="G91" s="40">
        <v>2678.2497499999999</v>
      </c>
      <c r="H91" s="40">
        <v>1274.73822</v>
      </c>
      <c r="I91" s="40">
        <v>-45.767290000000003</v>
      </c>
      <c r="J91" s="40">
        <v>0</v>
      </c>
      <c r="K91" s="40">
        <v>0</v>
      </c>
      <c r="L91" s="40">
        <v>6093.4137899999996</v>
      </c>
      <c r="M91" s="41">
        <v>29101.440559999995</v>
      </c>
    </row>
    <row r="92" spans="1:13" s="16" customFormat="1" ht="12.75" customHeight="1" x14ac:dyDescent="0.25">
      <c r="A92" s="2" t="s">
        <v>98</v>
      </c>
      <c r="B92" s="40">
        <v>2056.91095</v>
      </c>
      <c r="C92" s="40">
        <v>3238.7105999999999</v>
      </c>
      <c r="D92" s="40">
        <v>302.34755000000001</v>
      </c>
      <c r="E92" s="40">
        <v>0</v>
      </c>
      <c r="F92" s="40">
        <v>25147.048999999999</v>
      </c>
      <c r="G92" s="40">
        <v>0</v>
      </c>
      <c r="H92" s="40">
        <v>817.79121999999995</v>
      </c>
      <c r="I92" s="40">
        <v>15.45195</v>
      </c>
      <c r="J92" s="40">
        <v>0</v>
      </c>
      <c r="K92" s="40">
        <v>0</v>
      </c>
      <c r="L92" s="40">
        <v>5633.8097800000005</v>
      </c>
      <c r="M92" s="41">
        <v>37212.071049999999</v>
      </c>
    </row>
    <row r="93" spans="1:13" s="16" customFormat="1" x14ac:dyDescent="0.25">
      <c r="A93" s="2" t="s">
        <v>99</v>
      </c>
      <c r="B93" s="40">
        <v>2004.5409399999999</v>
      </c>
      <c r="C93" s="40">
        <v>0</v>
      </c>
      <c r="D93" s="40">
        <v>468.60470000000004</v>
      </c>
      <c r="E93" s="40">
        <v>0</v>
      </c>
      <c r="F93" s="40">
        <v>2000</v>
      </c>
      <c r="G93" s="40">
        <v>0</v>
      </c>
      <c r="H93" s="40">
        <v>3344.4836099999998</v>
      </c>
      <c r="I93" s="40">
        <v>-54.219709999999999</v>
      </c>
      <c r="J93" s="40">
        <v>0</v>
      </c>
      <c r="K93" s="40">
        <v>0</v>
      </c>
      <c r="L93" s="40">
        <v>7091.1015199999993</v>
      </c>
      <c r="M93" s="41">
        <v>14854.511059999999</v>
      </c>
    </row>
    <row r="94" spans="1:13" s="16" customFormat="1" x14ac:dyDescent="0.25">
      <c r="A94" s="2" t="s">
        <v>590</v>
      </c>
      <c r="B94" s="40">
        <v>1478.9595400000001</v>
      </c>
      <c r="C94" s="40">
        <v>2600</v>
      </c>
      <c r="D94" s="40">
        <v>400.89628999999996</v>
      </c>
      <c r="E94" s="40">
        <v>2.75</v>
      </c>
      <c r="F94" s="40">
        <v>10300</v>
      </c>
      <c r="G94" s="40">
        <v>70.997389999999996</v>
      </c>
      <c r="H94" s="40">
        <v>2101.4003299999999</v>
      </c>
      <c r="I94" s="40">
        <v>-142.67257999999998</v>
      </c>
      <c r="J94" s="40">
        <v>0</v>
      </c>
      <c r="K94" s="40">
        <v>0</v>
      </c>
      <c r="L94" s="40">
        <v>4061.8457200000003</v>
      </c>
      <c r="M94" s="41">
        <v>20874.176690000004</v>
      </c>
    </row>
    <row r="95" spans="1:13" s="16" customFormat="1" ht="12.75" customHeight="1" x14ac:dyDescent="0.25">
      <c r="A95" s="4" t="s">
        <v>22</v>
      </c>
      <c r="B95" s="40">
        <v>602.83814000000007</v>
      </c>
      <c r="C95" s="40">
        <v>0</v>
      </c>
      <c r="D95" s="40">
        <v>481.58688000000001</v>
      </c>
      <c r="E95" s="40">
        <v>0</v>
      </c>
      <c r="F95" s="40">
        <v>11000</v>
      </c>
      <c r="G95" s="40">
        <v>55</v>
      </c>
      <c r="H95" s="40">
        <v>326.55720000000002</v>
      </c>
      <c r="I95" s="40">
        <v>-54.280670000000001</v>
      </c>
      <c r="J95" s="40">
        <v>0</v>
      </c>
      <c r="K95" s="40">
        <v>0</v>
      </c>
      <c r="L95" s="40">
        <v>11215.89581</v>
      </c>
      <c r="M95" s="41">
        <v>23627.59736</v>
      </c>
    </row>
    <row r="96" spans="1:13" s="16" customFormat="1" x14ac:dyDescent="0.25">
      <c r="A96" s="2" t="s">
        <v>100</v>
      </c>
      <c r="B96" s="40">
        <v>1197.3489199999999</v>
      </c>
      <c r="C96" s="40">
        <v>1645.1696999999999</v>
      </c>
      <c r="D96" s="40">
        <v>2.2999999999999998</v>
      </c>
      <c r="E96" s="40">
        <v>0</v>
      </c>
      <c r="F96" s="40">
        <v>18534.5</v>
      </c>
      <c r="G96" s="40">
        <v>0</v>
      </c>
      <c r="H96" s="40">
        <v>1122.3428799999999</v>
      </c>
      <c r="I96" s="40">
        <v>-293.97192000000001</v>
      </c>
      <c r="J96" s="40">
        <v>0</v>
      </c>
      <c r="K96" s="40">
        <v>0</v>
      </c>
      <c r="L96" s="40">
        <v>5272.7845299999999</v>
      </c>
      <c r="M96" s="41">
        <v>27480.474109999999</v>
      </c>
    </row>
    <row r="97" spans="1:13" s="16" customFormat="1" ht="12.75" customHeight="1" x14ac:dyDescent="0.25">
      <c r="A97" s="2" t="s">
        <v>101</v>
      </c>
      <c r="B97" s="40">
        <v>1349.71334</v>
      </c>
      <c r="C97" s="40">
        <v>0</v>
      </c>
      <c r="D97" s="40">
        <v>164.5822</v>
      </c>
      <c r="E97" s="40">
        <v>0</v>
      </c>
      <c r="F97" s="40">
        <v>10500</v>
      </c>
      <c r="G97" s="40">
        <v>-7.16</v>
      </c>
      <c r="H97" s="40">
        <v>1260.1359399999999</v>
      </c>
      <c r="I97" s="40">
        <v>-578.83968999999991</v>
      </c>
      <c r="J97" s="40">
        <v>0</v>
      </c>
      <c r="K97" s="40">
        <v>0</v>
      </c>
      <c r="L97" s="40">
        <v>9823.4420800000007</v>
      </c>
      <c r="M97" s="41">
        <v>22511.873869999999</v>
      </c>
    </row>
    <row r="98" spans="1:13" s="16" customFormat="1" x14ac:dyDescent="0.25">
      <c r="A98" s="2" t="s">
        <v>23</v>
      </c>
      <c r="B98" s="40">
        <v>1123.2391599999999</v>
      </c>
      <c r="C98" s="40">
        <v>0</v>
      </c>
      <c r="D98" s="40">
        <v>8317.5594899999996</v>
      </c>
      <c r="E98" s="40">
        <v>0</v>
      </c>
      <c r="F98" s="40">
        <v>6200</v>
      </c>
      <c r="G98" s="40">
        <v>0</v>
      </c>
      <c r="H98" s="40">
        <v>886.31548999999995</v>
      </c>
      <c r="I98" s="40">
        <v>-17.768819999999998</v>
      </c>
      <c r="J98" s="40">
        <v>0</v>
      </c>
      <c r="K98" s="40">
        <v>0</v>
      </c>
      <c r="L98" s="40">
        <v>28505.652890000001</v>
      </c>
      <c r="M98" s="41">
        <v>45014.998209999998</v>
      </c>
    </row>
    <row r="99" spans="1:13" s="16" customFormat="1" x14ac:dyDescent="0.25">
      <c r="A99" s="2" t="s">
        <v>102</v>
      </c>
      <c r="B99" s="40">
        <v>1879.5071699999999</v>
      </c>
      <c r="C99" s="40">
        <v>0</v>
      </c>
      <c r="D99" s="40">
        <v>411.17862000000002</v>
      </c>
      <c r="E99" s="40">
        <v>0</v>
      </c>
      <c r="F99" s="40">
        <v>16552.400000000001</v>
      </c>
      <c r="G99" s="40">
        <v>2208.6671000000001</v>
      </c>
      <c r="H99" s="40">
        <v>931.25468999999998</v>
      </c>
      <c r="I99" s="40">
        <v>4279.8294900000001</v>
      </c>
      <c r="J99" s="40">
        <v>0</v>
      </c>
      <c r="K99" s="40">
        <v>0</v>
      </c>
      <c r="L99" s="40">
        <v>5967.6261100000002</v>
      </c>
      <c r="M99" s="41">
        <v>32230.463180000002</v>
      </c>
    </row>
    <row r="100" spans="1:13" s="16" customFormat="1" x14ac:dyDescent="0.25">
      <c r="A100" s="2" t="s">
        <v>24</v>
      </c>
      <c r="B100" s="40">
        <v>669.61354000000006</v>
      </c>
      <c r="C100" s="40">
        <v>0</v>
      </c>
      <c r="D100" s="40">
        <v>384.89729999999997</v>
      </c>
      <c r="E100" s="40">
        <v>0</v>
      </c>
      <c r="F100" s="40">
        <v>15034.6</v>
      </c>
      <c r="G100" s="40">
        <v>34.3093</v>
      </c>
      <c r="H100" s="40">
        <v>419.61639000000002</v>
      </c>
      <c r="I100" s="40">
        <v>14.465339999999999</v>
      </c>
      <c r="J100" s="40">
        <v>0</v>
      </c>
      <c r="K100" s="40">
        <v>0</v>
      </c>
      <c r="L100" s="40">
        <v>7861.1781900000005</v>
      </c>
      <c r="M100" s="41">
        <v>24418.680059999999</v>
      </c>
    </row>
    <row r="101" spans="1:13" s="16" customFormat="1" x14ac:dyDescent="0.25">
      <c r="A101" s="3" t="s">
        <v>103</v>
      </c>
      <c r="B101" s="40">
        <v>648.4615</v>
      </c>
      <c r="C101" s="40">
        <v>0</v>
      </c>
      <c r="D101" s="40">
        <v>672.84228000000007</v>
      </c>
      <c r="E101" s="40">
        <v>0</v>
      </c>
      <c r="F101" s="40">
        <v>18700</v>
      </c>
      <c r="G101" s="40">
        <v>270.21555000000001</v>
      </c>
      <c r="H101" s="40">
        <v>1139.1242199999999</v>
      </c>
      <c r="I101" s="40">
        <v>730.12196999999992</v>
      </c>
      <c r="J101" s="40">
        <v>0</v>
      </c>
      <c r="K101" s="40">
        <v>0</v>
      </c>
      <c r="L101" s="40">
        <v>7752.1869500000003</v>
      </c>
      <c r="M101" s="41">
        <v>29912.952470000004</v>
      </c>
    </row>
    <row r="102" spans="1:13" s="16" customFormat="1" x14ac:dyDescent="0.25">
      <c r="A102" s="2" t="s">
        <v>104</v>
      </c>
      <c r="B102" s="40">
        <v>1982.13014</v>
      </c>
      <c r="C102" s="40">
        <v>0</v>
      </c>
      <c r="D102" s="40">
        <v>601.62122999999997</v>
      </c>
      <c r="E102" s="40">
        <v>0</v>
      </c>
      <c r="F102" s="40">
        <v>18052.875</v>
      </c>
      <c r="G102" s="40">
        <v>905.35235</v>
      </c>
      <c r="H102" s="40">
        <v>2703.3190800000002</v>
      </c>
      <c r="I102" s="40">
        <v>1277.0092299999999</v>
      </c>
      <c r="J102" s="40">
        <v>0</v>
      </c>
      <c r="K102" s="40">
        <v>0</v>
      </c>
      <c r="L102" s="40">
        <v>9125.7708599999987</v>
      </c>
      <c r="M102" s="41">
        <v>34648.07789</v>
      </c>
    </row>
    <row r="103" spans="1:13" s="16" customFormat="1" x14ac:dyDescent="0.25">
      <c r="A103" s="2" t="s">
        <v>25</v>
      </c>
      <c r="B103" s="40">
        <v>887.64413000000002</v>
      </c>
      <c r="C103" s="40">
        <v>0</v>
      </c>
      <c r="D103" s="40">
        <v>643.43889000000001</v>
      </c>
      <c r="E103" s="40">
        <v>283.90780000000001</v>
      </c>
      <c r="F103" s="40">
        <v>9500</v>
      </c>
      <c r="G103" s="40">
        <v>0</v>
      </c>
      <c r="H103" s="40">
        <v>87.932949999999991</v>
      </c>
      <c r="I103" s="40">
        <v>-9.797600000000001</v>
      </c>
      <c r="J103" s="40">
        <v>0</v>
      </c>
      <c r="K103" s="40">
        <v>0</v>
      </c>
      <c r="L103" s="40">
        <v>15082.54297</v>
      </c>
      <c r="M103" s="41">
        <v>26475.669139999998</v>
      </c>
    </row>
    <row r="104" spans="1:13" s="16" customFormat="1" x14ac:dyDescent="0.25">
      <c r="A104" s="2" t="s">
        <v>105</v>
      </c>
      <c r="B104" s="40">
        <v>1394.8033899999998</v>
      </c>
      <c r="C104" s="40">
        <v>4976.7038400000001</v>
      </c>
      <c r="D104" s="40">
        <v>817.24844999999993</v>
      </c>
      <c r="E104" s="40">
        <v>0</v>
      </c>
      <c r="F104" s="40">
        <v>13100</v>
      </c>
      <c r="G104" s="40">
        <v>1639.38985</v>
      </c>
      <c r="H104" s="40">
        <v>1167.8535200000001</v>
      </c>
      <c r="I104" s="40">
        <v>843.18042000000003</v>
      </c>
      <c r="J104" s="40">
        <v>0</v>
      </c>
      <c r="K104" s="40">
        <v>0</v>
      </c>
      <c r="L104" s="40">
        <v>16032.52066</v>
      </c>
      <c r="M104" s="41">
        <v>39971.700130000005</v>
      </c>
    </row>
    <row r="105" spans="1:13" s="16" customFormat="1" x14ac:dyDescent="0.25">
      <c r="A105" s="2" t="s">
        <v>106</v>
      </c>
      <c r="B105" s="40">
        <v>847.37040999999999</v>
      </c>
      <c r="C105" s="40">
        <v>0</v>
      </c>
      <c r="D105" s="40">
        <v>41.767629999999997</v>
      </c>
      <c r="E105" s="40">
        <v>0</v>
      </c>
      <c r="F105" s="40">
        <v>6400</v>
      </c>
      <c r="G105" s="40">
        <v>226.36500000000001</v>
      </c>
      <c r="H105" s="40">
        <v>542.64655000000005</v>
      </c>
      <c r="I105" s="40">
        <v>-169.50382999999999</v>
      </c>
      <c r="J105" s="40">
        <v>0</v>
      </c>
      <c r="K105" s="40">
        <v>0</v>
      </c>
      <c r="L105" s="40">
        <v>1604.1179500000001</v>
      </c>
      <c r="M105" s="41">
        <v>9492.7637100000011</v>
      </c>
    </row>
    <row r="106" spans="1:13" s="16" customFormat="1" x14ac:dyDescent="0.25">
      <c r="A106" s="2" t="s">
        <v>107</v>
      </c>
      <c r="B106" s="40">
        <v>1181.0036499999999</v>
      </c>
      <c r="C106" s="40">
        <v>3373.3597</v>
      </c>
      <c r="D106" s="40">
        <v>51.510220000000004</v>
      </c>
      <c r="E106" s="40">
        <v>0</v>
      </c>
      <c r="F106" s="40">
        <v>4773.5</v>
      </c>
      <c r="G106" s="40">
        <v>0</v>
      </c>
      <c r="H106" s="40">
        <v>1476.8299199999999</v>
      </c>
      <c r="I106" s="40">
        <v>397.96133000000003</v>
      </c>
      <c r="J106" s="40">
        <v>0</v>
      </c>
      <c r="K106" s="40">
        <v>0</v>
      </c>
      <c r="L106" s="40">
        <v>1389.2819500000001</v>
      </c>
      <c r="M106" s="41">
        <v>12643.44677</v>
      </c>
    </row>
    <row r="107" spans="1:13" s="16" customFormat="1" x14ac:dyDescent="0.25">
      <c r="A107" s="2" t="s">
        <v>108</v>
      </c>
      <c r="B107" s="40">
        <v>754.52512999999999</v>
      </c>
      <c r="C107" s="40">
        <v>0</v>
      </c>
      <c r="D107" s="40">
        <v>320.21590000000003</v>
      </c>
      <c r="E107" s="40">
        <v>0</v>
      </c>
      <c r="F107" s="40">
        <v>11000</v>
      </c>
      <c r="G107" s="40">
        <v>852.37518</v>
      </c>
      <c r="H107" s="40">
        <v>215.98685</v>
      </c>
      <c r="I107" s="40">
        <v>462.07296000000002</v>
      </c>
      <c r="J107" s="40">
        <v>0</v>
      </c>
      <c r="K107" s="40">
        <v>0</v>
      </c>
      <c r="L107" s="40">
        <v>6610.5792000000001</v>
      </c>
      <c r="M107" s="41">
        <v>20215.755219999999</v>
      </c>
    </row>
    <row r="108" spans="1:13" s="16" customFormat="1" x14ac:dyDescent="0.25">
      <c r="A108" s="2" t="s">
        <v>109</v>
      </c>
      <c r="B108" s="40">
        <v>1376.4676100000001</v>
      </c>
      <c r="C108" s="40">
        <v>0</v>
      </c>
      <c r="D108" s="40">
        <v>295.61996999999997</v>
      </c>
      <c r="E108" s="40">
        <v>0</v>
      </c>
      <c r="F108" s="40">
        <v>6400</v>
      </c>
      <c r="G108" s="40">
        <v>0</v>
      </c>
      <c r="H108" s="40">
        <v>2421.82735</v>
      </c>
      <c r="I108" s="40">
        <v>-217.91057000000001</v>
      </c>
      <c r="J108" s="40">
        <v>0</v>
      </c>
      <c r="K108" s="40">
        <v>0</v>
      </c>
      <c r="L108" s="40">
        <v>4021.22642</v>
      </c>
      <c r="M108" s="41">
        <v>14297.230780000002</v>
      </c>
    </row>
    <row r="109" spans="1:13" s="23" customFormat="1" ht="18" customHeight="1" x14ac:dyDescent="0.25">
      <c r="A109" s="17" t="s">
        <v>224</v>
      </c>
      <c r="B109" s="43">
        <v>210327.36578999995</v>
      </c>
      <c r="C109" s="43">
        <v>203906.29624999998</v>
      </c>
      <c r="D109" s="43">
        <v>77341.944350000005</v>
      </c>
      <c r="E109" s="43">
        <v>7860.2082499999988</v>
      </c>
      <c r="F109" s="43">
        <v>3320516.9216800001</v>
      </c>
      <c r="G109" s="43">
        <v>192596.61169999998</v>
      </c>
      <c r="H109" s="43">
        <v>143554.62487999999</v>
      </c>
      <c r="I109" s="43">
        <v>23390.849999999995</v>
      </c>
      <c r="J109" s="43">
        <v>-2985.8839400000006</v>
      </c>
      <c r="K109" s="43">
        <v>408.65454999999997</v>
      </c>
      <c r="L109" s="43">
        <v>1056516.6685599999</v>
      </c>
      <c r="M109" s="43">
        <v>5233434.2620700011</v>
      </c>
    </row>
    <row r="110" spans="1:13" s="23" customFormat="1" ht="18" customHeight="1" x14ac:dyDescent="0.15">
      <c r="A110" s="23" t="s">
        <v>225</v>
      </c>
      <c r="B110" s="44"/>
      <c r="C110" s="44"/>
      <c r="D110" s="44"/>
      <c r="E110" s="44"/>
      <c r="F110" s="45"/>
      <c r="G110" s="44"/>
      <c r="H110" s="44"/>
      <c r="I110" s="44"/>
      <c r="J110" s="44"/>
      <c r="K110" s="44"/>
      <c r="L110" s="44"/>
      <c r="M110" s="44"/>
    </row>
    <row r="111" spans="1:13" x14ac:dyDescent="0.25">
      <c r="B111" s="16"/>
      <c r="C111" s="16"/>
      <c r="D111" s="59"/>
      <c r="E111" s="59"/>
      <c r="F111" s="16"/>
      <c r="G111" s="16"/>
      <c r="H111" s="16"/>
      <c r="I111" s="16"/>
      <c r="J111" s="16"/>
      <c r="K111" s="16"/>
      <c r="L111" s="16"/>
      <c r="M111" s="60"/>
    </row>
    <row r="112" spans="1:13" x14ac:dyDescent="0.25">
      <c r="B112" s="16"/>
      <c r="C112" s="16"/>
      <c r="D112" s="59"/>
      <c r="E112" s="59"/>
      <c r="F112" s="16"/>
      <c r="G112" s="16"/>
      <c r="H112" s="16"/>
      <c r="I112" s="16"/>
      <c r="J112" s="16"/>
      <c r="K112" s="16"/>
      <c r="L112" s="16"/>
      <c r="M112" s="60"/>
    </row>
    <row r="113" spans="2:13" x14ac:dyDescent="0.25">
      <c r="B113" s="16"/>
      <c r="C113" s="16"/>
      <c r="D113" s="59"/>
      <c r="E113" s="59"/>
      <c r="F113" s="16"/>
      <c r="G113" s="16"/>
      <c r="H113" s="16"/>
      <c r="I113" s="16"/>
      <c r="J113" s="16"/>
      <c r="K113" s="16"/>
      <c r="L113" s="16"/>
      <c r="M113" s="60"/>
    </row>
    <row r="114" spans="2:13" x14ac:dyDescent="0.25">
      <c r="B114" s="16"/>
      <c r="C114" s="16"/>
      <c r="D114" s="59"/>
      <c r="E114" s="59"/>
      <c r="F114" s="16"/>
      <c r="G114" s="16"/>
      <c r="H114" s="16"/>
      <c r="I114" s="16"/>
      <c r="J114" s="16"/>
      <c r="K114" s="16"/>
      <c r="L114" s="16"/>
      <c r="M114" s="60"/>
    </row>
    <row r="115" spans="2:13" x14ac:dyDescent="0.25">
      <c r="B115" s="16"/>
      <c r="C115" s="16"/>
      <c r="D115" s="59"/>
      <c r="E115" s="59"/>
      <c r="F115" s="16"/>
      <c r="G115" s="16"/>
      <c r="H115" s="16"/>
      <c r="I115" s="16"/>
      <c r="J115" s="16"/>
      <c r="K115" s="16"/>
      <c r="L115" s="16"/>
      <c r="M115" s="60"/>
    </row>
    <row r="116" spans="2:13" x14ac:dyDescent="0.25">
      <c r="B116" s="16"/>
      <c r="C116" s="16"/>
      <c r="D116" s="59"/>
      <c r="E116" s="59"/>
      <c r="F116" s="16"/>
      <c r="G116" s="16"/>
      <c r="H116" s="16"/>
      <c r="I116" s="16"/>
      <c r="J116" s="16"/>
      <c r="K116" s="16"/>
      <c r="L116" s="16"/>
      <c r="M116" s="60"/>
    </row>
    <row r="117" spans="2:13" x14ac:dyDescent="0.25">
      <c r="B117" s="16"/>
      <c r="C117" s="16"/>
      <c r="D117" s="59"/>
      <c r="E117" s="59"/>
      <c r="F117" s="16"/>
      <c r="G117" s="16"/>
      <c r="H117" s="16"/>
      <c r="I117" s="16"/>
      <c r="J117" s="16"/>
      <c r="K117" s="16"/>
      <c r="L117" s="16"/>
      <c r="M117" s="60"/>
    </row>
    <row r="118" spans="2:13" x14ac:dyDescent="0.25">
      <c r="B118" s="16"/>
      <c r="C118" s="16"/>
      <c r="D118" s="59"/>
      <c r="E118" s="59"/>
      <c r="F118" s="16"/>
      <c r="G118" s="16"/>
      <c r="H118" s="16"/>
      <c r="I118" s="16"/>
      <c r="J118" s="16"/>
      <c r="K118" s="16"/>
      <c r="L118" s="16"/>
      <c r="M118" s="60"/>
    </row>
    <row r="119" spans="2:13" x14ac:dyDescent="0.25">
      <c r="B119" s="16"/>
      <c r="C119" s="16"/>
      <c r="D119" s="59"/>
      <c r="E119" s="59"/>
      <c r="F119" s="16"/>
      <c r="G119" s="16"/>
      <c r="H119" s="16"/>
      <c r="I119" s="16"/>
      <c r="J119" s="16"/>
      <c r="K119" s="16"/>
      <c r="L119" s="16"/>
      <c r="M119" s="60"/>
    </row>
    <row r="120" spans="2:13" x14ac:dyDescent="0.25">
      <c r="B120" s="16"/>
      <c r="C120" s="16"/>
      <c r="D120" s="59"/>
      <c r="E120" s="59"/>
      <c r="F120" s="16"/>
      <c r="G120" s="16"/>
      <c r="H120" s="16"/>
      <c r="I120" s="16"/>
      <c r="J120" s="16"/>
      <c r="K120" s="16"/>
      <c r="L120" s="16"/>
      <c r="M120" s="60"/>
    </row>
    <row r="121" spans="2:13" x14ac:dyDescent="0.25">
      <c r="B121" s="16"/>
      <c r="C121" s="16"/>
      <c r="D121" s="59"/>
      <c r="E121" s="59"/>
      <c r="F121" s="16"/>
      <c r="G121" s="16"/>
      <c r="H121" s="16"/>
      <c r="I121" s="16"/>
      <c r="J121" s="16"/>
      <c r="K121" s="16"/>
      <c r="L121" s="16"/>
      <c r="M121" s="60"/>
    </row>
    <row r="122" spans="2:13" x14ac:dyDescent="0.25">
      <c r="B122" s="16"/>
      <c r="C122" s="16"/>
      <c r="D122" s="59"/>
      <c r="E122" s="59"/>
      <c r="F122" s="16"/>
      <c r="G122" s="16"/>
      <c r="H122" s="16"/>
      <c r="I122" s="16"/>
      <c r="J122" s="16"/>
      <c r="K122" s="16"/>
      <c r="L122" s="16"/>
      <c r="M122" s="60"/>
    </row>
    <row r="123" spans="2:13" x14ac:dyDescent="0.25">
      <c r="B123" s="16"/>
      <c r="C123" s="16"/>
      <c r="D123" s="59"/>
      <c r="E123" s="59"/>
      <c r="F123" s="16"/>
      <c r="G123" s="16"/>
      <c r="H123" s="16"/>
      <c r="I123" s="16"/>
      <c r="J123" s="16"/>
      <c r="K123" s="16"/>
      <c r="L123" s="16"/>
      <c r="M123" s="60"/>
    </row>
    <row r="124" spans="2:13" x14ac:dyDescent="0.25">
      <c r="B124" s="16"/>
      <c r="C124" s="16"/>
      <c r="D124" s="59"/>
      <c r="E124" s="59"/>
      <c r="F124" s="16"/>
      <c r="G124" s="16"/>
      <c r="H124" s="16"/>
      <c r="I124" s="16"/>
      <c r="J124" s="16"/>
      <c r="K124" s="16"/>
      <c r="L124" s="16"/>
      <c r="M124" s="60"/>
    </row>
    <row r="125" spans="2:13" x14ac:dyDescent="0.25">
      <c r="B125" s="16"/>
      <c r="C125" s="16"/>
      <c r="D125" s="59"/>
      <c r="E125" s="59"/>
      <c r="F125" s="16"/>
      <c r="G125" s="16"/>
      <c r="H125" s="16"/>
      <c r="I125" s="16"/>
      <c r="J125" s="16"/>
      <c r="K125" s="16"/>
      <c r="L125" s="16"/>
      <c r="M125" s="60"/>
    </row>
    <row r="126" spans="2:13" x14ac:dyDescent="0.25">
      <c r="B126" s="16"/>
      <c r="C126" s="16"/>
      <c r="D126" s="59"/>
      <c r="E126" s="59"/>
      <c r="F126" s="16"/>
      <c r="G126" s="16"/>
      <c r="H126" s="16"/>
      <c r="I126" s="16"/>
      <c r="J126" s="16"/>
      <c r="K126" s="16"/>
      <c r="L126" s="16"/>
      <c r="M126" s="60"/>
    </row>
    <row r="127" spans="2:13" x14ac:dyDescent="0.25">
      <c r="B127" s="16"/>
      <c r="C127" s="16"/>
      <c r="D127" s="59"/>
      <c r="E127" s="59"/>
      <c r="F127" s="16"/>
      <c r="G127" s="16"/>
      <c r="H127" s="16"/>
      <c r="I127" s="16"/>
      <c r="J127" s="16"/>
      <c r="K127" s="16"/>
      <c r="L127" s="16"/>
      <c r="M127" s="60"/>
    </row>
    <row r="128" spans="2:13" x14ac:dyDescent="0.25">
      <c r="B128" s="16"/>
      <c r="C128" s="16"/>
      <c r="D128" s="59"/>
      <c r="E128" s="59"/>
      <c r="F128" s="16"/>
      <c r="G128" s="16"/>
      <c r="H128" s="16"/>
      <c r="I128" s="16"/>
      <c r="J128" s="16"/>
      <c r="K128" s="16"/>
      <c r="L128" s="16"/>
      <c r="M128" s="60"/>
    </row>
    <row r="129" spans="2:13" x14ac:dyDescent="0.25">
      <c r="B129" s="16"/>
      <c r="C129" s="16"/>
      <c r="D129" s="59"/>
      <c r="E129" s="59"/>
      <c r="F129" s="16"/>
      <c r="G129" s="16"/>
      <c r="H129" s="16"/>
      <c r="I129" s="16"/>
      <c r="J129" s="16"/>
      <c r="K129" s="16"/>
      <c r="L129" s="16"/>
      <c r="M129" s="60"/>
    </row>
    <row r="130" spans="2:13" x14ac:dyDescent="0.25">
      <c r="B130" s="16"/>
      <c r="C130" s="16"/>
      <c r="D130" s="59"/>
      <c r="E130" s="59"/>
      <c r="F130" s="16"/>
      <c r="G130" s="16"/>
      <c r="H130" s="16"/>
      <c r="I130" s="16"/>
      <c r="J130" s="16"/>
      <c r="K130" s="16"/>
      <c r="L130" s="16"/>
      <c r="M130" s="60"/>
    </row>
    <row r="131" spans="2:13" x14ac:dyDescent="0.25">
      <c r="B131" s="16"/>
      <c r="C131" s="16"/>
      <c r="D131" s="59"/>
      <c r="E131" s="59"/>
      <c r="F131" s="16"/>
      <c r="G131" s="16"/>
      <c r="H131" s="16"/>
      <c r="I131" s="16"/>
      <c r="J131" s="16"/>
      <c r="K131" s="16"/>
      <c r="L131" s="16"/>
      <c r="M131" s="60"/>
    </row>
    <row r="132" spans="2:13" x14ac:dyDescent="0.25">
      <c r="B132" s="16"/>
      <c r="C132" s="16"/>
      <c r="D132" s="59"/>
      <c r="E132" s="59"/>
      <c r="F132" s="16"/>
      <c r="G132" s="16"/>
      <c r="H132" s="16"/>
      <c r="I132" s="16"/>
      <c r="J132" s="16"/>
      <c r="K132" s="16"/>
      <c r="L132" s="16"/>
      <c r="M132" s="60"/>
    </row>
    <row r="133" spans="2:13" x14ac:dyDescent="0.25">
      <c r="B133" s="16"/>
      <c r="C133" s="16"/>
      <c r="D133" s="59"/>
      <c r="E133" s="59"/>
      <c r="F133" s="16"/>
      <c r="G133" s="16"/>
      <c r="H133" s="16"/>
      <c r="I133" s="16"/>
      <c r="J133" s="16"/>
      <c r="K133" s="16"/>
      <c r="L133" s="16"/>
      <c r="M133" s="60"/>
    </row>
    <row r="134" spans="2:13" x14ac:dyDescent="0.25">
      <c r="B134" s="16"/>
      <c r="C134" s="16"/>
      <c r="D134" s="59"/>
      <c r="E134" s="59"/>
      <c r="F134" s="16"/>
      <c r="G134" s="16"/>
      <c r="H134" s="16"/>
      <c r="I134" s="16"/>
      <c r="J134" s="16"/>
      <c r="K134" s="16"/>
      <c r="L134" s="16"/>
      <c r="M134" s="60"/>
    </row>
    <row r="135" spans="2:13" x14ac:dyDescent="0.25">
      <c r="B135" s="16"/>
      <c r="C135" s="16"/>
      <c r="D135" s="59"/>
      <c r="E135" s="59"/>
      <c r="F135" s="16"/>
      <c r="G135" s="16"/>
      <c r="H135" s="16"/>
      <c r="I135" s="16"/>
      <c r="J135" s="16"/>
      <c r="K135" s="16"/>
      <c r="L135" s="16"/>
      <c r="M135" s="60"/>
    </row>
    <row r="136" spans="2:13" x14ac:dyDescent="0.25">
      <c r="B136" s="16"/>
      <c r="C136" s="16"/>
      <c r="D136" s="59"/>
      <c r="E136" s="59"/>
      <c r="F136" s="16"/>
      <c r="G136" s="16"/>
      <c r="H136" s="16"/>
      <c r="I136" s="16"/>
      <c r="J136" s="16"/>
      <c r="K136" s="16"/>
      <c r="L136" s="16"/>
      <c r="M136" s="60"/>
    </row>
    <row r="137" spans="2:13" x14ac:dyDescent="0.25">
      <c r="B137" s="16"/>
      <c r="C137" s="16"/>
      <c r="D137" s="59"/>
      <c r="E137" s="59"/>
      <c r="F137" s="16"/>
      <c r="G137" s="16"/>
      <c r="H137" s="16"/>
      <c r="I137" s="16"/>
      <c r="J137" s="16"/>
      <c r="K137" s="16"/>
      <c r="L137" s="16"/>
      <c r="M137" s="60"/>
    </row>
    <row r="138" spans="2:13" x14ac:dyDescent="0.25">
      <c r="B138" s="16"/>
      <c r="C138" s="16"/>
      <c r="D138" s="59"/>
      <c r="E138" s="59"/>
      <c r="F138" s="16"/>
      <c r="G138" s="16"/>
      <c r="H138" s="16"/>
      <c r="I138" s="16"/>
      <c r="J138" s="16"/>
      <c r="K138" s="16"/>
      <c r="L138" s="16"/>
      <c r="M138" s="60"/>
    </row>
    <row r="139" spans="2:13" x14ac:dyDescent="0.25">
      <c r="B139" s="16"/>
      <c r="C139" s="16"/>
      <c r="D139" s="59"/>
      <c r="E139" s="59"/>
      <c r="F139" s="16"/>
      <c r="G139" s="16"/>
      <c r="H139" s="16"/>
      <c r="I139" s="16"/>
      <c r="J139" s="16"/>
      <c r="K139" s="16"/>
      <c r="L139" s="16"/>
      <c r="M139" s="60"/>
    </row>
    <row r="140" spans="2:13" x14ac:dyDescent="0.25">
      <c r="B140" s="16"/>
      <c r="C140" s="16"/>
      <c r="D140" s="59"/>
      <c r="E140" s="59"/>
      <c r="F140" s="16"/>
      <c r="G140" s="16"/>
      <c r="H140" s="16"/>
      <c r="I140" s="16"/>
      <c r="J140" s="16"/>
      <c r="K140" s="16"/>
      <c r="L140" s="16"/>
      <c r="M140" s="60"/>
    </row>
    <row r="141" spans="2:13" x14ac:dyDescent="0.25">
      <c r="B141" s="16"/>
      <c r="C141" s="16"/>
      <c r="D141" s="59"/>
      <c r="E141" s="59"/>
      <c r="F141" s="16"/>
      <c r="G141" s="16"/>
      <c r="H141" s="16"/>
      <c r="I141" s="16"/>
      <c r="J141" s="16"/>
      <c r="K141" s="16"/>
      <c r="L141" s="16"/>
      <c r="M141" s="60"/>
    </row>
    <row r="142" spans="2:13" x14ac:dyDescent="0.25">
      <c r="B142" s="16"/>
      <c r="C142" s="16"/>
      <c r="D142" s="59"/>
      <c r="E142" s="59"/>
      <c r="F142" s="16"/>
      <c r="G142" s="16"/>
      <c r="H142" s="16"/>
      <c r="I142" s="16"/>
      <c r="J142" s="16"/>
      <c r="K142" s="16"/>
      <c r="L142" s="16"/>
      <c r="M142" s="60"/>
    </row>
    <row r="143" spans="2:13" x14ac:dyDescent="0.25">
      <c r="B143" s="16"/>
      <c r="C143" s="16"/>
      <c r="D143" s="59"/>
      <c r="E143" s="59"/>
      <c r="F143" s="16"/>
      <c r="G143" s="16"/>
      <c r="H143" s="16"/>
      <c r="I143" s="16"/>
      <c r="J143" s="16"/>
      <c r="K143" s="16"/>
      <c r="L143" s="16"/>
      <c r="M143" s="60"/>
    </row>
    <row r="144" spans="2:13" x14ac:dyDescent="0.25">
      <c r="B144" s="16"/>
      <c r="C144" s="16"/>
      <c r="D144" s="59"/>
      <c r="E144" s="59"/>
      <c r="F144" s="16"/>
      <c r="G144" s="16"/>
      <c r="H144" s="16"/>
      <c r="I144" s="16"/>
      <c r="J144" s="16"/>
      <c r="K144" s="16"/>
      <c r="L144" s="16"/>
      <c r="M144" s="60"/>
    </row>
    <row r="145" spans="2:13" x14ac:dyDescent="0.25">
      <c r="B145" s="16"/>
      <c r="C145" s="16"/>
      <c r="D145" s="59"/>
      <c r="E145" s="59"/>
      <c r="F145" s="16"/>
      <c r="G145" s="16"/>
      <c r="H145" s="16"/>
      <c r="I145" s="16"/>
      <c r="J145" s="16"/>
      <c r="K145" s="16"/>
      <c r="L145" s="16"/>
      <c r="M145" s="60"/>
    </row>
    <row r="146" spans="2:13" x14ac:dyDescent="0.25">
      <c r="B146" s="16"/>
      <c r="C146" s="16"/>
      <c r="D146" s="59"/>
      <c r="E146" s="59"/>
      <c r="F146" s="16"/>
      <c r="G146" s="16"/>
      <c r="H146" s="16"/>
      <c r="I146" s="16"/>
      <c r="J146" s="16"/>
      <c r="K146" s="16"/>
      <c r="L146" s="16"/>
      <c r="M146" s="60"/>
    </row>
    <row r="147" spans="2:13" x14ac:dyDescent="0.25">
      <c r="B147" s="16"/>
      <c r="C147" s="16"/>
      <c r="D147" s="59"/>
      <c r="E147" s="59"/>
      <c r="F147" s="16"/>
      <c r="G147" s="16"/>
      <c r="H147" s="16"/>
      <c r="I147" s="16"/>
      <c r="J147" s="16"/>
      <c r="K147" s="16"/>
      <c r="L147" s="16"/>
      <c r="M147" s="60"/>
    </row>
    <row r="148" spans="2:13" x14ac:dyDescent="0.25">
      <c r="B148" s="16"/>
      <c r="C148" s="16"/>
      <c r="D148" s="59"/>
      <c r="E148" s="59"/>
      <c r="F148" s="16"/>
      <c r="G148" s="16"/>
      <c r="H148" s="16"/>
      <c r="I148" s="16"/>
      <c r="J148" s="16"/>
      <c r="K148" s="16"/>
      <c r="L148" s="16"/>
      <c r="M148" s="60"/>
    </row>
    <row r="149" spans="2:13" x14ac:dyDescent="0.25">
      <c r="B149" s="16"/>
      <c r="C149" s="16"/>
      <c r="D149" s="59"/>
      <c r="E149" s="59"/>
      <c r="F149" s="16"/>
      <c r="G149" s="16"/>
      <c r="H149" s="16"/>
      <c r="I149" s="16"/>
      <c r="J149" s="16"/>
      <c r="K149" s="16"/>
      <c r="L149" s="16"/>
      <c r="M149" s="60"/>
    </row>
    <row r="150" spans="2:13" x14ac:dyDescent="0.25">
      <c r="B150" s="16"/>
      <c r="C150" s="16"/>
      <c r="D150" s="59"/>
      <c r="E150" s="59"/>
      <c r="F150" s="16"/>
      <c r="G150" s="16"/>
      <c r="H150" s="16"/>
      <c r="I150" s="16"/>
      <c r="J150" s="16"/>
      <c r="K150" s="16"/>
      <c r="L150" s="16"/>
      <c r="M150" s="60"/>
    </row>
    <row r="151" spans="2:13" x14ac:dyDescent="0.25">
      <c r="B151" s="16"/>
      <c r="C151" s="16"/>
      <c r="D151" s="59"/>
      <c r="E151" s="59"/>
      <c r="F151" s="16"/>
      <c r="G151" s="16"/>
      <c r="H151" s="16"/>
      <c r="I151" s="16"/>
      <c r="J151" s="16"/>
      <c r="K151" s="16"/>
      <c r="L151" s="16"/>
      <c r="M151" s="60"/>
    </row>
    <row r="152" spans="2:13" x14ac:dyDescent="0.25">
      <c r="B152" s="16"/>
      <c r="C152" s="16"/>
      <c r="D152" s="59"/>
      <c r="E152" s="59"/>
      <c r="F152" s="16"/>
      <c r="G152" s="16"/>
      <c r="H152" s="16"/>
      <c r="I152" s="16"/>
      <c r="J152" s="16"/>
      <c r="K152" s="16"/>
      <c r="L152" s="16"/>
      <c r="M152" s="60"/>
    </row>
    <row r="153" spans="2:13" x14ac:dyDescent="0.25">
      <c r="B153" s="16"/>
      <c r="C153" s="16"/>
      <c r="D153" s="59"/>
      <c r="E153" s="59"/>
      <c r="F153" s="16"/>
      <c r="G153" s="16"/>
      <c r="H153" s="16"/>
      <c r="I153" s="16"/>
      <c r="J153" s="16"/>
      <c r="K153" s="16"/>
      <c r="L153" s="16"/>
      <c r="M153" s="60"/>
    </row>
    <row r="154" spans="2:13" x14ac:dyDescent="0.25">
      <c r="B154" s="16"/>
      <c r="C154" s="16"/>
      <c r="D154" s="59"/>
      <c r="E154" s="59"/>
      <c r="F154" s="16"/>
      <c r="G154" s="16"/>
      <c r="H154" s="16"/>
      <c r="I154" s="16"/>
      <c r="J154" s="16"/>
      <c r="K154" s="16"/>
      <c r="L154" s="16"/>
      <c r="M154" s="60"/>
    </row>
    <row r="155" spans="2:13" x14ac:dyDescent="0.25">
      <c r="B155" s="16"/>
      <c r="C155" s="16"/>
      <c r="D155" s="59"/>
      <c r="E155" s="59"/>
      <c r="F155" s="16"/>
      <c r="G155" s="16"/>
      <c r="H155" s="16"/>
      <c r="I155" s="16"/>
      <c r="J155" s="16"/>
      <c r="K155" s="16"/>
      <c r="L155" s="16"/>
      <c r="M155" s="60"/>
    </row>
    <row r="156" spans="2:13" x14ac:dyDescent="0.25">
      <c r="B156" s="16"/>
      <c r="C156" s="16"/>
      <c r="D156" s="59"/>
      <c r="E156" s="59"/>
      <c r="F156" s="16"/>
      <c r="G156" s="16"/>
      <c r="H156" s="16"/>
      <c r="I156" s="16"/>
      <c r="J156" s="16"/>
      <c r="K156" s="16"/>
      <c r="L156" s="16"/>
      <c r="M156" s="60"/>
    </row>
    <row r="157" spans="2:13" x14ac:dyDescent="0.25">
      <c r="B157" s="16"/>
      <c r="C157" s="16"/>
      <c r="D157" s="59"/>
      <c r="E157" s="59"/>
      <c r="F157" s="16"/>
      <c r="G157" s="16"/>
      <c r="H157" s="16"/>
      <c r="I157" s="16"/>
      <c r="J157" s="16"/>
      <c r="K157" s="16"/>
      <c r="L157" s="16"/>
      <c r="M157" s="60"/>
    </row>
    <row r="158" spans="2:13" x14ac:dyDescent="0.25">
      <c r="B158" s="16"/>
      <c r="C158" s="16"/>
      <c r="D158" s="59"/>
      <c r="E158" s="59"/>
      <c r="F158" s="16"/>
      <c r="G158" s="16"/>
      <c r="H158" s="16"/>
      <c r="I158" s="16"/>
      <c r="J158" s="16"/>
      <c r="K158" s="16"/>
      <c r="L158" s="16"/>
      <c r="M158" s="60"/>
    </row>
    <row r="159" spans="2:13" x14ac:dyDescent="0.25">
      <c r="B159" s="16"/>
      <c r="C159" s="16"/>
      <c r="D159" s="59"/>
      <c r="E159" s="59"/>
      <c r="F159" s="16"/>
      <c r="G159" s="16"/>
      <c r="H159" s="16"/>
      <c r="I159" s="16"/>
      <c r="J159" s="16"/>
      <c r="K159" s="16"/>
      <c r="L159" s="16"/>
      <c r="M159" s="60"/>
    </row>
    <row r="160" spans="2:13" x14ac:dyDescent="0.25">
      <c r="B160" s="16"/>
      <c r="C160" s="16"/>
      <c r="D160" s="59"/>
      <c r="E160" s="59"/>
      <c r="F160" s="16"/>
      <c r="G160" s="16"/>
      <c r="H160" s="16"/>
      <c r="I160" s="16"/>
      <c r="J160" s="16"/>
      <c r="K160" s="16"/>
      <c r="L160" s="16"/>
      <c r="M160" s="60"/>
    </row>
    <row r="161" spans="2:13" x14ac:dyDescent="0.25">
      <c r="B161" s="16"/>
      <c r="C161" s="16"/>
      <c r="D161" s="59"/>
      <c r="E161" s="59"/>
      <c r="F161" s="16"/>
      <c r="G161" s="16"/>
      <c r="H161" s="16"/>
      <c r="I161" s="16"/>
      <c r="J161" s="16"/>
      <c r="K161" s="16"/>
      <c r="L161" s="16"/>
      <c r="M161" s="60"/>
    </row>
    <row r="162" spans="2:13" x14ac:dyDescent="0.25">
      <c r="B162" s="16"/>
      <c r="C162" s="16"/>
      <c r="D162" s="59"/>
      <c r="E162" s="59"/>
      <c r="F162" s="16"/>
      <c r="G162" s="16"/>
      <c r="H162" s="16"/>
      <c r="I162" s="16"/>
      <c r="J162" s="16"/>
      <c r="K162" s="16"/>
      <c r="L162" s="16"/>
      <c r="M162" s="60"/>
    </row>
    <row r="163" spans="2:13" x14ac:dyDescent="0.25">
      <c r="B163" s="16"/>
      <c r="C163" s="16"/>
      <c r="D163" s="59"/>
      <c r="E163" s="59"/>
      <c r="F163" s="16"/>
      <c r="G163" s="16"/>
      <c r="H163" s="16"/>
      <c r="I163" s="16"/>
      <c r="J163" s="16"/>
      <c r="K163" s="16"/>
      <c r="L163" s="16"/>
      <c r="M163" s="60"/>
    </row>
    <row r="164" spans="2:13" x14ac:dyDescent="0.25">
      <c r="B164" s="16"/>
      <c r="C164" s="16"/>
      <c r="D164" s="59"/>
      <c r="E164" s="59"/>
      <c r="F164" s="16"/>
      <c r="G164" s="16"/>
      <c r="H164" s="16"/>
      <c r="I164" s="16"/>
      <c r="J164" s="16"/>
      <c r="K164" s="16"/>
      <c r="L164" s="16"/>
      <c r="M164" s="60"/>
    </row>
    <row r="165" spans="2:13" x14ac:dyDescent="0.25">
      <c r="B165" s="16"/>
      <c r="C165" s="16"/>
      <c r="D165" s="59"/>
      <c r="E165" s="59"/>
      <c r="F165" s="16"/>
      <c r="G165" s="16"/>
      <c r="H165" s="16"/>
      <c r="I165" s="16"/>
      <c r="J165" s="16"/>
      <c r="K165" s="16"/>
      <c r="L165" s="16"/>
      <c r="M165" s="60"/>
    </row>
    <row r="166" spans="2:13" x14ac:dyDescent="0.25">
      <c r="B166" s="16"/>
      <c r="C166" s="16"/>
      <c r="D166" s="59"/>
      <c r="E166" s="59"/>
      <c r="F166" s="16"/>
      <c r="G166" s="16"/>
      <c r="H166" s="16"/>
      <c r="I166" s="16"/>
      <c r="J166" s="16"/>
      <c r="K166" s="16"/>
      <c r="L166" s="16"/>
      <c r="M166" s="60"/>
    </row>
    <row r="167" spans="2:13" x14ac:dyDescent="0.25">
      <c r="B167" s="16"/>
      <c r="C167" s="16"/>
      <c r="D167" s="59"/>
      <c r="E167" s="59"/>
      <c r="F167" s="16"/>
      <c r="G167" s="16"/>
      <c r="H167" s="16"/>
      <c r="I167" s="16"/>
      <c r="J167" s="16"/>
      <c r="K167" s="16"/>
      <c r="L167" s="16"/>
      <c r="M167" s="60"/>
    </row>
    <row r="168" spans="2:13" x14ac:dyDescent="0.25">
      <c r="B168" s="16"/>
      <c r="C168" s="16"/>
      <c r="D168" s="59"/>
      <c r="E168" s="59"/>
      <c r="F168" s="16"/>
      <c r="G168" s="16"/>
      <c r="H168" s="16"/>
      <c r="I168" s="16"/>
      <c r="J168" s="16"/>
      <c r="K168" s="16"/>
      <c r="L168" s="16"/>
      <c r="M168" s="60"/>
    </row>
    <row r="169" spans="2:13" x14ac:dyDescent="0.25">
      <c r="B169" s="16"/>
      <c r="C169" s="16"/>
      <c r="D169" s="59"/>
      <c r="E169" s="59"/>
      <c r="F169" s="16"/>
      <c r="G169" s="16"/>
      <c r="H169" s="16"/>
      <c r="I169" s="16"/>
      <c r="J169" s="16"/>
      <c r="K169" s="16"/>
      <c r="L169" s="16"/>
      <c r="M169" s="60"/>
    </row>
    <row r="170" spans="2:13" x14ac:dyDescent="0.25">
      <c r="B170" s="16"/>
      <c r="C170" s="16"/>
      <c r="D170" s="59"/>
      <c r="E170" s="59"/>
      <c r="F170" s="16"/>
      <c r="G170" s="16"/>
      <c r="H170" s="16"/>
      <c r="I170" s="16"/>
      <c r="J170" s="16"/>
      <c r="K170" s="16"/>
      <c r="L170" s="16"/>
      <c r="M170" s="60"/>
    </row>
    <row r="171" spans="2:13" x14ac:dyDescent="0.25">
      <c r="B171" s="16"/>
      <c r="C171" s="16"/>
      <c r="D171" s="59"/>
      <c r="E171" s="59"/>
      <c r="F171" s="16"/>
      <c r="G171" s="16"/>
      <c r="H171" s="16"/>
      <c r="I171" s="16"/>
      <c r="J171" s="16"/>
      <c r="K171" s="16"/>
      <c r="L171" s="16"/>
      <c r="M171" s="60"/>
    </row>
    <row r="172" spans="2:13" x14ac:dyDescent="0.25">
      <c r="B172" s="16"/>
      <c r="C172" s="16"/>
      <c r="D172" s="59"/>
      <c r="E172" s="59"/>
      <c r="F172" s="16"/>
      <c r="G172" s="16"/>
      <c r="H172" s="16"/>
      <c r="I172" s="16"/>
      <c r="J172" s="16"/>
      <c r="K172" s="16"/>
      <c r="L172" s="16"/>
      <c r="M172" s="60"/>
    </row>
    <row r="173" spans="2:13" x14ac:dyDescent="0.25">
      <c r="B173" s="16"/>
      <c r="C173" s="16"/>
      <c r="D173" s="59"/>
      <c r="E173" s="59"/>
      <c r="F173" s="16"/>
      <c r="G173" s="16"/>
      <c r="H173" s="16"/>
      <c r="I173" s="16"/>
      <c r="J173" s="16"/>
      <c r="K173" s="16"/>
      <c r="L173" s="16"/>
      <c r="M173" s="60"/>
    </row>
    <row r="174" spans="2:13" x14ac:dyDescent="0.25">
      <c r="B174" s="16"/>
      <c r="C174" s="16"/>
      <c r="D174" s="59"/>
      <c r="E174" s="59"/>
      <c r="F174" s="16"/>
      <c r="G174" s="16"/>
      <c r="H174" s="16"/>
      <c r="I174" s="16"/>
      <c r="J174" s="16"/>
      <c r="K174" s="16"/>
      <c r="L174" s="16"/>
      <c r="M174" s="60"/>
    </row>
    <row r="175" spans="2:13" x14ac:dyDescent="0.25">
      <c r="B175" s="16"/>
      <c r="C175" s="16"/>
      <c r="D175" s="59"/>
      <c r="E175" s="59"/>
      <c r="F175" s="16"/>
      <c r="G175" s="16"/>
      <c r="H175" s="16"/>
      <c r="I175" s="16"/>
      <c r="J175" s="16"/>
      <c r="K175" s="16"/>
      <c r="L175" s="16"/>
      <c r="M175" s="60"/>
    </row>
    <row r="176" spans="2:13" x14ac:dyDescent="0.25">
      <c r="B176" s="16"/>
      <c r="C176" s="16"/>
      <c r="D176" s="59"/>
      <c r="E176" s="59"/>
      <c r="F176" s="16"/>
      <c r="G176" s="16"/>
      <c r="H176" s="16"/>
      <c r="I176" s="16"/>
      <c r="J176" s="16"/>
      <c r="K176" s="16"/>
      <c r="L176" s="16"/>
      <c r="M176" s="60"/>
    </row>
    <row r="177" spans="2:13" x14ac:dyDescent="0.25">
      <c r="B177" s="16"/>
      <c r="C177" s="16"/>
      <c r="D177" s="59"/>
      <c r="E177" s="59"/>
      <c r="F177" s="16"/>
      <c r="G177" s="16"/>
      <c r="H177" s="16"/>
      <c r="I177" s="16"/>
      <c r="J177" s="16"/>
      <c r="K177" s="16"/>
      <c r="L177" s="16"/>
      <c r="M177" s="60"/>
    </row>
    <row r="178" spans="2:13" x14ac:dyDescent="0.25">
      <c r="B178" s="16"/>
      <c r="C178" s="16"/>
      <c r="D178" s="59"/>
      <c r="E178" s="59"/>
      <c r="F178" s="16"/>
      <c r="G178" s="16"/>
      <c r="H178" s="16"/>
      <c r="I178" s="16"/>
      <c r="J178" s="16"/>
      <c r="K178" s="16"/>
      <c r="L178" s="16"/>
      <c r="M178" s="60"/>
    </row>
    <row r="179" spans="2:13" x14ac:dyDescent="0.25">
      <c r="B179" s="16"/>
      <c r="C179" s="16"/>
      <c r="D179" s="59"/>
      <c r="E179" s="59"/>
      <c r="F179" s="16"/>
      <c r="G179" s="16"/>
      <c r="H179" s="16"/>
      <c r="I179" s="16"/>
      <c r="J179" s="16"/>
      <c r="K179" s="16"/>
      <c r="L179" s="16"/>
      <c r="M179" s="60"/>
    </row>
    <row r="180" spans="2:13" x14ac:dyDescent="0.25">
      <c r="B180" s="16"/>
      <c r="C180" s="16"/>
      <c r="D180" s="59"/>
      <c r="E180" s="59"/>
      <c r="F180" s="16"/>
      <c r="G180" s="16"/>
      <c r="H180" s="16"/>
      <c r="I180" s="16"/>
      <c r="J180" s="16"/>
      <c r="K180" s="16"/>
      <c r="L180" s="16"/>
      <c r="M180" s="60"/>
    </row>
    <row r="181" spans="2:13" x14ac:dyDescent="0.25">
      <c r="B181" s="16"/>
      <c r="C181" s="16"/>
      <c r="D181" s="59"/>
      <c r="E181" s="59"/>
      <c r="F181" s="16"/>
      <c r="G181" s="16"/>
      <c r="H181" s="16"/>
      <c r="I181" s="16"/>
      <c r="J181" s="16"/>
      <c r="K181" s="16"/>
      <c r="L181" s="16"/>
      <c r="M181" s="60"/>
    </row>
    <row r="182" spans="2:13" x14ac:dyDescent="0.25">
      <c r="B182" s="16"/>
      <c r="C182" s="16"/>
      <c r="D182" s="59"/>
      <c r="E182" s="59"/>
      <c r="F182" s="16"/>
      <c r="G182" s="16"/>
      <c r="H182" s="16"/>
      <c r="I182" s="16"/>
      <c r="J182" s="16"/>
      <c r="K182" s="16"/>
      <c r="L182" s="16"/>
      <c r="M182" s="60"/>
    </row>
    <row r="183" spans="2:13" x14ac:dyDescent="0.25">
      <c r="B183" s="16"/>
      <c r="C183" s="16"/>
      <c r="D183" s="59"/>
      <c r="E183" s="59"/>
      <c r="F183" s="16"/>
      <c r="G183" s="16"/>
      <c r="H183" s="16"/>
      <c r="I183" s="16"/>
      <c r="J183" s="16"/>
      <c r="K183" s="16"/>
      <c r="L183" s="16"/>
      <c r="M183" s="60"/>
    </row>
    <row r="184" spans="2:13" x14ac:dyDescent="0.25">
      <c r="B184" s="16"/>
      <c r="C184" s="16"/>
      <c r="D184" s="59"/>
      <c r="E184" s="59"/>
      <c r="F184" s="16"/>
      <c r="G184" s="16"/>
      <c r="H184" s="16"/>
      <c r="I184" s="16"/>
      <c r="J184" s="16"/>
      <c r="K184" s="16"/>
      <c r="L184" s="16"/>
      <c r="M184" s="60"/>
    </row>
    <row r="185" spans="2:13" x14ac:dyDescent="0.25">
      <c r="B185" s="16"/>
      <c r="C185" s="16"/>
      <c r="D185" s="59"/>
      <c r="E185" s="59"/>
      <c r="F185" s="16"/>
      <c r="G185" s="16"/>
      <c r="H185" s="16"/>
      <c r="I185" s="16"/>
      <c r="J185" s="16"/>
      <c r="K185" s="16"/>
      <c r="L185" s="16"/>
      <c r="M185" s="60"/>
    </row>
    <row r="186" spans="2:13" x14ac:dyDescent="0.25">
      <c r="B186" s="16"/>
      <c r="C186" s="16"/>
      <c r="D186" s="59"/>
      <c r="E186" s="59"/>
      <c r="F186" s="16"/>
      <c r="G186" s="16"/>
      <c r="H186" s="16"/>
      <c r="I186" s="16"/>
      <c r="J186" s="16"/>
      <c r="K186" s="16"/>
      <c r="L186" s="16"/>
      <c r="M186" s="60"/>
    </row>
    <row r="187" spans="2:13" x14ac:dyDescent="0.25">
      <c r="B187" s="16"/>
      <c r="C187" s="16"/>
      <c r="D187" s="59"/>
      <c r="E187" s="59"/>
      <c r="F187" s="16"/>
      <c r="G187" s="16"/>
      <c r="H187" s="16"/>
      <c r="I187" s="16"/>
      <c r="J187" s="16"/>
      <c r="K187" s="16"/>
      <c r="L187" s="16"/>
      <c r="M187" s="60"/>
    </row>
    <row r="188" spans="2:13" x14ac:dyDescent="0.25">
      <c r="B188" s="16"/>
      <c r="C188" s="16"/>
      <c r="D188" s="59"/>
      <c r="E188" s="59"/>
      <c r="F188" s="16"/>
      <c r="G188" s="16"/>
      <c r="H188" s="16"/>
      <c r="I188" s="16"/>
      <c r="J188" s="16"/>
      <c r="K188" s="16"/>
      <c r="L188" s="16"/>
      <c r="M188" s="60"/>
    </row>
    <row r="189" spans="2:13" x14ac:dyDescent="0.25">
      <c r="B189" s="16"/>
      <c r="C189" s="16"/>
      <c r="D189" s="59"/>
      <c r="E189" s="59"/>
      <c r="F189" s="16"/>
      <c r="G189" s="16"/>
      <c r="H189" s="16"/>
      <c r="I189" s="16"/>
      <c r="J189" s="16"/>
      <c r="K189" s="16"/>
      <c r="L189" s="16"/>
      <c r="M189" s="60"/>
    </row>
    <row r="190" spans="2:13" x14ac:dyDescent="0.25">
      <c r="B190" s="16"/>
      <c r="C190" s="16"/>
      <c r="D190" s="59"/>
      <c r="E190" s="59"/>
      <c r="F190" s="16"/>
      <c r="G190" s="16"/>
      <c r="H190" s="16"/>
      <c r="I190" s="16"/>
      <c r="J190" s="16"/>
      <c r="K190" s="16"/>
      <c r="L190" s="16"/>
      <c r="M190" s="60"/>
    </row>
    <row r="191" spans="2:13" x14ac:dyDescent="0.25">
      <c r="B191" s="16"/>
      <c r="C191" s="16"/>
      <c r="D191" s="59"/>
      <c r="E191" s="59"/>
      <c r="F191" s="16"/>
      <c r="G191" s="16"/>
      <c r="H191" s="16"/>
      <c r="I191" s="16"/>
      <c r="J191" s="16"/>
      <c r="K191" s="16"/>
      <c r="L191" s="16"/>
      <c r="M191" s="60"/>
    </row>
    <row r="192" spans="2:13" x14ac:dyDescent="0.25">
      <c r="B192" s="16"/>
      <c r="C192" s="16"/>
      <c r="D192" s="59"/>
      <c r="E192" s="59"/>
      <c r="F192" s="16"/>
      <c r="G192" s="16"/>
      <c r="H192" s="16"/>
      <c r="I192" s="16"/>
      <c r="J192" s="16"/>
      <c r="K192" s="16"/>
      <c r="L192" s="16"/>
      <c r="M192" s="60"/>
    </row>
    <row r="193" spans="2:13" x14ac:dyDescent="0.25">
      <c r="B193" s="16"/>
      <c r="C193" s="16"/>
      <c r="D193" s="59"/>
      <c r="E193" s="59"/>
      <c r="F193" s="16"/>
      <c r="G193" s="16"/>
      <c r="H193" s="16"/>
      <c r="I193" s="16"/>
      <c r="J193" s="16"/>
      <c r="K193" s="16"/>
      <c r="L193" s="16"/>
      <c r="M193" s="60"/>
    </row>
    <row r="194" spans="2:13" x14ac:dyDescent="0.25">
      <c r="B194" s="16"/>
      <c r="C194" s="16"/>
      <c r="D194" s="59"/>
      <c r="E194" s="59"/>
      <c r="F194" s="16"/>
      <c r="G194" s="16"/>
      <c r="H194" s="16"/>
      <c r="I194" s="16"/>
      <c r="J194" s="16"/>
      <c r="K194" s="16"/>
      <c r="L194" s="16"/>
      <c r="M194" s="60"/>
    </row>
    <row r="195" spans="2:13" x14ac:dyDescent="0.25">
      <c r="B195" s="16"/>
      <c r="C195" s="16"/>
      <c r="D195" s="59"/>
      <c r="E195" s="59"/>
      <c r="F195" s="16"/>
      <c r="G195" s="16"/>
      <c r="H195" s="16"/>
      <c r="I195" s="16"/>
      <c r="J195" s="16"/>
      <c r="K195" s="16"/>
      <c r="L195" s="16"/>
      <c r="M195" s="60"/>
    </row>
    <row r="196" spans="2:13" x14ac:dyDescent="0.25">
      <c r="B196" s="16"/>
      <c r="C196" s="16"/>
      <c r="D196" s="59"/>
      <c r="E196" s="59"/>
      <c r="F196" s="16"/>
      <c r="G196" s="16"/>
      <c r="H196" s="16"/>
      <c r="I196" s="16"/>
      <c r="J196" s="16"/>
      <c r="K196" s="16"/>
      <c r="L196" s="16"/>
      <c r="M196" s="60"/>
    </row>
    <row r="197" spans="2:13" x14ac:dyDescent="0.25">
      <c r="B197" s="16"/>
      <c r="C197" s="16"/>
      <c r="D197" s="59"/>
      <c r="E197" s="59"/>
      <c r="F197" s="16"/>
      <c r="G197" s="16"/>
      <c r="H197" s="16"/>
      <c r="I197" s="16"/>
      <c r="J197" s="16"/>
      <c r="K197" s="16"/>
      <c r="L197" s="16"/>
      <c r="M197" s="60"/>
    </row>
    <row r="198" spans="2:13" x14ac:dyDescent="0.25">
      <c r="B198" s="16"/>
      <c r="C198" s="16"/>
      <c r="D198" s="59"/>
      <c r="E198" s="59"/>
      <c r="F198" s="16"/>
      <c r="G198" s="16"/>
      <c r="H198" s="16"/>
      <c r="I198" s="16"/>
      <c r="J198" s="16"/>
      <c r="K198" s="16"/>
      <c r="L198" s="16"/>
      <c r="M198" s="60"/>
    </row>
    <row r="199" spans="2:13" x14ac:dyDescent="0.25">
      <c r="B199" s="16"/>
      <c r="C199" s="16"/>
      <c r="D199" s="59"/>
      <c r="E199" s="59"/>
      <c r="F199" s="16"/>
      <c r="G199" s="16"/>
      <c r="H199" s="16"/>
      <c r="I199" s="16"/>
      <c r="J199" s="16"/>
      <c r="K199" s="16"/>
      <c r="L199" s="16"/>
      <c r="M199" s="60"/>
    </row>
    <row r="200" spans="2:13" x14ac:dyDescent="0.25">
      <c r="B200" s="16"/>
      <c r="C200" s="16"/>
      <c r="D200" s="59"/>
      <c r="E200" s="59"/>
      <c r="F200" s="16"/>
      <c r="G200" s="16"/>
      <c r="H200" s="16"/>
      <c r="I200" s="16"/>
      <c r="J200" s="16"/>
      <c r="K200" s="16"/>
      <c r="L200" s="16"/>
      <c r="M200" s="60"/>
    </row>
    <row r="201" spans="2:13" x14ac:dyDescent="0.25">
      <c r="B201" s="16"/>
      <c r="C201" s="16"/>
      <c r="D201" s="59"/>
      <c r="E201" s="59"/>
      <c r="F201" s="16"/>
      <c r="G201" s="16"/>
      <c r="H201" s="16"/>
      <c r="I201" s="16"/>
      <c r="J201" s="16"/>
      <c r="K201" s="16"/>
      <c r="L201" s="16"/>
      <c r="M201" s="60"/>
    </row>
    <row r="202" spans="2:13" x14ac:dyDescent="0.25">
      <c r="B202" s="16"/>
      <c r="C202" s="16"/>
      <c r="D202" s="59"/>
      <c r="E202" s="59"/>
      <c r="F202" s="16"/>
      <c r="G202" s="16"/>
      <c r="H202" s="16"/>
      <c r="I202" s="16"/>
      <c r="J202" s="16"/>
      <c r="K202" s="16"/>
      <c r="L202" s="16"/>
      <c r="M202" s="60"/>
    </row>
    <row r="203" spans="2:13" x14ac:dyDescent="0.25">
      <c r="B203" s="16"/>
      <c r="C203" s="16"/>
      <c r="D203" s="59"/>
      <c r="E203" s="59"/>
      <c r="F203" s="16"/>
      <c r="G203" s="16"/>
      <c r="H203" s="16"/>
      <c r="I203" s="16"/>
      <c r="J203" s="16"/>
      <c r="K203" s="16"/>
      <c r="L203" s="16"/>
      <c r="M203" s="60"/>
    </row>
    <row r="204" spans="2:13" x14ac:dyDescent="0.25">
      <c r="B204" s="16"/>
      <c r="C204" s="16"/>
      <c r="D204" s="59"/>
      <c r="E204" s="59"/>
      <c r="F204" s="16"/>
      <c r="G204" s="16"/>
      <c r="H204" s="16"/>
      <c r="I204" s="16"/>
      <c r="J204" s="16"/>
      <c r="K204" s="16"/>
      <c r="L204" s="16"/>
      <c r="M204" s="60"/>
    </row>
    <row r="205" spans="2:13" x14ac:dyDescent="0.25">
      <c r="B205" s="16"/>
      <c r="C205" s="16"/>
      <c r="D205" s="59"/>
      <c r="E205" s="59"/>
      <c r="F205" s="16"/>
      <c r="G205" s="16"/>
      <c r="H205" s="16"/>
      <c r="I205" s="16"/>
      <c r="J205" s="16"/>
      <c r="K205" s="16"/>
      <c r="L205" s="16"/>
      <c r="M205" s="60"/>
    </row>
    <row r="206" spans="2:13" x14ac:dyDescent="0.25">
      <c r="B206" s="16"/>
      <c r="C206" s="16"/>
      <c r="D206" s="59"/>
      <c r="E206" s="59"/>
      <c r="F206" s="16"/>
      <c r="G206" s="16"/>
      <c r="H206" s="16"/>
      <c r="I206" s="16"/>
      <c r="J206" s="16"/>
      <c r="K206" s="16"/>
      <c r="L206" s="16"/>
      <c r="M206" s="60"/>
    </row>
    <row r="207" spans="2:13" x14ac:dyDescent="0.25">
      <c r="B207" s="16"/>
      <c r="C207" s="16"/>
      <c r="D207" s="59"/>
      <c r="E207" s="59"/>
      <c r="F207" s="16"/>
      <c r="G207" s="16"/>
      <c r="H207" s="16"/>
      <c r="I207" s="16"/>
      <c r="J207" s="16"/>
      <c r="K207" s="16"/>
      <c r="L207" s="16"/>
      <c r="M207" s="60"/>
    </row>
    <row r="208" spans="2:13" x14ac:dyDescent="0.25">
      <c r="B208" s="16"/>
      <c r="C208" s="16"/>
      <c r="D208" s="59"/>
      <c r="E208" s="59"/>
      <c r="F208" s="16"/>
      <c r="G208" s="16"/>
      <c r="H208" s="16"/>
      <c r="I208" s="16"/>
      <c r="J208" s="16"/>
      <c r="K208" s="16"/>
      <c r="L208" s="16"/>
      <c r="M208" s="60"/>
    </row>
    <row r="209" spans="2:13" x14ac:dyDescent="0.25">
      <c r="B209" s="16"/>
      <c r="C209" s="16"/>
      <c r="D209" s="59"/>
      <c r="E209" s="59"/>
      <c r="F209" s="16"/>
      <c r="G209" s="16"/>
      <c r="H209" s="16"/>
      <c r="I209" s="16"/>
      <c r="J209" s="16"/>
      <c r="K209" s="16"/>
      <c r="L209" s="16"/>
      <c r="M209" s="60"/>
    </row>
    <row r="210" spans="2:13" x14ac:dyDescent="0.25">
      <c r="B210" s="16"/>
      <c r="C210" s="16"/>
      <c r="D210" s="59"/>
      <c r="E210" s="59"/>
      <c r="F210" s="16"/>
      <c r="G210" s="16"/>
      <c r="H210" s="16"/>
      <c r="I210" s="16"/>
      <c r="J210" s="16"/>
      <c r="K210" s="16"/>
      <c r="L210" s="16"/>
      <c r="M210" s="60"/>
    </row>
    <row r="211" spans="2:13" x14ac:dyDescent="0.25">
      <c r="B211" s="16"/>
      <c r="C211" s="16"/>
      <c r="D211" s="59"/>
      <c r="E211" s="59"/>
      <c r="F211" s="16"/>
      <c r="G211" s="16"/>
      <c r="H211" s="16"/>
      <c r="I211" s="16"/>
      <c r="J211" s="16"/>
      <c r="K211" s="16"/>
      <c r="L211" s="16"/>
      <c r="M211" s="60"/>
    </row>
    <row r="212" spans="2:13" x14ac:dyDescent="0.25">
      <c r="B212" s="16"/>
      <c r="C212" s="16"/>
      <c r="D212" s="59"/>
      <c r="E212" s="59"/>
      <c r="F212" s="16"/>
      <c r="G212" s="16"/>
      <c r="H212" s="16"/>
      <c r="I212" s="16"/>
      <c r="J212" s="16"/>
      <c r="K212" s="16"/>
      <c r="L212" s="16"/>
      <c r="M212" s="60"/>
    </row>
    <row r="213" spans="2:13" x14ac:dyDescent="0.25">
      <c r="B213" s="16"/>
      <c r="C213" s="16"/>
      <c r="D213" s="59"/>
      <c r="E213" s="59"/>
      <c r="F213" s="16"/>
      <c r="G213" s="16"/>
      <c r="H213" s="16"/>
      <c r="I213" s="16"/>
      <c r="J213" s="16"/>
      <c r="K213" s="16"/>
      <c r="L213" s="16"/>
      <c r="M213" s="60"/>
    </row>
    <row r="214" spans="2:13" x14ac:dyDescent="0.25">
      <c r="B214" s="16"/>
      <c r="C214" s="16"/>
      <c r="D214" s="59"/>
      <c r="E214" s="59"/>
      <c r="F214" s="16"/>
      <c r="G214" s="16"/>
      <c r="H214" s="16"/>
      <c r="I214" s="16"/>
      <c r="J214" s="16"/>
      <c r="K214" s="16"/>
      <c r="L214" s="16"/>
      <c r="M214" s="60"/>
    </row>
  </sheetData>
  <printOptions horizontalCentered="1"/>
  <pageMargins left="0.70866141732283472" right="0.70866141732283472" top="0.55118110236220474" bottom="0.35433070866141736" header="0.31496062992125984" footer="3.937007874015748E-2"/>
  <pageSetup paperSize="9" firstPageNumber="68" orientation="landscape" useFirstPageNumber="1" horizontalDpi="1200" verticalDpi="1200" r:id="rId1"/>
  <headerFooter>
    <oddFooter>&amp;C&amp;"Arial Narrow,Corsivo"&amp;7- pagina &amp;P -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13"/>
  <sheetViews>
    <sheetView zoomScale="150" zoomScaleNormal="150" workbookViewId="0">
      <pane xSplit="1" ySplit="2" topLeftCell="B93" activePane="bottomRight" state="frozenSplit"/>
      <selection pane="topRight"/>
      <selection pane="bottomLeft"/>
      <selection pane="bottomRight" activeCell="A109" sqref="A109"/>
    </sheetView>
  </sheetViews>
  <sheetFormatPr defaultRowHeight="13.5" x14ac:dyDescent="0.25"/>
  <cols>
    <col min="1" max="1" width="17.42578125" style="16" customWidth="1"/>
    <col min="2" max="2" width="8.28515625" style="16" customWidth="1"/>
    <col min="3" max="3" width="8.28515625" style="153" customWidth="1"/>
    <col min="4" max="7" width="8.28515625" style="16" customWidth="1"/>
    <col min="8" max="8" width="9.7109375" style="16" customWidth="1"/>
    <col min="9" max="10" width="8.28515625" style="16" customWidth="1"/>
    <col min="11" max="244" width="9.140625" style="16"/>
    <col min="245" max="245" width="17.42578125" style="16" customWidth="1"/>
    <col min="246" max="266" width="10.140625" style="16" customWidth="1"/>
    <col min="267" max="500" width="9.140625" style="16"/>
    <col min="501" max="501" width="17.42578125" style="16" customWidth="1"/>
    <col min="502" max="522" width="10.140625" style="16" customWidth="1"/>
    <col min="523" max="756" width="9.140625" style="16"/>
    <col min="757" max="757" width="17.42578125" style="16" customWidth="1"/>
    <col min="758" max="778" width="10.140625" style="16" customWidth="1"/>
    <col min="779" max="1012" width="9.140625" style="16"/>
    <col min="1013" max="1013" width="17.42578125" style="16" customWidth="1"/>
    <col min="1014" max="1034" width="10.140625" style="16" customWidth="1"/>
    <col min="1035" max="1268" width="9.140625" style="16"/>
    <col min="1269" max="1269" width="17.42578125" style="16" customWidth="1"/>
    <col min="1270" max="1290" width="10.140625" style="16" customWidth="1"/>
    <col min="1291" max="1524" width="9.140625" style="16"/>
    <col min="1525" max="1525" width="17.42578125" style="16" customWidth="1"/>
    <col min="1526" max="1546" width="10.140625" style="16" customWidth="1"/>
    <col min="1547" max="1780" width="9.140625" style="16"/>
    <col min="1781" max="1781" width="17.42578125" style="16" customWidth="1"/>
    <col min="1782" max="1802" width="10.140625" style="16" customWidth="1"/>
    <col min="1803" max="2036" width="9.140625" style="16"/>
    <col min="2037" max="2037" width="17.42578125" style="16" customWidth="1"/>
    <col min="2038" max="2058" width="10.140625" style="16" customWidth="1"/>
    <col min="2059" max="2292" width="9.140625" style="16"/>
    <col min="2293" max="2293" width="17.42578125" style="16" customWidth="1"/>
    <col min="2294" max="2314" width="10.140625" style="16" customWidth="1"/>
    <col min="2315" max="2548" width="9.140625" style="16"/>
    <col min="2549" max="2549" width="17.42578125" style="16" customWidth="1"/>
    <col min="2550" max="2570" width="10.140625" style="16" customWidth="1"/>
    <col min="2571" max="2804" width="9.140625" style="16"/>
    <col min="2805" max="2805" width="17.42578125" style="16" customWidth="1"/>
    <col min="2806" max="2826" width="10.140625" style="16" customWidth="1"/>
    <col min="2827" max="3060" width="9.140625" style="16"/>
    <col min="3061" max="3061" width="17.42578125" style="16" customWidth="1"/>
    <col min="3062" max="3082" width="10.140625" style="16" customWidth="1"/>
    <col min="3083" max="3316" width="9.140625" style="16"/>
    <col min="3317" max="3317" width="17.42578125" style="16" customWidth="1"/>
    <col min="3318" max="3338" width="10.140625" style="16" customWidth="1"/>
    <col min="3339" max="3572" width="9.140625" style="16"/>
    <col min="3573" max="3573" width="17.42578125" style="16" customWidth="1"/>
    <col min="3574" max="3594" width="10.140625" style="16" customWidth="1"/>
    <col min="3595" max="3828" width="9.140625" style="16"/>
    <col min="3829" max="3829" width="17.42578125" style="16" customWidth="1"/>
    <col min="3830" max="3850" width="10.140625" style="16" customWidth="1"/>
    <col min="3851" max="4084" width="9.140625" style="16"/>
    <col min="4085" max="4085" width="17.42578125" style="16" customWidth="1"/>
    <col min="4086" max="4106" width="10.140625" style="16" customWidth="1"/>
    <col min="4107" max="4340" width="9.140625" style="16"/>
    <col min="4341" max="4341" width="17.42578125" style="16" customWidth="1"/>
    <col min="4342" max="4362" width="10.140625" style="16" customWidth="1"/>
    <col min="4363" max="4596" width="9.140625" style="16"/>
    <col min="4597" max="4597" width="17.42578125" style="16" customWidth="1"/>
    <col min="4598" max="4618" width="10.140625" style="16" customWidth="1"/>
    <col min="4619" max="4852" width="9.140625" style="16"/>
    <col min="4853" max="4853" width="17.42578125" style="16" customWidth="1"/>
    <col min="4854" max="4874" width="10.140625" style="16" customWidth="1"/>
    <col min="4875" max="5108" width="9.140625" style="16"/>
    <col min="5109" max="5109" width="17.42578125" style="16" customWidth="1"/>
    <col min="5110" max="5130" width="10.140625" style="16" customWidth="1"/>
    <col min="5131" max="5364" width="9.140625" style="16"/>
    <col min="5365" max="5365" width="17.42578125" style="16" customWidth="1"/>
    <col min="5366" max="5386" width="10.140625" style="16" customWidth="1"/>
    <col min="5387" max="5620" width="9.140625" style="16"/>
    <col min="5621" max="5621" width="17.42578125" style="16" customWidth="1"/>
    <col min="5622" max="5642" width="10.140625" style="16" customWidth="1"/>
    <col min="5643" max="5876" width="9.140625" style="16"/>
    <col min="5877" max="5877" width="17.42578125" style="16" customWidth="1"/>
    <col min="5878" max="5898" width="10.140625" style="16" customWidth="1"/>
    <col min="5899" max="6132" width="9.140625" style="16"/>
    <col min="6133" max="6133" width="17.42578125" style="16" customWidth="1"/>
    <col min="6134" max="6154" width="10.140625" style="16" customWidth="1"/>
    <col min="6155" max="6388" width="9.140625" style="16"/>
    <col min="6389" max="6389" width="17.42578125" style="16" customWidth="1"/>
    <col min="6390" max="6410" width="10.140625" style="16" customWidth="1"/>
    <col min="6411" max="6644" width="9.140625" style="16"/>
    <col min="6645" max="6645" width="17.42578125" style="16" customWidth="1"/>
    <col min="6646" max="6666" width="10.140625" style="16" customWidth="1"/>
    <col min="6667" max="6900" width="9.140625" style="16"/>
    <col min="6901" max="6901" width="17.42578125" style="16" customWidth="1"/>
    <col min="6902" max="6922" width="10.140625" style="16" customWidth="1"/>
    <col min="6923" max="7156" width="9.140625" style="16"/>
    <col min="7157" max="7157" width="17.42578125" style="16" customWidth="1"/>
    <col min="7158" max="7178" width="10.140625" style="16" customWidth="1"/>
    <col min="7179" max="7412" width="9.140625" style="16"/>
    <col min="7413" max="7413" width="17.42578125" style="16" customWidth="1"/>
    <col min="7414" max="7434" width="10.140625" style="16" customWidth="1"/>
    <col min="7435" max="7668" width="9.140625" style="16"/>
    <col min="7669" max="7669" width="17.42578125" style="16" customWidth="1"/>
    <col min="7670" max="7690" width="10.140625" style="16" customWidth="1"/>
    <col min="7691" max="7924" width="9.140625" style="16"/>
    <col min="7925" max="7925" width="17.42578125" style="16" customWidth="1"/>
    <col min="7926" max="7946" width="10.140625" style="16" customWidth="1"/>
    <col min="7947" max="8180" width="9.140625" style="16"/>
    <col min="8181" max="8181" width="17.42578125" style="16" customWidth="1"/>
    <col min="8182" max="8202" width="10.140625" style="16" customWidth="1"/>
    <col min="8203" max="8436" width="9.140625" style="16"/>
    <col min="8437" max="8437" width="17.42578125" style="16" customWidth="1"/>
    <col min="8438" max="8458" width="10.140625" style="16" customWidth="1"/>
    <col min="8459" max="8692" width="9.140625" style="16"/>
    <col min="8693" max="8693" width="17.42578125" style="16" customWidth="1"/>
    <col min="8694" max="8714" width="10.140625" style="16" customWidth="1"/>
    <col min="8715" max="8948" width="9.140625" style="16"/>
    <col min="8949" max="8949" width="17.42578125" style="16" customWidth="1"/>
    <col min="8950" max="8970" width="10.140625" style="16" customWidth="1"/>
    <col min="8971" max="9204" width="9.140625" style="16"/>
    <col min="9205" max="9205" width="17.42578125" style="16" customWidth="1"/>
    <col min="9206" max="9226" width="10.140625" style="16" customWidth="1"/>
    <col min="9227" max="9460" width="9.140625" style="16"/>
    <col min="9461" max="9461" width="17.42578125" style="16" customWidth="1"/>
    <col min="9462" max="9482" width="10.140625" style="16" customWidth="1"/>
    <col min="9483" max="9716" width="9.140625" style="16"/>
    <col min="9717" max="9717" width="17.42578125" style="16" customWidth="1"/>
    <col min="9718" max="9738" width="10.140625" style="16" customWidth="1"/>
    <col min="9739" max="9972" width="9.140625" style="16"/>
    <col min="9973" max="9973" width="17.42578125" style="16" customWidth="1"/>
    <col min="9974" max="9994" width="10.140625" style="16" customWidth="1"/>
    <col min="9995" max="10228" width="9.140625" style="16"/>
    <col min="10229" max="10229" width="17.42578125" style="16" customWidth="1"/>
    <col min="10230" max="10250" width="10.140625" style="16" customWidth="1"/>
    <col min="10251" max="10484" width="9.140625" style="16"/>
    <col min="10485" max="10485" width="17.42578125" style="16" customWidth="1"/>
    <col min="10486" max="10506" width="10.140625" style="16" customWidth="1"/>
    <col min="10507" max="10740" width="9.140625" style="16"/>
    <col min="10741" max="10741" width="17.42578125" style="16" customWidth="1"/>
    <col min="10742" max="10762" width="10.140625" style="16" customWidth="1"/>
    <col min="10763" max="10996" width="9.140625" style="16"/>
    <col min="10997" max="10997" width="17.42578125" style="16" customWidth="1"/>
    <col min="10998" max="11018" width="10.140625" style="16" customWidth="1"/>
    <col min="11019" max="11252" width="9.140625" style="16"/>
    <col min="11253" max="11253" width="17.42578125" style="16" customWidth="1"/>
    <col min="11254" max="11274" width="10.140625" style="16" customWidth="1"/>
    <col min="11275" max="11508" width="9.140625" style="16"/>
    <col min="11509" max="11509" width="17.42578125" style="16" customWidth="1"/>
    <col min="11510" max="11530" width="10.140625" style="16" customWidth="1"/>
    <col min="11531" max="11764" width="9.140625" style="16"/>
    <col min="11765" max="11765" width="17.42578125" style="16" customWidth="1"/>
    <col min="11766" max="11786" width="10.140625" style="16" customWidth="1"/>
    <col min="11787" max="12020" width="9.140625" style="16"/>
    <col min="12021" max="12021" width="17.42578125" style="16" customWidth="1"/>
    <col min="12022" max="12042" width="10.140625" style="16" customWidth="1"/>
    <col min="12043" max="12276" width="9.140625" style="16"/>
    <col min="12277" max="12277" width="17.42578125" style="16" customWidth="1"/>
    <col min="12278" max="12298" width="10.140625" style="16" customWidth="1"/>
    <col min="12299" max="12532" width="9.140625" style="16"/>
    <col min="12533" max="12533" width="17.42578125" style="16" customWidth="1"/>
    <col min="12534" max="12554" width="10.140625" style="16" customWidth="1"/>
    <col min="12555" max="12788" width="9.140625" style="16"/>
    <col min="12789" max="12789" width="17.42578125" style="16" customWidth="1"/>
    <col min="12790" max="12810" width="10.140625" style="16" customWidth="1"/>
    <col min="12811" max="13044" width="9.140625" style="16"/>
    <col min="13045" max="13045" width="17.42578125" style="16" customWidth="1"/>
    <col min="13046" max="13066" width="10.140625" style="16" customWidth="1"/>
    <col min="13067" max="13300" width="9.140625" style="16"/>
    <col min="13301" max="13301" width="17.42578125" style="16" customWidth="1"/>
    <col min="13302" max="13322" width="10.140625" style="16" customWidth="1"/>
    <col min="13323" max="13556" width="9.140625" style="16"/>
    <col min="13557" max="13557" width="17.42578125" style="16" customWidth="1"/>
    <col min="13558" max="13578" width="10.140625" style="16" customWidth="1"/>
    <col min="13579" max="13812" width="9.140625" style="16"/>
    <col min="13813" max="13813" width="17.42578125" style="16" customWidth="1"/>
    <col min="13814" max="13834" width="10.140625" style="16" customWidth="1"/>
    <col min="13835" max="14068" width="9.140625" style="16"/>
    <col min="14069" max="14069" width="17.42578125" style="16" customWidth="1"/>
    <col min="14070" max="14090" width="10.140625" style="16" customWidth="1"/>
    <col min="14091" max="14324" width="9.140625" style="16"/>
    <col min="14325" max="14325" width="17.42578125" style="16" customWidth="1"/>
    <col min="14326" max="14346" width="10.140625" style="16" customWidth="1"/>
    <col min="14347" max="14580" width="9.140625" style="16"/>
    <col min="14581" max="14581" width="17.42578125" style="16" customWidth="1"/>
    <col min="14582" max="14602" width="10.140625" style="16" customWidth="1"/>
    <col min="14603" max="14836" width="9.140625" style="16"/>
    <col min="14837" max="14837" width="17.42578125" style="16" customWidth="1"/>
    <col min="14838" max="14858" width="10.140625" style="16" customWidth="1"/>
    <col min="14859" max="15092" width="9.140625" style="16"/>
    <col min="15093" max="15093" width="17.42578125" style="16" customWidth="1"/>
    <col min="15094" max="15114" width="10.140625" style="16" customWidth="1"/>
    <col min="15115" max="15348" width="9.140625" style="16"/>
    <col min="15349" max="15349" width="17.42578125" style="16" customWidth="1"/>
    <col min="15350" max="15370" width="10.140625" style="16" customWidth="1"/>
    <col min="15371" max="15604" width="9.140625" style="16"/>
    <col min="15605" max="15605" width="17.42578125" style="16" customWidth="1"/>
    <col min="15606" max="15626" width="10.140625" style="16" customWidth="1"/>
    <col min="15627" max="15860" width="9.140625" style="16"/>
    <col min="15861" max="15861" width="17.42578125" style="16" customWidth="1"/>
    <col min="15862" max="15882" width="10.140625" style="16" customWidth="1"/>
    <col min="15883" max="16116" width="9.140625" style="16"/>
    <col min="16117" max="16117" width="17.42578125" style="16" customWidth="1"/>
    <col min="16118" max="16138" width="10.140625" style="16" customWidth="1"/>
    <col min="16139" max="16384" width="9.140625" style="16"/>
  </cols>
  <sheetData>
    <row r="1" spans="1:10" s="68" customFormat="1" ht="22.5" customHeight="1" x14ac:dyDescent="0.25">
      <c r="A1" s="29" t="s">
        <v>616</v>
      </c>
      <c r="B1" s="29"/>
      <c r="C1" s="133"/>
      <c r="D1" s="30"/>
      <c r="E1" s="30"/>
      <c r="F1" s="30"/>
      <c r="G1" s="30"/>
      <c r="H1" s="30"/>
      <c r="I1" s="30"/>
      <c r="J1" s="30"/>
    </row>
    <row r="2" spans="1:10" s="9" customFormat="1" ht="46.5" customHeight="1" x14ac:dyDescent="0.25">
      <c r="A2" s="34"/>
      <c r="B2" s="35" t="s">
        <v>600</v>
      </c>
      <c r="C2" s="144" t="s">
        <v>602</v>
      </c>
      <c r="D2" s="35" t="s">
        <v>603</v>
      </c>
      <c r="E2" s="35" t="s">
        <v>601</v>
      </c>
      <c r="F2" s="35" t="s">
        <v>538</v>
      </c>
      <c r="G2" s="35" t="s">
        <v>536</v>
      </c>
      <c r="H2" s="35" t="s">
        <v>605</v>
      </c>
      <c r="I2" s="35" t="s">
        <v>604</v>
      </c>
      <c r="J2" s="35" t="s">
        <v>537</v>
      </c>
    </row>
    <row r="3" spans="1:10" s="9" customFormat="1" x14ac:dyDescent="0.25">
      <c r="A3" s="1" t="s">
        <v>31</v>
      </c>
      <c r="B3" s="176">
        <v>-1.4825554531250065</v>
      </c>
      <c r="C3" s="145">
        <v>3.9664001640768762</v>
      </c>
      <c r="D3" s="145">
        <v>0.88785918598266067</v>
      </c>
      <c r="E3" s="181">
        <v>0.23645352910746401</v>
      </c>
      <c r="F3" s="181">
        <v>0.24431813329767677</v>
      </c>
      <c r="G3" s="146">
        <v>3.4212619272114012E-2</v>
      </c>
      <c r="H3" s="147">
        <v>15887.17589</v>
      </c>
      <c r="I3" s="148">
        <v>8845.8663084632517</v>
      </c>
      <c r="J3" s="149">
        <v>0.17820015569451683</v>
      </c>
    </row>
    <row r="4" spans="1:10" s="9" customFormat="1" x14ac:dyDescent="0.25">
      <c r="A4" s="2" t="s">
        <v>32</v>
      </c>
      <c r="B4" s="177">
        <v>0.84420493106397865</v>
      </c>
      <c r="C4" s="145">
        <v>1.5395438690413592</v>
      </c>
      <c r="D4" s="145">
        <v>0.51330575185144001</v>
      </c>
      <c r="E4" s="181">
        <v>0.15134695058823477</v>
      </c>
      <c r="F4" s="181">
        <v>0.14229974377266996</v>
      </c>
      <c r="G4" s="146">
        <v>1.7271319482241039E-2</v>
      </c>
      <c r="H4" s="147">
        <v>22320.097619999997</v>
      </c>
      <c r="I4" s="148">
        <v>4901.2072068511197</v>
      </c>
      <c r="J4" s="149">
        <v>9.902484596582925E-2</v>
      </c>
    </row>
    <row r="5" spans="1:10" s="9" customFormat="1" x14ac:dyDescent="0.25">
      <c r="A5" s="2" t="s">
        <v>4</v>
      </c>
      <c r="B5" s="177">
        <v>3.8953289493527636</v>
      </c>
      <c r="C5" s="145">
        <v>2.442091639791824</v>
      </c>
      <c r="D5" s="145">
        <v>2.4781834697048555</v>
      </c>
      <c r="E5" s="181">
        <v>0.13098893234362638</v>
      </c>
      <c r="F5" s="181">
        <v>0.13105145411254859</v>
      </c>
      <c r="G5" s="146">
        <v>1.017418323496937E-2</v>
      </c>
      <c r="H5" s="147">
        <v>10124.60023</v>
      </c>
      <c r="I5" s="148">
        <v>6972.865172176309</v>
      </c>
      <c r="J5" s="149">
        <v>0.21654774551135031</v>
      </c>
    </row>
    <row r="6" spans="1:10" s="9" customFormat="1" x14ac:dyDescent="0.25">
      <c r="A6" s="2" t="s">
        <v>33</v>
      </c>
      <c r="B6" s="177">
        <v>5.5920336971831244</v>
      </c>
      <c r="C6" s="145">
        <v>2.6411254460181572</v>
      </c>
      <c r="D6" s="145">
        <v>0.86562694642892879</v>
      </c>
      <c r="E6" s="181">
        <v>0.18030310311645525</v>
      </c>
      <c r="F6" s="181">
        <v>0.16661423301063161</v>
      </c>
      <c r="G6" s="146">
        <v>2.0800027670365678E-2</v>
      </c>
      <c r="H6" s="147">
        <v>10215.24712</v>
      </c>
      <c r="I6" s="148">
        <v>7349.0986474820138</v>
      </c>
      <c r="J6" s="149">
        <v>0.12166544095508569</v>
      </c>
    </row>
    <row r="7" spans="1:10" s="9" customFormat="1" x14ac:dyDescent="0.25">
      <c r="A7" s="2" t="s">
        <v>34</v>
      </c>
      <c r="B7" s="177">
        <v>9.0993679406995938</v>
      </c>
      <c r="C7" s="145">
        <v>2.3759170441545909</v>
      </c>
      <c r="D7" s="145">
        <v>1.158812581052902</v>
      </c>
      <c r="E7" s="181">
        <v>0.17989141240205547</v>
      </c>
      <c r="F7" s="181">
        <v>0.14789947954720045</v>
      </c>
      <c r="G7" s="146">
        <v>1.4990471274494125E-2</v>
      </c>
      <c r="H7" s="147">
        <v>2818.9662699999999</v>
      </c>
      <c r="I7" s="148">
        <v>8031.2429344729344</v>
      </c>
      <c r="J7" s="149">
        <v>0.13531438135367746</v>
      </c>
    </row>
    <row r="8" spans="1:10" s="9" customFormat="1" x14ac:dyDescent="0.25">
      <c r="A8" s="2" t="s">
        <v>35</v>
      </c>
      <c r="B8" s="177">
        <v>1.2276166275862046</v>
      </c>
      <c r="C8" s="145">
        <v>1.4844104506775453</v>
      </c>
      <c r="D8" s="145">
        <v>0.45944816775272196</v>
      </c>
      <c r="E8" s="181">
        <v>0.16841747653359679</v>
      </c>
      <c r="F8" s="181">
        <v>0.17274444849763421</v>
      </c>
      <c r="G8" s="146">
        <v>9.2756787519402435E-3</v>
      </c>
      <c r="H8" s="147">
        <v>20631.687450000001</v>
      </c>
      <c r="I8" s="148">
        <v>3998.3890406976748</v>
      </c>
      <c r="J8" s="149">
        <v>0.12970948038983202</v>
      </c>
    </row>
    <row r="9" spans="1:10" s="9" customFormat="1" x14ac:dyDescent="0.25">
      <c r="A9" s="2" t="s">
        <v>36</v>
      </c>
      <c r="B9" s="177">
        <v>5.9734655084978536</v>
      </c>
      <c r="C9" s="145">
        <v>3.6435361975561844</v>
      </c>
      <c r="D9" s="145">
        <v>0.81449970039622632</v>
      </c>
      <c r="E9" s="181">
        <v>0.11060016743693779</v>
      </c>
      <c r="F9" s="181">
        <v>9.6405150853969585E-2</v>
      </c>
      <c r="G9" s="146">
        <v>2.844190688922351E-2</v>
      </c>
      <c r="H9" s="147">
        <v>8033.8522300000004</v>
      </c>
      <c r="I9" s="148">
        <v>8564.8744456289987</v>
      </c>
      <c r="J9" s="149">
        <v>0.14890802012687226</v>
      </c>
    </row>
    <row r="10" spans="1:10" s="9" customFormat="1" x14ac:dyDescent="0.25">
      <c r="A10" s="2" t="s">
        <v>5</v>
      </c>
      <c r="B10" s="177">
        <v>8.2505248928571522</v>
      </c>
      <c r="C10" s="145">
        <v>0.4197893704524997</v>
      </c>
      <c r="D10" s="145">
        <v>0.92951616280996685</v>
      </c>
      <c r="E10" s="181">
        <v>0.46849779347485065</v>
      </c>
      <c r="F10" s="181">
        <v>0.47332104998052943</v>
      </c>
      <c r="G10" s="146">
        <v>1.5727300463132287E-3</v>
      </c>
      <c r="H10" s="147">
        <v>12562.074919999999</v>
      </c>
      <c r="I10" s="148">
        <v>2360.40490792935</v>
      </c>
      <c r="J10" s="149">
        <v>0.17535071753824411</v>
      </c>
    </row>
    <row r="11" spans="1:10" s="9" customFormat="1" x14ac:dyDescent="0.25">
      <c r="A11" s="2" t="s">
        <v>37</v>
      </c>
      <c r="B11" s="177">
        <v>-1.2285285183935282</v>
      </c>
      <c r="C11" s="145">
        <v>1.973382495956199</v>
      </c>
      <c r="D11" s="145">
        <v>5.2761165622536597</v>
      </c>
      <c r="E11" s="181">
        <v>3.0235281421468928E-2</v>
      </c>
      <c r="F11" s="181">
        <v>2.5263312639729613E-3</v>
      </c>
      <c r="G11" s="146">
        <v>2.7605049909072182E-2</v>
      </c>
      <c r="H11" s="147">
        <v>1570.8292799999999</v>
      </c>
      <c r="I11" s="148">
        <v>5018.6238977635785</v>
      </c>
      <c r="J11" s="149">
        <v>8.228522730151068E-2</v>
      </c>
    </row>
    <row r="12" spans="1:10" s="9" customFormat="1" x14ac:dyDescent="0.25">
      <c r="A12" s="2" t="s">
        <v>38</v>
      </c>
      <c r="B12" s="177">
        <v>4.7903036250939737</v>
      </c>
      <c r="C12" s="145">
        <v>2.2679417978239829</v>
      </c>
      <c r="D12" s="145">
        <v>1.3916304897230716</v>
      </c>
      <c r="E12" s="181">
        <v>0.17319753563730114</v>
      </c>
      <c r="F12" s="181">
        <v>0.16979627965922858</v>
      </c>
      <c r="G12" s="146">
        <v>1.8315585235717635E-2</v>
      </c>
      <c r="H12" s="147">
        <v>8139.7752199999986</v>
      </c>
      <c r="I12" s="148">
        <v>5306.2419947848757</v>
      </c>
      <c r="J12" s="149">
        <v>0.1128167609103272</v>
      </c>
    </row>
    <row r="13" spans="1:10" s="9" customFormat="1" x14ac:dyDescent="0.25">
      <c r="A13" s="2" t="s">
        <v>6</v>
      </c>
      <c r="B13" s="177">
        <v>-3.7761413223140283</v>
      </c>
      <c r="C13" s="145">
        <v>0.56582465651409353</v>
      </c>
      <c r="D13" s="145">
        <v>1.5607361657128114</v>
      </c>
      <c r="E13" s="181">
        <v>0.50646052413223852</v>
      </c>
      <c r="F13" s="181">
        <v>0.35601807596615154</v>
      </c>
      <c r="G13" s="146">
        <v>-2.9200504983346205E-3</v>
      </c>
      <c r="H13" s="147">
        <v>8722.4510600000012</v>
      </c>
      <c r="I13" s="148">
        <v>2599.0616984505364</v>
      </c>
      <c r="J13" s="149">
        <v>0.14163062001870738</v>
      </c>
    </row>
    <row r="14" spans="1:10" s="9" customFormat="1" x14ac:dyDescent="0.25">
      <c r="A14" s="2" t="s">
        <v>39</v>
      </c>
      <c r="B14" s="177">
        <v>10.09673239027066</v>
      </c>
      <c r="C14" s="145">
        <v>2.0238371553633008</v>
      </c>
      <c r="D14" s="145">
        <v>3.7138754601600659</v>
      </c>
      <c r="E14" s="181">
        <v>0.25243341258043239</v>
      </c>
      <c r="F14" s="181">
        <v>0.24978356320993406</v>
      </c>
      <c r="G14" s="146">
        <v>1.7721527483178175E-2</v>
      </c>
      <c r="H14" s="147">
        <v>12173.765140000003</v>
      </c>
      <c r="I14" s="148">
        <v>8062.0961192053001</v>
      </c>
      <c r="J14" s="149">
        <v>0.12248498657260554</v>
      </c>
    </row>
    <row r="15" spans="1:10" s="9" customFormat="1" x14ac:dyDescent="0.25">
      <c r="A15" s="2" t="s">
        <v>40</v>
      </c>
      <c r="B15" s="177">
        <v>-3.809698958333315</v>
      </c>
      <c r="C15" s="145">
        <v>2.1308080364715285</v>
      </c>
      <c r="D15" s="145">
        <v>1.1621897829100225</v>
      </c>
      <c r="E15" s="181">
        <v>0.19220465006326612</v>
      </c>
      <c r="F15" s="181">
        <v>0.22904291051157435</v>
      </c>
      <c r="G15" s="146">
        <v>6.7311285105889794E-3</v>
      </c>
      <c r="H15" s="147">
        <v>2900.5818300000001</v>
      </c>
      <c r="I15" s="148">
        <v>4685.9157189014541</v>
      </c>
      <c r="J15" s="149">
        <v>8.779582066323105E-2</v>
      </c>
    </row>
    <row r="16" spans="1:10" s="9" customFormat="1" x14ac:dyDescent="0.25">
      <c r="A16" s="2" t="s">
        <v>41</v>
      </c>
      <c r="B16" s="177">
        <v>6.2756303075563489</v>
      </c>
      <c r="C16" s="145">
        <v>1.2085472743943697</v>
      </c>
      <c r="D16" s="145">
        <v>0.81478391050635668</v>
      </c>
      <c r="E16" s="181">
        <v>0.29470861050372293</v>
      </c>
      <c r="F16" s="181">
        <v>0.28798124239568551</v>
      </c>
      <c r="G16" s="146">
        <v>1.9484820177298464E-2</v>
      </c>
      <c r="H16" s="147">
        <v>955.90743999999995</v>
      </c>
      <c r="I16" s="148">
        <v>8850.9948148148142</v>
      </c>
      <c r="J16" s="149">
        <v>0.17341532879596799</v>
      </c>
    </row>
    <row r="17" spans="1:10" s="9" customFormat="1" x14ac:dyDescent="0.25">
      <c r="A17" s="2" t="s">
        <v>27</v>
      </c>
      <c r="B17" s="177">
        <v>-1.8135017399438851</v>
      </c>
      <c r="C17" s="145">
        <v>2.2855060037112804</v>
      </c>
      <c r="D17" s="145">
        <v>0.44515088236843336</v>
      </c>
      <c r="E17" s="181">
        <v>0.10078616901016739</v>
      </c>
      <c r="F17" s="181">
        <v>0.10212136584563573</v>
      </c>
      <c r="G17" s="146">
        <v>1.4243375125366187E-2</v>
      </c>
      <c r="H17" s="147">
        <v>288467.27051000012</v>
      </c>
      <c r="I17" s="148">
        <v>6367.2281317735369</v>
      </c>
      <c r="J17" s="149">
        <v>0.13763523374159373</v>
      </c>
    </row>
    <row r="18" spans="1:10" s="9" customFormat="1" x14ac:dyDescent="0.25">
      <c r="A18" s="2" t="s">
        <v>7</v>
      </c>
      <c r="B18" s="177">
        <v>11.246143981900435</v>
      </c>
      <c r="C18" s="145">
        <v>1.6251294268442678</v>
      </c>
      <c r="D18" s="145">
        <v>0.42128102575759896</v>
      </c>
      <c r="E18" s="181">
        <v>0.27354139201423983</v>
      </c>
      <c r="F18" s="181">
        <v>0.27680968107228998</v>
      </c>
      <c r="G18" s="146">
        <v>8.007118883708168E-3</v>
      </c>
      <c r="H18" s="147">
        <v>23344.728470000005</v>
      </c>
      <c r="I18" s="148">
        <v>3764.6715803902607</v>
      </c>
      <c r="J18" s="149">
        <v>0.26958371845129681</v>
      </c>
    </row>
    <row r="19" spans="1:10" s="9" customFormat="1" x14ac:dyDescent="0.25">
      <c r="A19" s="2" t="s">
        <v>42</v>
      </c>
      <c r="B19" s="177">
        <v>2.1477999285714229</v>
      </c>
      <c r="C19" s="145">
        <v>1.7521043366282141</v>
      </c>
      <c r="D19" s="145">
        <v>0.92469488977151637</v>
      </c>
      <c r="E19" s="181">
        <v>0.12461631511097591</v>
      </c>
      <c r="F19" s="181">
        <v>0.1081402522125373</v>
      </c>
      <c r="G19" s="146">
        <v>1.5692612664378026E-2</v>
      </c>
      <c r="H19" s="147">
        <v>26685.644480000003</v>
      </c>
      <c r="I19" s="148">
        <v>9527.1847483041784</v>
      </c>
      <c r="J19" s="149">
        <v>8.026025260471277E-2</v>
      </c>
    </row>
    <row r="20" spans="1:10" s="9" customFormat="1" x14ac:dyDescent="0.25">
      <c r="A20" s="2" t="s">
        <v>43</v>
      </c>
      <c r="B20" s="177">
        <v>0.98191145612648323</v>
      </c>
      <c r="C20" s="145">
        <v>1.7310237784796452</v>
      </c>
      <c r="D20" s="145">
        <v>0.6982133733334831</v>
      </c>
      <c r="E20" s="181">
        <v>0.13481003168214248</v>
      </c>
      <c r="F20" s="181">
        <v>0.14327750482458779</v>
      </c>
      <c r="G20" s="146">
        <v>6.869580597916561E-3</v>
      </c>
      <c r="H20" s="147">
        <v>8181.28539</v>
      </c>
      <c r="I20" s="148">
        <v>8797.0810645161291</v>
      </c>
      <c r="J20" s="149">
        <v>0.13199730564085974</v>
      </c>
    </row>
    <row r="21" spans="1:10" s="9" customFormat="1" x14ac:dyDescent="0.25">
      <c r="A21" s="2" t="s">
        <v>44</v>
      </c>
      <c r="B21" s="177">
        <v>4.753737810218988</v>
      </c>
      <c r="C21" s="145">
        <v>4.0418319031622421</v>
      </c>
      <c r="D21" s="145">
        <v>0.84585067207963893</v>
      </c>
      <c r="E21" s="181">
        <v>0.1613190061767677</v>
      </c>
      <c r="F21" s="181">
        <v>0.16269392407507638</v>
      </c>
      <c r="G21" s="146">
        <v>1.8521350634840322E-2</v>
      </c>
      <c r="H21" s="147">
        <v>16991.533689999997</v>
      </c>
      <c r="I21" s="148">
        <v>9726.1211734401822</v>
      </c>
      <c r="J21" s="149">
        <v>0.37858727371192552</v>
      </c>
    </row>
    <row r="22" spans="1:10" s="9" customFormat="1" x14ac:dyDescent="0.25">
      <c r="A22" s="2" t="s">
        <v>8</v>
      </c>
      <c r="B22" s="177">
        <v>2.3032493050985865</v>
      </c>
      <c r="C22" s="145">
        <v>1.1928914230992205</v>
      </c>
      <c r="D22" s="145">
        <v>0.81545966415163096</v>
      </c>
      <c r="E22" s="181">
        <v>0.16102203555583783</v>
      </c>
      <c r="F22" s="181">
        <v>0.15917519400925476</v>
      </c>
      <c r="G22" s="146">
        <v>1.3574111624715975E-2</v>
      </c>
      <c r="H22" s="147">
        <v>2225.5500199999988</v>
      </c>
      <c r="I22" s="148">
        <v>2315.868907388136</v>
      </c>
      <c r="J22" s="149">
        <v>0.26694956231042055</v>
      </c>
    </row>
    <row r="23" spans="1:10" s="9" customFormat="1" x14ac:dyDescent="0.25">
      <c r="A23" s="2" t="s">
        <v>45</v>
      </c>
      <c r="B23" s="177">
        <v>-56.540661016949137</v>
      </c>
      <c r="C23" s="145">
        <v>14.384877674739519</v>
      </c>
      <c r="D23" s="145">
        <v>7.3008899008210393E-2</v>
      </c>
      <c r="E23" s="181">
        <v>-0.35597312465908426</v>
      </c>
      <c r="F23" s="181">
        <v>-0.35178406445053706</v>
      </c>
      <c r="G23" s="146">
        <v>7.6341477472661248E-2</v>
      </c>
      <c r="H23" s="147">
        <v>3157.1226099999999</v>
      </c>
      <c r="I23" s="148">
        <v>67172.821489361697</v>
      </c>
      <c r="J23" s="149">
        <v>0.28086605298394796</v>
      </c>
    </row>
    <row r="24" spans="1:10" s="9" customFormat="1" x14ac:dyDescent="0.25">
      <c r="A24" s="2" t="s">
        <v>46</v>
      </c>
      <c r="B24" s="177">
        <v>-6.0169814180107375</v>
      </c>
      <c r="C24" s="145">
        <v>4.4954241169063813</v>
      </c>
      <c r="D24" s="145">
        <v>0.39981741432873319</v>
      </c>
      <c r="E24" s="181">
        <v>5.7685305686923129E-2</v>
      </c>
      <c r="F24" s="181">
        <v>5.6333216558314497E-2</v>
      </c>
      <c r="G24" s="146">
        <v>2.5277500622649191E-2</v>
      </c>
      <c r="H24" s="147">
        <v>24865.301520000001</v>
      </c>
      <c r="I24" s="148">
        <v>13163.208851244044</v>
      </c>
      <c r="J24" s="149">
        <v>0.3128229450618224</v>
      </c>
    </row>
    <row r="25" spans="1:10" s="9" customFormat="1" x14ac:dyDescent="0.25">
      <c r="A25" s="2" t="s">
        <v>47</v>
      </c>
      <c r="B25" s="177">
        <v>7.0437324710794975</v>
      </c>
      <c r="C25" s="145">
        <v>2.0426955125479584</v>
      </c>
      <c r="D25" s="145">
        <v>1.9318212102164227</v>
      </c>
      <c r="E25" s="181">
        <v>0.13307751873962739</v>
      </c>
      <c r="F25" s="181">
        <v>0.13118836259267769</v>
      </c>
      <c r="G25" s="146">
        <v>1.1833308635420686E-2</v>
      </c>
      <c r="H25" s="147">
        <v>4735.7835400000004</v>
      </c>
      <c r="I25" s="148">
        <v>10861.888853211009</v>
      </c>
      <c r="J25" s="149">
        <v>0.11894380479872946</v>
      </c>
    </row>
    <row r="26" spans="1:10" s="9" customFormat="1" x14ac:dyDescent="0.25">
      <c r="A26" s="2" t="s">
        <v>48</v>
      </c>
      <c r="B26" s="177">
        <v>3.5412653898305377</v>
      </c>
      <c r="C26" s="145">
        <v>2.8348340830431771</v>
      </c>
      <c r="D26" s="145">
        <v>0.32895226720365728</v>
      </c>
      <c r="E26" s="181">
        <v>0.15829037125413362</v>
      </c>
      <c r="F26" s="181">
        <v>0.26997102245341448</v>
      </c>
      <c r="G26" s="146">
        <v>1.6897811732070476E-2</v>
      </c>
      <c r="H26" s="147">
        <v>23339.033429999999</v>
      </c>
      <c r="I26" s="148">
        <v>14415.709345274861</v>
      </c>
      <c r="J26" s="149">
        <v>0.27195804144796154</v>
      </c>
    </row>
    <row r="27" spans="1:10" s="9" customFormat="1" x14ac:dyDescent="0.25">
      <c r="A27" s="2" t="s">
        <v>49</v>
      </c>
      <c r="B27" s="177">
        <v>27.145951068097219</v>
      </c>
      <c r="C27" s="145">
        <v>1.8168693054270941</v>
      </c>
      <c r="D27" s="145">
        <v>0.49964877648266637</v>
      </c>
      <c r="E27" s="181">
        <v>0.44295468652604914</v>
      </c>
      <c r="F27" s="181">
        <v>0.43670558681430011</v>
      </c>
      <c r="G27" s="146">
        <v>1.9090720713454641E-2</v>
      </c>
      <c r="H27" s="147">
        <v>3387.8699000000001</v>
      </c>
      <c r="I27" s="148">
        <v>7147.4048523206757</v>
      </c>
      <c r="J27" s="149">
        <v>0.4185391001608525</v>
      </c>
    </row>
    <row r="28" spans="1:10" s="9" customFormat="1" x14ac:dyDescent="0.25">
      <c r="A28" s="2" t="s">
        <v>50</v>
      </c>
      <c r="B28" s="177">
        <v>0.97668064368066476</v>
      </c>
      <c r="C28" s="145">
        <v>3.3641071164917125</v>
      </c>
      <c r="D28" s="145">
        <v>0.32085526867882336</v>
      </c>
      <c r="E28" s="181">
        <v>5.7391825418903995E-2</v>
      </c>
      <c r="F28" s="181">
        <v>4.1758902166022002E-2</v>
      </c>
      <c r="G28" s="146">
        <v>2.8912618899286317E-2</v>
      </c>
      <c r="H28" s="147">
        <v>8055.8255999999992</v>
      </c>
      <c r="I28" s="148">
        <v>10197.247594936709</v>
      </c>
      <c r="J28" s="149">
        <v>0.29225782237623898</v>
      </c>
    </row>
    <row r="29" spans="1:10" s="9" customFormat="1" x14ac:dyDescent="0.25">
      <c r="A29" s="2" t="s">
        <v>51</v>
      </c>
      <c r="B29" s="177">
        <v>-34.15508699411329</v>
      </c>
      <c r="C29" s="145">
        <v>0.90287277299245372</v>
      </c>
      <c r="D29" s="145">
        <v>-3.092870186289884</v>
      </c>
      <c r="E29" s="181">
        <v>0.33920909537249333</v>
      </c>
      <c r="F29" s="181">
        <v>0.32210181731413479</v>
      </c>
      <c r="G29" s="146">
        <v>2.3316209571271978E-3</v>
      </c>
      <c r="H29" s="147">
        <v>6216.5169399999995</v>
      </c>
      <c r="I29" s="148">
        <v>3922.0927066246054</v>
      </c>
      <c r="J29" s="149">
        <v>8.3994087458262576E-2</v>
      </c>
    </row>
    <row r="30" spans="1:10" s="9" customFormat="1" x14ac:dyDescent="0.25">
      <c r="A30" s="2" t="s">
        <v>52</v>
      </c>
      <c r="B30" s="177">
        <v>5.0058176310679174</v>
      </c>
      <c r="C30" s="145">
        <v>1.6066972427035817</v>
      </c>
      <c r="D30" s="145">
        <v>0.56115684655078368</v>
      </c>
      <c r="E30" s="181">
        <v>0.25557493584225605</v>
      </c>
      <c r="F30" s="181">
        <v>0.28140937496479784</v>
      </c>
      <c r="G30" s="146">
        <v>-1.0987074826479426E-2</v>
      </c>
      <c r="H30" s="147">
        <v>11671.55329</v>
      </c>
      <c r="I30" s="148">
        <v>3726.5495817369092</v>
      </c>
      <c r="J30" s="149">
        <v>0.18486124694504352</v>
      </c>
    </row>
    <row r="31" spans="1:10" s="9" customFormat="1" x14ac:dyDescent="0.25">
      <c r="A31" s="2" t="s">
        <v>9</v>
      </c>
      <c r="B31" s="177">
        <v>174.64363191489366</v>
      </c>
      <c r="C31" s="145">
        <v>-5.8305616380386285</v>
      </c>
      <c r="D31" s="145">
        <v>3.0190673223967748</v>
      </c>
      <c r="E31" s="181">
        <v>0.38388187048334954</v>
      </c>
      <c r="F31" s="181">
        <v>0.38448977472353241</v>
      </c>
      <c r="G31" s="146">
        <v>-1.1669142372637208E-3</v>
      </c>
      <c r="H31" s="147">
        <v>-848.58512999999994</v>
      </c>
      <c r="I31" s="148">
        <v>-17318.06387755102</v>
      </c>
      <c r="J31" s="149">
        <v>0.26963136791230119</v>
      </c>
    </row>
    <row r="32" spans="1:10" s="9" customFormat="1" x14ac:dyDescent="0.25">
      <c r="A32" s="2" t="s">
        <v>10</v>
      </c>
      <c r="B32" s="177">
        <v>-1.2177601658181454</v>
      </c>
      <c r="C32" s="145">
        <v>1.2630893407251924</v>
      </c>
      <c r="D32" s="145">
        <v>0.59184185358570918</v>
      </c>
      <c r="E32" s="181">
        <v>0.16685579756460783</v>
      </c>
      <c r="F32" s="181">
        <v>0.16111628377280224</v>
      </c>
      <c r="G32" s="146">
        <v>2.2758573490976236E-2</v>
      </c>
      <c r="H32" s="147">
        <v>10488.783350000002</v>
      </c>
      <c r="I32" s="148">
        <v>4363.0546381031618</v>
      </c>
      <c r="J32" s="149">
        <v>6.3151654224736939E-2</v>
      </c>
    </row>
    <row r="33" spans="1:10" s="9" customFormat="1" x14ac:dyDescent="0.25">
      <c r="A33" s="2" t="s">
        <v>53</v>
      </c>
      <c r="B33" s="177">
        <v>3.3650266117478616</v>
      </c>
      <c r="C33" s="145">
        <v>3.5557503221273361</v>
      </c>
      <c r="D33" s="145">
        <v>1.0179332629925393</v>
      </c>
      <c r="E33" s="181">
        <v>0.1315176784227258</v>
      </c>
      <c r="F33" s="181">
        <v>0.1178607013788211</v>
      </c>
      <c r="G33" s="146">
        <v>2.2193556315479732E-2</v>
      </c>
      <c r="H33" s="147">
        <v>60657.348929999993</v>
      </c>
      <c r="I33" s="148">
        <v>9030.4226485037943</v>
      </c>
      <c r="J33" s="149">
        <v>0.22298994328016367</v>
      </c>
    </row>
    <row r="34" spans="1:10" s="9" customFormat="1" x14ac:dyDescent="0.25">
      <c r="A34" s="2" t="s">
        <v>54</v>
      </c>
      <c r="B34" s="177">
        <v>-0.47981920879118267</v>
      </c>
      <c r="C34" s="145">
        <v>2.274089850491015</v>
      </c>
      <c r="D34" s="145">
        <v>7.7271333173403456E-2</v>
      </c>
      <c r="E34" s="181">
        <v>0.12120066868145687</v>
      </c>
      <c r="F34" s="181">
        <v>0.11184352725370809</v>
      </c>
      <c r="G34" s="146">
        <v>2.9259050481146943E-2</v>
      </c>
      <c r="H34" s="147">
        <v>27630.108520000002</v>
      </c>
      <c r="I34" s="148">
        <v>6279.5701181818185</v>
      </c>
      <c r="J34" s="149">
        <v>0.20297054647415369</v>
      </c>
    </row>
    <row r="35" spans="1:10" s="9" customFormat="1" x14ac:dyDescent="0.25">
      <c r="A35" s="2" t="s">
        <v>55</v>
      </c>
      <c r="B35" s="177">
        <v>-28.730900000000009</v>
      </c>
      <c r="C35" s="145">
        <v>1.586156279384723</v>
      </c>
      <c r="D35" s="145">
        <v>-0.97855376086668022</v>
      </c>
      <c r="E35" s="181">
        <v>0.58009255276863414</v>
      </c>
      <c r="F35" s="181">
        <v>0.57182537695001823</v>
      </c>
      <c r="G35" s="146">
        <v>7.3759849238332941E-3</v>
      </c>
      <c r="H35" s="147">
        <v>14534.31961</v>
      </c>
      <c r="I35" s="148">
        <v>6425.4286516357215</v>
      </c>
      <c r="J35" s="149">
        <v>0.17685775638381893</v>
      </c>
    </row>
    <row r="36" spans="1:10" s="9" customFormat="1" x14ac:dyDescent="0.25">
      <c r="A36" s="2" t="s">
        <v>56</v>
      </c>
      <c r="B36" s="177">
        <v>9.3329853021978124</v>
      </c>
      <c r="C36" s="145">
        <v>4.3939079643492684</v>
      </c>
      <c r="D36" s="145">
        <v>0.61147149499334119</v>
      </c>
      <c r="E36" s="181">
        <v>8.9912480580807405E-2</v>
      </c>
      <c r="F36" s="181">
        <v>0.10722314997247587</v>
      </c>
      <c r="G36" s="146">
        <v>1.7266206615080697E-2</v>
      </c>
      <c r="H36" s="147">
        <v>11128.972389999999</v>
      </c>
      <c r="I36" s="148">
        <v>10400.908775700933</v>
      </c>
      <c r="J36" s="149">
        <v>0.32427553412347876</v>
      </c>
    </row>
    <row r="37" spans="1:10" s="9" customFormat="1" x14ac:dyDescent="0.25">
      <c r="A37" s="2" t="s">
        <v>57</v>
      </c>
      <c r="B37" s="177">
        <v>-23.01484999999991</v>
      </c>
      <c r="C37" s="145">
        <v>20.334137947593824</v>
      </c>
      <c r="D37" s="145">
        <v>0.44188162469120223</v>
      </c>
      <c r="E37" s="181">
        <v>5.7212887623180005E-2</v>
      </c>
      <c r="F37" s="181">
        <v>7.718253695583524E-2</v>
      </c>
      <c r="G37" s="146">
        <v>0.14258799128153016</v>
      </c>
      <c r="H37" s="147">
        <v>2777.7196999999996</v>
      </c>
      <c r="I37" s="148">
        <v>75073.505405405391</v>
      </c>
      <c r="J37" s="149">
        <v>0.52693303180069706</v>
      </c>
    </row>
    <row r="38" spans="1:10" s="9" customFormat="1" x14ac:dyDescent="0.25">
      <c r="A38" s="2" t="s">
        <v>58</v>
      </c>
      <c r="B38" s="177">
        <v>-17.099506007483374</v>
      </c>
      <c r="C38" s="145">
        <v>3.2498306460642121</v>
      </c>
      <c r="D38" s="145">
        <v>0.40983941501225546</v>
      </c>
      <c r="E38" s="181">
        <v>8.5363439519527573E-2</v>
      </c>
      <c r="F38" s="181">
        <v>9.5517865606244937E-2</v>
      </c>
      <c r="G38" s="146">
        <v>3.85227094271317E-2</v>
      </c>
      <c r="H38" s="147">
        <v>7868.9745099999982</v>
      </c>
      <c r="I38" s="148">
        <v>7082.7853375337518</v>
      </c>
      <c r="J38" s="149">
        <v>0.11509745276959105</v>
      </c>
    </row>
    <row r="39" spans="1:10" s="9" customFormat="1" x14ac:dyDescent="0.25">
      <c r="A39" s="2" t="s">
        <v>11</v>
      </c>
      <c r="B39" s="177">
        <v>-0.51181012295716954</v>
      </c>
      <c r="C39" s="145">
        <v>1.6554561468303461</v>
      </c>
      <c r="D39" s="145">
        <v>0.38742276670859394</v>
      </c>
      <c r="E39" s="181">
        <v>0.10608613153045944</v>
      </c>
      <c r="F39" s="181">
        <v>0.10612676792871314</v>
      </c>
      <c r="G39" s="146">
        <v>7.2810435017374954E-3</v>
      </c>
      <c r="H39" s="147">
        <v>66057.066640000005</v>
      </c>
      <c r="I39" s="148">
        <v>8733.0865468006359</v>
      </c>
      <c r="J39" s="149">
        <v>0.10101499283576272</v>
      </c>
    </row>
    <row r="40" spans="1:10" s="9" customFormat="1" x14ac:dyDescent="0.25">
      <c r="A40" s="3" t="s">
        <v>59</v>
      </c>
      <c r="B40" s="178">
        <v>0.2148460565723854</v>
      </c>
      <c r="C40" s="145">
        <v>3.22869774509953</v>
      </c>
      <c r="D40" s="145">
        <v>0.89066062068445051</v>
      </c>
      <c r="E40" s="181">
        <v>0.12907504358397906</v>
      </c>
      <c r="F40" s="181">
        <v>0.13874678155337314</v>
      </c>
      <c r="G40" s="146">
        <v>1.5540821987566652E-2</v>
      </c>
      <c r="H40" s="147">
        <v>25706.375209999995</v>
      </c>
      <c r="I40" s="148">
        <v>9070.7040261115017</v>
      </c>
      <c r="J40" s="149">
        <v>0.12270677246010282</v>
      </c>
    </row>
    <row r="41" spans="1:10" s="9" customFormat="1" x14ac:dyDescent="0.25">
      <c r="A41" s="2" t="s">
        <v>60</v>
      </c>
      <c r="B41" s="177">
        <v>3.5949046937669609</v>
      </c>
      <c r="C41" s="145">
        <v>0.26113148622883542</v>
      </c>
      <c r="D41" s="145">
        <v>0.87862400576933486</v>
      </c>
      <c r="E41" s="181">
        <v>0.5020519986741987</v>
      </c>
      <c r="F41" s="181">
        <v>0.50583381672797512</v>
      </c>
      <c r="G41" s="146">
        <v>-6.0001598195666781E-3</v>
      </c>
      <c r="H41" s="147">
        <v>9883.0821999999971</v>
      </c>
      <c r="I41" s="148">
        <v>2015.721435855598</v>
      </c>
      <c r="J41" s="149">
        <v>0.10622576161679465</v>
      </c>
    </row>
    <row r="42" spans="1:10" s="9" customFormat="1" x14ac:dyDescent="0.25">
      <c r="A42" s="2" t="s">
        <v>61</v>
      </c>
      <c r="B42" s="177">
        <v>-10.093489714638078</v>
      </c>
      <c r="C42" s="145">
        <v>0.99481200911437095</v>
      </c>
      <c r="D42" s="145">
        <v>-0.27060907777126075</v>
      </c>
      <c r="E42" s="181">
        <v>0.19429113160125563</v>
      </c>
      <c r="F42" s="181">
        <v>0.20088655576613598</v>
      </c>
      <c r="G42" s="146">
        <v>1.1359130553396844E-2</v>
      </c>
      <c r="H42" s="147">
        <v>8470.2101900000034</v>
      </c>
      <c r="I42" s="148">
        <v>3874.7530603842652</v>
      </c>
      <c r="J42" s="149">
        <v>8.7940570542326291E-2</v>
      </c>
    </row>
    <row r="43" spans="1:10" s="9" customFormat="1" x14ac:dyDescent="0.25">
      <c r="A43" s="2" t="s">
        <v>62</v>
      </c>
      <c r="B43" s="177">
        <v>6.0687812264676229</v>
      </c>
      <c r="C43" s="145">
        <v>1.0290715260762238</v>
      </c>
      <c r="D43" s="145">
        <v>0.58109346607909651</v>
      </c>
      <c r="E43" s="181">
        <v>0.3040053898320676</v>
      </c>
      <c r="F43" s="181">
        <v>0.37475401694247179</v>
      </c>
      <c r="G43" s="146">
        <v>6.3789319608405651E-3</v>
      </c>
      <c r="H43" s="147">
        <v>7413.0817600000009</v>
      </c>
      <c r="I43" s="148">
        <v>2593.8004758572429</v>
      </c>
      <c r="J43" s="149">
        <v>0.12675907759870794</v>
      </c>
    </row>
    <row r="44" spans="1:10" s="9" customFormat="1" x14ac:dyDescent="0.25">
      <c r="A44" s="2" t="s">
        <v>63</v>
      </c>
      <c r="B44" s="177">
        <v>-7.861348494252864</v>
      </c>
      <c r="C44" s="145">
        <v>1.1438655368480759</v>
      </c>
      <c r="D44" s="145">
        <v>-0.36030504830446447</v>
      </c>
      <c r="E44" s="181">
        <v>0.31031052010918642</v>
      </c>
      <c r="F44" s="181">
        <v>0.27519369959023521</v>
      </c>
      <c r="G44" s="146">
        <v>1.3252170501710162E-2</v>
      </c>
      <c r="H44" s="147">
        <v>5832.788050000001</v>
      </c>
      <c r="I44" s="148">
        <v>3933.1005057316256</v>
      </c>
      <c r="J44" s="149">
        <v>0.14564024832308003</v>
      </c>
    </row>
    <row r="45" spans="1:10" s="9" customFormat="1" x14ac:dyDescent="0.25">
      <c r="A45" s="2" t="s">
        <v>64</v>
      </c>
      <c r="B45" s="177">
        <v>14.268891364902499</v>
      </c>
      <c r="C45" s="145">
        <v>1.7406950804893417</v>
      </c>
      <c r="D45" s="145">
        <v>2.4037268828360356</v>
      </c>
      <c r="E45" s="181">
        <v>8.5942515441106662E-2</v>
      </c>
      <c r="F45" s="181">
        <v>9.416056688169723E-2</v>
      </c>
      <c r="G45" s="146">
        <v>2.1226394993712122E-2</v>
      </c>
      <c r="H45" s="147">
        <v>2622.2956399999994</v>
      </c>
      <c r="I45" s="148">
        <v>4467.2838841567282</v>
      </c>
      <c r="J45" s="149">
        <v>0.18010927182562481</v>
      </c>
    </row>
    <row r="46" spans="1:10" s="9" customFormat="1" x14ac:dyDescent="0.25">
      <c r="A46" s="2" t="s">
        <v>65</v>
      </c>
      <c r="B46" s="177">
        <v>13.653478478117078</v>
      </c>
      <c r="C46" s="145">
        <v>0.62629353705232005</v>
      </c>
      <c r="D46" s="145" t="s">
        <v>599</v>
      </c>
      <c r="E46" s="181">
        <v>0.23918441725487646</v>
      </c>
      <c r="F46" s="181">
        <v>0.34745945064473793</v>
      </c>
      <c r="G46" s="146">
        <v>6.9541002758148869E-3</v>
      </c>
      <c r="H46" s="147">
        <v>282.90129999999976</v>
      </c>
      <c r="I46" s="148">
        <v>1529.1962162162149</v>
      </c>
      <c r="J46" s="149">
        <v>2.8911628455629539E-2</v>
      </c>
    </row>
    <row r="47" spans="1:10" s="9" customFormat="1" x14ac:dyDescent="0.25">
      <c r="A47" s="2" t="s">
        <v>66</v>
      </c>
      <c r="B47" s="177">
        <v>0.97125932762305789</v>
      </c>
      <c r="C47" s="145">
        <v>2.5101711763810264</v>
      </c>
      <c r="D47" s="145">
        <v>1.4770131863888274</v>
      </c>
      <c r="E47" s="181">
        <v>0.20119955070268122</v>
      </c>
      <c r="F47" s="181">
        <v>0.20577075128006955</v>
      </c>
      <c r="G47" s="146">
        <v>1.1617213834998598E-2</v>
      </c>
      <c r="H47" s="147">
        <v>16996.942760000002</v>
      </c>
      <c r="I47" s="148">
        <v>6283.5278225508328</v>
      </c>
      <c r="J47" s="149">
        <v>0.10041781373028207</v>
      </c>
    </row>
    <row r="48" spans="1:10" s="9" customFormat="1" x14ac:dyDescent="0.25">
      <c r="A48" s="2" t="s">
        <v>67</v>
      </c>
      <c r="B48" s="177">
        <v>-14.510096049756937</v>
      </c>
      <c r="C48" s="145">
        <v>3.0930664851526335</v>
      </c>
      <c r="D48" s="145">
        <v>0.27669119362243905</v>
      </c>
      <c r="E48" s="181">
        <v>0.10730821987281541</v>
      </c>
      <c r="F48" s="181">
        <v>0.12615090510977978</v>
      </c>
      <c r="G48" s="146">
        <v>4.8375313420467199E-2</v>
      </c>
      <c r="H48" s="147">
        <v>49653.68737</v>
      </c>
      <c r="I48" s="148">
        <v>9883.2976453025476</v>
      </c>
      <c r="J48" s="149">
        <v>0.20512951356707604</v>
      </c>
    </row>
    <row r="49" spans="1:10" s="9" customFormat="1" x14ac:dyDescent="0.25">
      <c r="A49" s="2" t="s">
        <v>68</v>
      </c>
      <c r="B49" s="177">
        <v>16.960469825783939</v>
      </c>
      <c r="C49" s="145">
        <v>1.8105209178749426</v>
      </c>
      <c r="D49" s="145">
        <v>1.9797949397935495</v>
      </c>
      <c r="E49" s="181">
        <v>0.23555466163950478</v>
      </c>
      <c r="F49" s="181">
        <v>0.25753719942168107</v>
      </c>
      <c r="G49" s="146">
        <v>1.3965745809274432E-2</v>
      </c>
      <c r="H49" s="147">
        <v>4590.9317899999987</v>
      </c>
      <c r="I49" s="148">
        <v>5731.5003620474399</v>
      </c>
      <c r="J49" s="149">
        <v>7.3420054932024206E-2</v>
      </c>
    </row>
    <row r="50" spans="1:10" s="9" customFormat="1" x14ac:dyDescent="0.25">
      <c r="A50" s="2" t="s">
        <v>69</v>
      </c>
      <c r="B50" s="177">
        <v>4.1131771017674703</v>
      </c>
      <c r="C50" s="145">
        <v>2.3923519931956521</v>
      </c>
      <c r="D50" s="145">
        <v>0.53468830772420073</v>
      </c>
      <c r="E50" s="181">
        <v>0.16580968556206327</v>
      </c>
      <c r="F50" s="181">
        <v>0.17338608787743529</v>
      </c>
      <c r="G50" s="146">
        <v>1.4002843762773309E-2</v>
      </c>
      <c r="H50" s="147">
        <v>28638.351020000002</v>
      </c>
      <c r="I50" s="148">
        <v>5928.0378844959641</v>
      </c>
      <c r="J50" s="149">
        <v>0.20433127352389122</v>
      </c>
    </row>
    <row r="51" spans="1:10" s="9" customFormat="1" x14ac:dyDescent="0.25">
      <c r="A51" s="2" t="s">
        <v>12</v>
      </c>
      <c r="B51" s="177">
        <v>15.624898421052619</v>
      </c>
      <c r="C51" s="145">
        <v>0.53400263791465929</v>
      </c>
      <c r="D51" s="145">
        <v>2.791912555545434</v>
      </c>
      <c r="E51" s="181">
        <v>0.32351030190290364</v>
      </c>
      <c r="F51" s="181">
        <v>0.32242175796003042</v>
      </c>
      <c r="G51" s="146">
        <v>2.7177510658940241E-2</v>
      </c>
      <c r="H51" s="147">
        <v>1510.0131699999997</v>
      </c>
      <c r="I51" s="148">
        <v>3226.5238675213668</v>
      </c>
      <c r="J51" s="149">
        <v>7.0880755428616063E-2</v>
      </c>
    </row>
    <row r="52" spans="1:10" s="9" customFormat="1" x14ac:dyDescent="0.25">
      <c r="A52" s="2" t="s">
        <v>70</v>
      </c>
      <c r="B52" s="177">
        <v>-2.9645399736842166</v>
      </c>
      <c r="C52" s="145">
        <v>1.2154115097375722</v>
      </c>
      <c r="D52" s="145">
        <v>0.27624106588566905</v>
      </c>
      <c r="E52" s="181">
        <v>0.18556535601604796</v>
      </c>
      <c r="F52" s="181">
        <v>0.18096244532319039</v>
      </c>
      <c r="G52" s="146">
        <v>7.3692612816309835E-3</v>
      </c>
      <c r="H52" s="147">
        <v>5773.4539399999994</v>
      </c>
      <c r="I52" s="148">
        <v>4129.7953791130185</v>
      </c>
      <c r="J52" s="149">
        <v>0.12875632042048529</v>
      </c>
    </row>
    <row r="53" spans="1:10" s="9" customFormat="1" x14ac:dyDescent="0.25">
      <c r="A53" s="2" t="s">
        <v>71</v>
      </c>
      <c r="B53" s="177">
        <v>8.0473948884381663</v>
      </c>
      <c r="C53" s="145">
        <v>9.8419794197979087</v>
      </c>
      <c r="D53" s="145">
        <v>1.0506328418105229</v>
      </c>
      <c r="E53" s="181">
        <v>6.2257011793426888E-2</v>
      </c>
      <c r="F53" s="181">
        <v>7.0367421143689574E-2</v>
      </c>
      <c r="G53" s="146">
        <v>3.2882953642538536E-2</v>
      </c>
      <c r="H53" s="147">
        <v>6282.95658</v>
      </c>
      <c r="I53" s="148">
        <v>15551.872722772277</v>
      </c>
      <c r="J53" s="149">
        <v>0.31277943016004045</v>
      </c>
    </row>
    <row r="54" spans="1:10" s="9" customFormat="1" x14ac:dyDescent="0.25">
      <c r="A54" s="2" t="s">
        <v>72</v>
      </c>
      <c r="B54" s="177">
        <v>13.070446597402583</v>
      </c>
      <c r="C54" s="145">
        <v>2.5391419326052191</v>
      </c>
      <c r="D54" s="145">
        <v>0.24655256619741986</v>
      </c>
      <c r="E54" s="181">
        <v>0.17761243074001049</v>
      </c>
      <c r="F54" s="181">
        <v>0.17957264842437848</v>
      </c>
      <c r="G54" s="146">
        <v>1.7796935594673397E-2</v>
      </c>
      <c r="H54" s="147">
        <v>15928.283640000001</v>
      </c>
      <c r="I54" s="148">
        <v>9065.6139100739892</v>
      </c>
      <c r="J54" s="149">
        <v>0.37435209446966972</v>
      </c>
    </row>
    <row r="55" spans="1:10" s="9" customFormat="1" x14ac:dyDescent="0.25">
      <c r="A55" s="2" t="s">
        <v>13</v>
      </c>
      <c r="B55" s="177">
        <v>10.244680575539554</v>
      </c>
      <c r="C55" s="145">
        <v>0.84177106145323877</v>
      </c>
      <c r="D55" s="145">
        <v>2.4153965061724056</v>
      </c>
      <c r="E55" s="181">
        <v>0.15192227855826274</v>
      </c>
      <c r="F55" s="181">
        <v>0.15415514926170903</v>
      </c>
      <c r="G55" s="146">
        <v>2.2827656441697305E-2</v>
      </c>
      <c r="H55" s="147">
        <v>3212.7352100000007</v>
      </c>
      <c r="I55" s="148">
        <v>2564.0344852354356</v>
      </c>
      <c r="J55" s="149">
        <v>0.11351384628974945</v>
      </c>
    </row>
    <row r="56" spans="1:10" s="9" customFormat="1" x14ac:dyDescent="0.25">
      <c r="A56" s="2" t="s">
        <v>26</v>
      </c>
      <c r="B56" s="177">
        <v>0.53372597938143818</v>
      </c>
      <c r="C56" s="145">
        <v>1.238095802042064</v>
      </c>
      <c r="D56" s="145" t="s">
        <v>599</v>
      </c>
      <c r="E56" s="181">
        <v>9.6531414645118302E-2</v>
      </c>
      <c r="F56" s="181">
        <v>9.7353943678187074E-2</v>
      </c>
      <c r="G56" s="146">
        <v>1.0640638763549586E-2</v>
      </c>
      <c r="H56" s="147">
        <v>1787.6928800000005</v>
      </c>
      <c r="I56" s="148">
        <v>3589.7447389558247</v>
      </c>
      <c r="J56" s="149">
        <v>4.4531725071030176E-2</v>
      </c>
    </row>
    <row r="57" spans="1:10" s="9" customFormat="1" x14ac:dyDescent="0.25">
      <c r="A57" s="2" t="s">
        <v>73</v>
      </c>
      <c r="B57" s="177">
        <v>-14.487134999999988</v>
      </c>
      <c r="C57" s="145">
        <v>3.1497332833230596</v>
      </c>
      <c r="D57" s="145">
        <v>2.8920925865642277E-2</v>
      </c>
      <c r="E57" s="181">
        <v>0.20911767651069568</v>
      </c>
      <c r="F57" s="181">
        <v>0.30778507296348256</v>
      </c>
      <c r="G57" s="146">
        <v>4.2966291685757371E-2</v>
      </c>
      <c r="H57" s="147">
        <v>402.15930000000003</v>
      </c>
      <c r="I57" s="148">
        <v>9808.7634146341479</v>
      </c>
      <c r="J57" s="149">
        <v>0.32510227603314479</v>
      </c>
    </row>
    <row r="58" spans="1:10" s="9" customFormat="1" x14ac:dyDescent="0.25">
      <c r="A58" s="1" t="s">
        <v>14</v>
      </c>
      <c r="B58" s="176">
        <v>2.1412896317880907</v>
      </c>
      <c r="C58" s="145">
        <v>1.6989338882232818</v>
      </c>
      <c r="D58" s="145">
        <v>0.60380771946846601</v>
      </c>
      <c r="E58" s="181">
        <v>0.16227050254132783</v>
      </c>
      <c r="F58" s="181">
        <v>0.1635309483665659</v>
      </c>
      <c r="G58" s="146">
        <v>1.9816104852145858E-2</v>
      </c>
      <c r="H58" s="147">
        <v>84630.872710000025</v>
      </c>
      <c r="I58" s="148">
        <v>5168.6132105777469</v>
      </c>
      <c r="J58" s="149">
        <v>0.18101872607633379</v>
      </c>
    </row>
    <row r="59" spans="1:10" s="9" customFormat="1" x14ac:dyDescent="0.25">
      <c r="A59" s="2" t="s">
        <v>28</v>
      </c>
      <c r="B59" s="177">
        <v>7.2134203680981654</v>
      </c>
      <c r="C59" s="145">
        <v>1.2855366641223109</v>
      </c>
      <c r="D59" s="145">
        <v>0.66384353830165321</v>
      </c>
      <c r="E59" s="181">
        <v>0.24792883870443327</v>
      </c>
      <c r="F59" s="181">
        <v>0.25590240284091692</v>
      </c>
      <c r="G59" s="146">
        <v>1.1591623943598077E-2</v>
      </c>
      <c r="H59" s="147">
        <v>24964.554170000003</v>
      </c>
      <c r="I59" s="148">
        <v>3711.0976913928944</v>
      </c>
      <c r="J59" s="149">
        <v>0.20896962079299977</v>
      </c>
    </row>
    <row r="60" spans="1:10" s="9" customFormat="1" x14ac:dyDescent="0.25">
      <c r="A60" s="2" t="s">
        <v>29</v>
      </c>
      <c r="B60" s="177">
        <v>-0.60511185245138766</v>
      </c>
      <c r="C60" s="145">
        <v>1.8489850149284204</v>
      </c>
      <c r="D60" s="145">
        <v>0.25960109678372151</v>
      </c>
      <c r="E60" s="181">
        <v>0.13154151935124025</v>
      </c>
      <c r="F60" s="181">
        <v>0.1319521060345685</v>
      </c>
      <c r="G60" s="146">
        <v>1.3407611844638479E-2</v>
      </c>
      <c r="H60" s="147">
        <v>655536.68831999996</v>
      </c>
      <c r="I60" s="148">
        <v>10302.482960914047</v>
      </c>
      <c r="J60" s="149">
        <v>0.14782489542768415</v>
      </c>
    </row>
    <row r="61" spans="1:10" s="9" customFormat="1" x14ac:dyDescent="0.25">
      <c r="A61" s="2" t="s">
        <v>74</v>
      </c>
      <c r="B61" s="177">
        <v>0.12259587883212798</v>
      </c>
      <c r="C61" s="145">
        <v>3.0435668329603116</v>
      </c>
      <c r="D61" s="145">
        <v>0.32276494475338841</v>
      </c>
      <c r="E61" s="181">
        <v>0.10116153889624825</v>
      </c>
      <c r="F61" s="181">
        <v>0.10996615603963841</v>
      </c>
      <c r="G61" s="146">
        <v>2.2552818649510843E-2</v>
      </c>
      <c r="H61" s="147">
        <v>13082.24309</v>
      </c>
      <c r="I61" s="148">
        <v>7768.5529038004752</v>
      </c>
      <c r="J61" s="149">
        <v>0.28116067237708486</v>
      </c>
    </row>
    <row r="62" spans="1:10" s="9" customFormat="1" x14ac:dyDescent="0.25">
      <c r="A62" s="2" t="s">
        <v>75</v>
      </c>
      <c r="B62" s="177">
        <v>-8.8228842701015111</v>
      </c>
      <c r="C62" s="145">
        <v>2.7403291322098271</v>
      </c>
      <c r="D62" s="145">
        <v>0.36998654566306172</v>
      </c>
      <c r="E62" s="181">
        <v>0.17871059582242541</v>
      </c>
      <c r="F62" s="181">
        <v>0.20077363131192136</v>
      </c>
      <c r="G62" s="146">
        <v>1.9259206487067297E-2</v>
      </c>
      <c r="H62" s="147">
        <v>15584.013009999999</v>
      </c>
      <c r="I62" s="148">
        <v>5827.9779394166035</v>
      </c>
      <c r="J62" s="149">
        <v>0.27216675584567213</v>
      </c>
    </row>
    <row r="63" spans="1:10" s="9" customFormat="1" x14ac:dyDescent="0.25">
      <c r="A63" s="2" t="s">
        <v>76</v>
      </c>
      <c r="B63" s="177">
        <v>4.7654031988408185</v>
      </c>
      <c r="C63" s="145">
        <v>6.4214075590689729E-2</v>
      </c>
      <c r="D63" s="145" t="s">
        <v>599</v>
      </c>
      <c r="E63" s="181">
        <v>0.60083640509931724</v>
      </c>
      <c r="F63" s="181">
        <v>0.59302334138109591</v>
      </c>
      <c r="G63" s="146">
        <v>-9.7409402695269626E-4</v>
      </c>
      <c r="H63" s="147">
        <v>361.30801000000065</v>
      </c>
      <c r="I63" s="148">
        <v>222.7546300863136</v>
      </c>
      <c r="J63" s="149">
        <v>0.12640592950159904</v>
      </c>
    </row>
    <row r="64" spans="1:10" s="9" customFormat="1" x14ac:dyDescent="0.25">
      <c r="A64" s="2" t="s">
        <v>77</v>
      </c>
      <c r="B64" s="177">
        <v>25.06652440232563</v>
      </c>
      <c r="C64" s="145">
        <v>-1.6892416009740769</v>
      </c>
      <c r="D64" s="145">
        <v>2.0546809721441592</v>
      </c>
      <c r="E64" s="181">
        <v>0.93321441658261617</v>
      </c>
      <c r="F64" s="181">
        <v>0.93017549948060074</v>
      </c>
      <c r="G64" s="146">
        <v>-1.5924677682046182E-2</v>
      </c>
      <c r="H64" s="147">
        <v>-22173.083450000002</v>
      </c>
      <c r="I64" s="148">
        <v>-16149.368863801896</v>
      </c>
      <c r="J64" s="149">
        <v>9.6772186904654403E-2</v>
      </c>
    </row>
    <row r="65" spans="1:10" s="9" customFormat="1" x14ac:dyDescent="0.25">
      <c r="A65" s="2" t="s">
        <v>15</v>
      </c>
      <c r="B65" s="177">
        <v>12.493565438240006</v>
      </c>
      <c r="C65" s="145">
        <v>0.88292809003495465</v>
      </c>
      <c r="D65" s="145">
        <v>2.5740947674523738</v>
      </c>
      <c r="E65" s="181">
        <v>0.2086061017066598</v>
      </c>
      <c r="F65" s="181">
        <v>0.20817264203771588</v>
      </c>
      <c r="G65" s="146">
        <v>1.3014140915398592E-2</v>
      </c>
      <c r="H65" s="147">
        <v>24474.928470000006</v>
      </c>
      <c r="I65" s="148">
        <v>3599.7835667009863</v>
      </c>
      <c r="J65" s="149">
        <v>8.9191729979379353E-2</v>
      </c>
    </row>
    <row r="66" spans="1:10" s="9" customFormat="1" x14ac:dyDescent="0.25">
      <c r="A66" s="2" t="s">
        <v>78</v>
      </c>
      <c r="B66" s="177">
        <v>1.408127200000008</v>
      </c>
      <c r="C66" s="145">
        <v>1.6309645547208687</v>
      </c>
      <c r="D66" s="145">
        <v>0.53553798749049852</v>
      </c>
      <c r="E66" s="181">
        <v>0.30206291915568917</v>
      </c>
      <c r="F66" s="181">
        <v>0.29965226216013763</v>
      </c>
      <c r="G66" s="146">
        <v>6.8802728355250309E-3</v>
      </c>
      <c r="H66" s="147">
        <v>9782.9494499999983</v>
      </c>
      <c r="I66" s="148">
        <v>5480.6439495798304</v>
      </c>
      <c r="J66" s="149">
        <v>0.18553502125613563</v>
      </c>
    </row>
    <row r="67" spans="1:10" s="9" customFormat="1" x14ac:dyDescent="0.25">
      <c r="A67" s="2" t="s">
        <v>16</v>
      </c>
      <c r="B67" s="177">
        <v>8.3427198613518083</v>
      </c>
      <c r="C67" s="145">
        <v>1.2218552118202481</v>
      </c>
      <c r="D67" s="145">
        <v>1.8578672649057923</v>
      </c>
      <c r="E67" s="181">
        <v>0.13556324982282794</v>
      </c>
      <c r="F67" s="181">
        <v>0.13622585292965061</v>
      </c>
      <c r="G67" s="146">
        <v>1.5089466148871931E-2</v>
      </c>
      <c r="H67" s="147">
        <v>88844.93697000001</v>
      </c>
      <c r="I67" s="148">
        <v>5889.6212774279093</v>
      </c>
      <c r="J67" s="149">
        <v>9.4488732157660113E-2</v>
      </c>
    </row>
    <row r="68" spans="1:10" x14ac:dyDescent="0.25">
      <c r="A68" s="2" t="s">
        <v>79</v>
      </c>
      <c r="B68" s="177">
        <v>-34.616143153526977</v>
      </c>
      <c r="C68" s="145">
        <v>4.4345162060418462</v>
      </c>
      <c r="D68" s="145">
        <v>-0.1203675760445711</v>
      </c>
      <c r="E68" s="181">
        <v>3.7565957021080197E-2</v>
      </c>
      <c r="F68" s="181">
        <v>0.1147258639366245</v>
      </c>
      <c r="G68" s="146">
        <v>2.1964464624443479E-2</v>
      </c>
      <c r="H68" s="147">
        <v>2622.4844599999997</v>
      </c>
      <c r="I68" s="148">
        <v>13047.186368159202</v>
      </c>
      <c r="J68" s="149">
        <v>0.16512328657716918</v>
      </c>
    </row>
    <row r="69" spans="1:10" x14ac:dyDescent="0.25">
      <c r="A69" s="2" t="s">
        <v>80</v>
      </c>
      <c r="B69" s="177">
        <v>0.16342216216216715</v>
      </c>
      <c r="C69" s="145">
        <v>1.9772258870937207</v>
      </c>
      <c r="D69" s="145">
        <v>0.73726217470950417</v>
      </c>
      <c r="E69" s="181">
        <v>0.28995848742251273</v>
      </c>
      <c r="F69" s="181">
        <v>0.27356036236765269</v>
      </c>
      <c r="G69" s="146">
        <v>1.8368110707679533E-2</v>
      </c>
      <c r="H69" s="147">
        <v>14265.892739999999</v>
      </c>
      <c r="I69" s="148">
        <v>10270.621123110152</v>
      </c>
      <c r="J69" s="149">
        <v>0.20318837893141647</v>
      </c>
    </row>
    <row r="70" spans="1:10" x14ac:dyDescent="0.25">
      <c r="A70" s="2" t="s">
        <v>81</v>
      </c>
      <c r="B70" s="177">
        <v>16.528686746987962</v>
      </c>
      <c r="C70" s="145">
        <v>3.8267885929539336</v>
      </c>
      <c r="D70" s="145">
        <v>1.1584536691184888</v>
      </c>
      <c r="E70" s="181">
        <v>3.201063469520278E-2</v>
      </c>
      <c r="F70" s="181">
        <v>1.0817962635837571E-2</v>
      </c>
      <c r="G70" s="146">
        <v>8.9786540074256269E-3</v>
      </c>
      <c r="H70" s="147">
        <v>2202.6083600000002</v>
      </c>
      <c r="I70" s="148">
        <v>7517.4346757679195</v>
      </c>
      <c r="J70" s="149">
        <v>0.25668137304337568</v>
      </c>
    </row>
    <row r="71" spans="1:10" s="9" customFormat="1" x14ac:dyDescent="0.25">
      <c r="A71" s="2" t="s">
        <v>17</v>
      </c>
      <c r="B71" s="177">
        <v>-1.7200347719869717</v>
      </c>
      <c r="C71" s="145">
        <v>1.3973652200046582</v>
      </c>
      <c r="D71" s="145">
        <v>0.23030612658832555</v>
      </c>
      <c r="E71" s="181">
        <v>0.1021115788169135</v>
      </c>
      <c r="F71" s="181">
        <v>0.10309014329907455</v>
      </c>
      <c r="G71" s="146">
        <v>1.3967491047659503E-2</v>
      </c>
      <c r="H71" s="147">
        <v>33602.523889999997</v>
      </c>
      <c r="I71" s="148">
        <v>4589.8816951236158</v>
      </c>
      <c r="J71" s="149">
        <v>0.10275980693670567</v>
      </c>
    </row>
    <row r="72" spans="1:10" s="9" customFormat="1" x14ac:dyDescent="0.25">
      <c r="A72" s="2" t="s">
        <v>82</v>
      </c>
      <c r="B72" s="177">
        <v>2.1795853189630177</v>
      </c>
      <c r="C72" s="145">
        <v>1.0162962379732918</v>
      </c>
      <c r="D72" s="145" t="s">
        <v>599</v>
      </c>
      <c r="E72" s="181">
        <v>0.28732661469169096</v>
      </c>
      <c r="F72" s="181">
        <v>0.35322395763112985</v>
      </c>
      <c r="G72" s="146">
        <v>4.4048713005776343E-3</v>
      </c>
      <c r="H72" s="147">
        <v>12010.812179999997</v>
      </c>
      <c r="I72" s="148">
        <v>2539.8207189680688</v>
      </c>
      <c r="J72" s="149">
        <v>7.7066788416837173E-2</v>
      </c>
    </row>
    <row r="73" spans="1:10" s="9" customFormat="1" x14ac:dyDescent="0.25">
      <c r="A73" s="2" t="s">
        <v>18</v>
      </c>
      <c r="B73" s="177">
        <v>11.863474255543814</v>
      </c>
      <c r="C73" s="145">
        <v>0.18002427843999444</v>
      </c>
      <c r="D73" s="145">
        <v>1.7396474941771671</v>
      </c>
      <c r="E73" s="181">
        <v>0.43465918545825422</v>
      </c>
      <c r="F73" s="181">
        <v>0.44375123229047042</v>
      </c>
      <c r="G73" s="146">
        <v>-1.7496616565661129E-3</v>
      </c>
      <c r="H73" s="147">
        <v>2589.1364299999987</v>
      </c>
      <c r="I73" s="148">
        <v>586.83962601994529</v>
      </c>
      <c r="J73" s="149">
        <v>7.4044611208007621E-2</v>
      </c>
    </row>
    <row r="74" spans="1:10" x14ac:dyDescent="0.25">
      <c r="A74" s="2" t="s">
        <v>83</v>
      </c>
      <c r="B74" s="177">
        <v>26.26431908133971</v>
      </c>
      <c r="C74" s="145">
        <v>0.76799498330105109</v>
      </c>
      <c r="D74" s="145">
        <v>1.7091731215220176</v>
      </c>
      <c r="E74" s="181">
        <v>0.44667588491839316</v>
      </c>
      <c r="F74" s="181">
        <v>0.46423322746904022</v>
      </c>
      <c r="G74" s="146">
        <v>1.919188740707219E-2</v>
      </c>
      <c r="H74" s="147">
        <v>6359.2514700000011</v>
      </c>
      <c r="I74" s="148">
        <v>8919.0062692847132</v>
      </c>
      <c r="J74" s="149">
        <v>0.19946893906770233</v>
      </c>
    </row>
    <row r="75" spans="1:10" x14ac:dyDescent="0.25">
      <c r="A75" s="2" t="s">
        <v>19</v>
      </c>
      <c r="B75" s="177">
        <v>7.415002951315798</v>
      </c>
      <c r="C75" s="145">
        <v>-0.15331214739464036</v>
      </c>
      <c r="D75" s="145">
        <v>1.4722386801451974</v>
      </c>
      <c r="E75" s="181">
        <v>0.46312510564909964</v>
      </c>
      <c r="F75" s="181">
        <v>0.46625745114001971</v>
      </c>
      <c r="G75" s="146">
        <v>8.5205447442894232E-3</v>
      </c>
      <c r="H75" s="147">
        <v>-1570.3046600000016</v>
      </c>
      <c r="I75" s="148">
        <v>-610.53835925349983</v>
      </c>
      <c r="J75" s="149">
        <v>8.6170670059930898E-2</v>
      </c>
    </row>
    <row r="76" spans="1:10" x14ac:dyDescent="0.25">
      <c r="A76" s="2" t="s">
        <v>84</v>
      </c>
      <c r="B76" s="177">
        <v>1.616029858421584</v>
      </c>
      <c r="C76" s="145">
        <v>0.80540285536192313</v>
      </c>
      <c r="D76" s="145">
        <v>0.60536743797869097</v>
      </c>
      <c r="E76" s="181">
        <v>0.26784617952122491</v>
      </c>
      <c r="F76" s="181">
        <v>0.26995409463840453</v>
      </c>
      <c r="G76" s="146">
        <v>1.5096606337951384E-2</v>
      </c>
      <c r="H76" s="147">
        <v>3377.6491799999994</v>
      </c>
      <c r="I76" s="148">
        <v>4195.8374906832287</v>
      </c>
      <c r="J76" s="149">
        <v>0.16315730507219284</v>
      </c>
    </row>
    <row r="77" spans="1:10" s="9" customFormat="1" x14ac:dyDescent="0.25">
      <c r="A77" s="2" t="s">
        <v>85</v>
      </c>
      <c r="B77" s="177">
        <v>-2.1341486483947811</v>
      </c>
      <c r="C77" s="145">
        <v>3.4020030463880127</v>
      </c>
      <c r="D77" s="145">
        <v>7.7891073799367841E-2</v>
      </c>
      <c r="E77" s="181">
        <v>6.7886843112852091E-2</v>
      </c>
      <c r="F77" s="181">
        <v>4.7397079787470077E-2</v>
      </c>
      <c r="G77" s="146">
        <v>2.6194569634037487E-2</v>
      </c>
      <c r="H77" s="147">
        <v>4183.5957600000002</v>
      </c>
      <c r="I77" s="148">
        <v>12754.865121951219</v>
      </c>
      <c r="J77" s="149">
        <v>0.5582691317432843</v>
      </c>
    </row>
    <row r="78" spans="1:10" s="9" customFormat="1" x14ac:dyDescent="0.25">
      <c r="A78" s="2" t="s">
        <v>86</v>
      </c>
      <c r="B78" s="177">
        <v>1.8329141025640725</v>
      </c>
      <c r="C78" s="145">
        <v>1.3794845439150119</v>
      </c>
      <c r="D78" s="145">
        <v>0.50318928787469575</v>
      </c>
      <c r="E78" s="181">
        <v>0.27538999424988375</v>
      </c>
      <c r="F78" s="181">
        <v>0.34301677742676367</v>
      </c>
      <c r="G78" s="146">
        <v>1.7215545219004553E-3</v>
      </c>
      <c r="H78" s="147">
        <v>2624.4040400000008</v>
      </c>
      <c r="I78" s="148">
        <v>3087.5341647058835</v>
      </c>
      <c r="J78" s="149">
        <v>0.10508636018749573</v>
      </c>
    </row>
    <row r="79" spans="1:10" x14ac:dyDescent="0.25">
      <c r="A79" s="2" t="s">
        <v>20</v>
      </c>
      <c r="B79" s="177">
        <v>10.926015813725499</v>
      </c>
      <c r="C79" s="145">
        <v>-5.935988283628791E-2</v>
      </c>
      <c r="D79" s="145">
        <v>0.68769964619868362</v>
      </c>
      <c r="E79" s="181">
        <v>0.85478817912028282</v>
      </c>
      <c r="F79" s="181">
        <v>0.85493997713054515</v>
      </c>
      <c r="G79" s="146">
        <v>-5.3253494712718332E-3</v>
      </c>
      <c r="H79" s="147">
        <v>-636.3785799999996</v>
      </c>
      <c r="I79" s="148">
        <v>-271.95665811965796</v>
      </c>
      <c r="J79" s="149">
        <v>0.16372283112144473</v>
      </c>
    </row>
    <row r="80" spans="1:10" s="9" customFormat="1" x14ac:dyDescent="0.25">
      <c r="A80" s="2" t="s">
        <v>87</v>
      </c>
      <c r="B80" s="177">
        <v>37.975004038461591</v>
      </c>
      <c r="C80" s="145">
        <v>3.2525422475954762</v>
      </c>
      <c r="D80" s="145">
        <v>1.3507132800784725</v>
      </c>
      <c r="E80" s="181">
        <v>0.17258252999256965</v>
      </c>
      <c r="F80" s="181">
        <v>0.16967877537603335</v>
      </c>
      <c r="G80" s="146">
        <v>1.3559331513753225E-2</v>
      </c>
      <c r="H80" s="147">
        <v>4969.9845700000005</v>
      </c>
      <c r="I80" s="148">
        <v>7496.2059879336357</v>
      </c>
      <c r="J80" s="149">
        <v>0.10538719898551033</v>
      </c>
    </row>
    <row r="81" spans="1:10" s="9" customFormat="1" x14ac:dyDescent="0.25">
      <c r="A81" s="2" t="s">
        <v>30</v>
      </c>
      <c r="B81" s="177">
        <v>0.94260309597523784</v>
      </c>
      <c r="C81" s="145">
        <v>0.77186571202442189</v>
      </c>
      <c r="D81" s="145">
        <v>2.2357974649895183</v>
      </c>
      <c r="E81" s="181">
        <v>0.3055351630826445</v>
      </c>
      <c r="F81" s="181">
        <v>0.32352224775460914</v>
      </c>
      <c r="G81" s="146">
        <v>6.6622891599873923E-3</v>
      </c>
      <c r="H81" s="147">
        <v>3926.3463099999999</v>
      </c>
      <c r="I81" s="148">
        <v>2572.9661271297509</v>
      </c>
      <c r="J81" s="149">
        <v>3.5738006322666382E-2</v>
      </c>
    </row>
    <row r="82" spans="1:10" s="9" customFormat="1" x14ac:dyDescent="0.25">
      <c r="A82" s="2" t="s">
        <v>88</v>
      </c>
      <c r="B82" s="177">
        <v>5.2109336145454535</v>
      </c>
      <c r="C82" s="145">
        <v>1.4419084882995969</v>
      </c>
      <c r="D82" s="145">
        <v>1.6421342179142171</v>
      </c>
      <c r="E82" s="181">
        <v>0.29805654091133671</v>
      </c>
      <c r="F82" s="181">
        <v>0.32854644621864648</v>
      </c>
      <c r="G82" s="146">
        <v>1.0308202237597323E-2</v>
      </c>
      <c r="H82" s="147">
        <v>5121.6876300000004</v>
      </c>
      <c r="I82" s="148">
        <v>7455.1493886462895</v>
      </c>
      <c r="J82" s="149">
        <v>0.11088693184725559</v>
      </c>
    </row>
    <row r="83" spans="1:10" x14ac:dyDescent="0.25">
      <c r="A83" s="2" t="s">
        <v>89</v>
      </c>
      <c r="B83" s="177">
        <v>11.327276988335097</v>
      </c>
      <c r="C83" s="145">
        <v>-9.6998224972313613E-2</v>
      </c>
      <c r="D83" s="145">
        <v>0.96581313126535251</v>
      </c>
      <c r="E83" s="181">
        <v>0.74866252339946016</v>
      </c>
      <c r="F83" s="181">
        <v>0.79768470860872331</v>
      </c>
      <c r="G83" s="146">
        <v>-8.0481376474669775E-4</v>
      </c>
      <c r="H83" s="147">
        <v>-4027.4089499999991</v>
      </c>
      <c r="I83" s="148">
        <v>-829.88026993612186</v>
      </c>
      <c r="J83" s="149">
        <v>0.15722703209121588</v>
      </c>
    </row>
    <row r="84" spans="1:10" x14ac:dyDescent="0.25">
      <c r="A84" s="2" t="s">
        <v>90</v>
      </c>
      <c r="B84" s="177">
        <v>-10.142558940397345</v>
      </c>
      <c r="C84" s="145">
        <v>1.1413108573485526</v>
      </c>
      <c r="D84" s="145">
        <v>0.3774022681092723</v>
      </c>
      <c r="E84" s="181">
        <v>0.53081678480604033</v>
      </c>
      <c r="F84" s="181">
        <v>0.53772385169619596</v>
      </c>
      <c r="G84" s="146">
        <v>1.2900076911987086E-3</v>
      </c>
      <c r="H84" s="147">
        <v>971.53467000000001</v>
      </c>
      <c r="I84" s="148">
        <v>3064.7781388012618</v>
      </c>
      <c r="J84" s="149">
        <v>0.21376229540514796</v>
      </c>
    </row>
    <row r="85" spans="1:10" x14ac:dyDescent="0.25">
      <c r="A85" s="2" t="s">
        <v>91</v>
      </c>
      <c r="B85" s="177">
        <v>-2.6004316371680907</v>
      </c>
      <c r="C85" s="145">
        <v>0.13102693571161528</v>
      </c>
      <c r="D85" s="145">
        <v>0.14345877911646612</v>
      </c>
      <c r="E85" s="181">
        <v>0.3609475137552024</v>
      </c>
      <c r="F85" s="181">
        <v>0.45437412393798082</v>
      </c>
      <c r="G85" s="146">
        <v>5.4801888900618302E-3</v>
      </c>
      <c r="H85" s="147">
        <v>191.32808000000023</v>
      </c>
      <c r="I85" s="148">
        <v>207.96530434782633</v>
      </c>
      <c r="J85" s="149">
        <v>0.14853637264846031</v>
      </c>
    </row>
    <row r="86" spans="1:10" s="9" customFormat="1" x14ac:dyDescent="0.25">
      <c r="A86" s="2" t="s">
        <v>92</v>
      </c>
      <c r="B86" s="177">
        <v>2.0293639780219777</v>
      </c>
      <c r="C86" s="145">
        <v>1.2164549632375332</v>
      </c>
      <c r="D86" s="145">
        <v>0.40128479845208337</v>
      </c>
      <c r="E86" s="181">
        <v>0.15273669721641389</v>
      </c>
      <c r="F86" s="181">
        <v>0.14831155497434265</v>
      </c>
      <c r="G86" s="146">
        <v>1.7435323408436086E-2</v>
      </c>
      <c r="H86" s="147">
        <v>6641.06423</v>
      </c>
      <c r="I86" s="148">
        <v>3391.7590551583244</v>
      </c>
      <c r="J86" s="149">
        <v>0.11399621886789056</v>
      </c>
    </row>
    <row r="87" spans="1:10" s="9" customFormat="1" x14ac:dyDescent="0.25">
      <c r="A87" s="2" t="s">
        <v>93</v>
      </c>
      <c r="B87" s="177">
        <v>0.75554602105264168</v>
      </c>
      <c r="C87" s="145">
        <v>-0.31180612995871954</v>
      </c>
      <c r="D87" s="145">
        <v>0.61562557380804017</v>
      </c>
      <c r="E87" s="181">
        <v>0.57802563811165542</v>
      </c>
      <c r="F87" s="181">
        <v>0.61545529287859246</v>
      </c>
      <c r="G87" s="146">
        <v>4.0005715283018058E-4</v>
      </c>
      <c r="H87" s="147">
        <v>-2890.8035999999993</v>
      </c>
      <c r="I87" s="148">
        <v>-1683.6363424577746</v>
      </c>
      <c r="J87" s="149">
        <v>6.4819413163666503E-2</v>
      </c>
    </row>
    <row r="88" spans="1:10" x14ac:dyDescent="0.25">
      <c r="A88" s="2" t="s">
        <v>94</v>
      </c>
      <c r="B88" s="177">
        <v>-22.566911480865286</v>
      </c>
      <c r="C88" s="145">
        <v>4.4415167590415807</v>
      </c>
      <c r="D88" s="145">
        <v>12.261764906586277</v>
      </c>
      <c r="E88" s="181">
        <v>9.1462022858187136E-2</v>
      </c>
      <c r="F88" s="181">
        <v>9.0242140046669403E-2</v>
      </c>
      <c r="G88" s="146">
        <v>3.7595193215366543E-2</v>
      </c>
      <c r="H88" s="147">
        <v>3813.9943100000005</v>
      </c>
      <c r="I88" s="148">
        <v>10143.601888297873</v>
      </c>
      <c r="J88" s="149">
        <v>9.6356843949586504E-2</v>
      </c>
    </row>
    <row r="89" spans="1:10" x14ac:dyDescent="0.25">
      <c r="A89" s="2" t="s">
        <v>95</v>
      </c>
      <c r="B89" s="177">
        <v>-6.8560178342000277</v>
      </c>
      <c r="C89" s="145">
        <v>2.6594846406389925</v>
      </c>
      <c r="D89" s="145">
        <v>0.40115535218936732</v>
      </c>
      <c r="E89" s="181">
        <v>0.17960821311544672</v>
      </c>
      <c r="F89" s="181">
        <v>0.18430191785080183</v>
      </c>
      <c r="G89" s="146">
        <v>3.767757656048738E-3</v>
      </c>
      <c r="H89" s="147">
        <v>11290.68843</v>
      </c>
      <c r="I89" s="148">
        <v>8332.6113874538751</v>
      </c>
      <c r="J89" s="149">
        <v>0.1739920233800008</v>
      </c>
    </row>
    <row r="90" spans="1:10" x14ac:dyDescent="0.25">
      <c r="A90" s="2" t="s">
        <v>96</v>
      </c>
      <c r="B90" s="177">
        <v>13.410771567567558</v>
      </c>
      <c r="C90" s="145">
        <v>2.4039372041670894</v>
      </c>
      <c r="D90" s="145">
        <v>0.707789494079481</v>
      </c>
      <c r="E90" s="181">
        <v>0.19477176267452653</v>
      </c>
      <c r="F90" s="181">
        <v>0.21875918601183808</v>
      </c>
      <c r="G90" s="146">
        <v>3.2596619333258851E-2</v>
      </c>
      <c r="H90" s="147">
        <v>7155.2395900000001</v>
      </c>
      <c r="I90" s="148">
        <v>7727.0405939524835</v>
      </c>
      <c r="J90" s="149">
        <v>0.19307407226125375</v>
      </c>
    </row>
    <row r="91" spans="1:10" s="9" customFormat="1" x14ac:dyDescent="0.25">
      <c r="A91" s="2" t="s">
        <v>97</v>
      </c>
      <c r="B91" s="177">
        <v>-0.83998163265304737</v>
      </c>
      <c r="C91" s="145">
        <v>1.8024837669138323</v>
      </c>
      <c r="D91" s="145">
        <v>0.49214496298858301</v>
      </c>
      <c r="E91" s="181">
        <v>0.20938529752287974</v>
      </c>
      <c r="F91" s="181">
        <v>0.2078126162700174</v>
      </c>
      <c r="G91" s="146">
        <v>3.9614759944729934E-3</v>
      </c>
      <c r="H91" s="147">
        <v>14224.247960000001</v>
      </c>
      <c r="I91" s="148">
        <v>5278.0140853432285</v>
      </c>
      <c r="J91" s="149">
        <v>0.17190929766445767</v>
      </c>
    </row>
    <row r="92" spans="1:10" x14ac:dyDescent="0.25">
      <c r="A92" s="2" t="s">
        <v>98</v>
      </c>
      <c r="B92" s="177">
        <v>-7.129692182937303</v>
      </c>
      <c r="C92" s="145">
        <v>2.8689540908345856</v>
      </c>
      <c r="D92" s="145">
        <v>0.59768331838898758</v>
      </c>
      <c r="E92" s="181">
        <v>0.15139737243944665</v>
      </c>
      <c r="F92" s="181">
        <v>0.15181261269788962</v>
      </c>
      <c r="G92" s="146">
        <v>1.8242001754850055E-2</v>
      </c>
      <c r="H92" s="147">
        <v>24130.532869999999</v>
      </c>
      <c r="I92" s="148">
        <v>5652.5024291403133</v>
      </c>
      <c r="J92" s="149">
        <v>0.13726759126798821</v>
      </c>
    </row>
    <row r="93" spans="1:10" x14ac:dyDescent="0.25">
      <c r="A93" s="2" t="s">
        <v>99</v>
      </c>
      <c r="B93" s="177">
        <v>-1.2677913189770911</v>
      </c>
      <c r="C93" s="145">
        <v>-0.27443194914493274</v>
      </c>
      <c r="D93" s="145">
        <v>0.1828168868905817</v>
      </c>
      <c r="E93" s="181">
        <v>0.47737024068700645</v>
      </c>
      <c r="F93" s="181">
        <v>0.47372019055873249</v>
      </c>
      <c r="G93" s="146">
        <v>-5.0637616759489201E-3</v>
      </c>
      <c r="H93" s="147">
        <v>-1297.0728400000007</v>
      </c>
      <c r="I93" s="148">
        <v>-2484.8138697318022</v>
      </c>
      <c r="J93" s="149">
        <v>0.17028525293382243</v>
      </c>
    </row>
    <row r="94" spans="1:10" x14ac:dyDescent="0.25">
      <c r="A94" s="2" t="s">
        <v>590</v>
      </c>
      <c r="B94" s="177">
        <v>-9.1240664021163855</v>
      </c>
      <c r="C94" s="145">
        <v>1.430415556867829</v>
      </c>
      <c r="D94" s="145">
        <v>6.7540474704724504E-2</v>
      </c>
      <c r="E94" s="181">
        <v>0.19458711020424921</v>
      </c>
      <c r="F94" s="181">
        <v>0.18775222602563876</v>
      </c>
      <c r="G94" s="146">
        <v>4.3173329371073051E-3</v>
      </c>
      <c r="H94" s="147">
        <v>11845.778180000001</v>
      </c>
      <c r="I94" s="148">
        <v>4434.9600074878326</v>
      </c>
      <c r="J94" s="149">
        <v>0.1747919040397799</v>
      </c>
    </row>
    <row r="95" spans="1:10" s="9" customFormat="1" x14ac:dyDescent="0.25">
      <c r="A95" s="4" t="s">
        <v>22</v>
      </c>
      <c r="B95" s="179">
        <v>14.323232342912792</v>
      </c>
      <c r="C95" s="145">
        <v>0.4062917336582349</v>
      </c>
      <c r="D95" s="145">
        <v>1.3696426714719614</v>
      </c>
      <c r="E95" s="181">
        <v>0.47469472410207014</v>
      </c>
      <c r="F95" s="181">
        <v>0.47239738217716098</v>
      </c>
      <c r="G95" s="146">
        <v>3.9442992995415939E-3</v>
      </c>
      <c r="H95" s="147">
        <v>4292.6409599999997</v>
      </c>
      <c r="I95" s="148">
        <v>1886.04611599297</v>
      </c>
      <c r="J95" s="149">
        <v>0.19149414713996685</v>
      </c>
    </row>
    <row r="96" spans="1:10" x14ac:dyDescent="0.25">
      <c r="A96" s="2" t="s">
        <v>100</v>
      </c>
      <c r="B96" s="177">
        <v>4.7472933426395949</v>
      </c>
      <c r="C96" s="145">
        <v>3.4795136363568151</v>
      </c>
      <c r="D96" s="145">
        <v>0.29908540430713826</v>
      </c>
      <c r="E96" s="181">
        <v>0.19187385592016631</v>
      </c>
      <c r="F96" s="181">
        <v>0.18117637236062956</v>
      </c>
      <c r="G96" s="146">
        <v>2.4892041075971937E-2</v>
      </c>
      <c r="H96" s="147">
        <v>17135.24149</v>
      </c>
      <c r="I96" s="148">
        <v>8277.8944396135284</v>
      </c>
      <c r="J96" s="149">
        <v>0.33945004492598629</v>
      </c>
    </row>
    <row r="97" spans="1:10" x14ac:dyDescent="0.25">
      <c r="A97" s="2" t="s">
        <v>101</v>
      </c>
      <c r="B97" s="177">
        <v>8.8404714387096739</v>
      </c>
      <c r="C97" s="145">
        <v>0.51507143423563717</v>
      </c>
      <c r="D97" s="145">
        <v>1.7918062458306236</v>
      </c>
      <c r="E97" s="181">
        <v>0.43636714281217676</v>
      </c>
      <c r="F97" s="181">
        <v>0.41065450363595157</v>
      </c>
      <c r="G97" s="146">
        <v>6.1446067113684211E-3</v>
      </c>
      <c r="H97" s="147">
        <v>5174.8822100000016</v>
      </c>
      <c r="I97" s="148">
        <v>2370.5369720568033</v>
      </c>
      <c r="J97" s="149">
        <v>8.8455209516574415E-2</v>
      </c>
    </row>
    <row r="98" spans="1:10" x14ac:dyDescent="0.25">
      <c r="A98" s="2" t="s">
        <v>23</v>
      </c>
      <c r="B98" s="177">
        <v>18.228675799212603</v>
      </c>
      <c r="C98" s="145">
        <v>5.4779626993375803E-2</v>
      </c>
      <c r="D98" s="145">
        <v>0.88795404526112121</v>
      </c>
      <c r="E98" s="181">
        <v>0.63324789566841566</v>
      </c>
      <c r="F98" s="181">
        <v>0.6328531645630826</v>
      </c>
      <c r="G98" s="146">
        <v>-8.1340328023200414E-3</v>
      </c>
      <c r="H98" s="147">
        <v>1485.1159299999999</v>
      </c>
      <c r="I98" s="148">
        <v>328.42015258735074</v>
      </c>
      <c r="J98" s="149">
        <v>0.18851507017681887</v>
      </c>
    </row>
    <row r="99" spans="1:10" x14ac:dyDescent="0.25">
      <c r="A99" s="2" t="s">
        <v>102</v>
      </c>
      <c r="B99" s="177">
        <v>3.1839722345276509</v>
      </c>
      <c r="C99" s="145">
        <v>1.861741977101441</v>
      </c>
      <c r="D99" s="145">
        <v>0.31634195430193063</v>
      </c>
      <c r="E99" s="181">
        <v>0.18515483555641538</v>
      </c>
      <c r="F99" s="181">
        <v>0.31794316894455499</v>
      </c>
      <c r="G99" s="146">
        <v>9.8479591418132173E-3</v>
      </c>
      <c r="H99" s="147">
        <v>16474.915169999997</v>
      </c>
      <c r="I99" s="148">
        <v>4855.5600265251978</v>
      </c>
      <c r="J99" s="149">
        <v>0.30422293679842122</v>
      </c>
    </row>
    <row r="100" spans="1:10" x14ac:dyDescent="0.25">
      <c r="A100" s="2" t="s">
        <v>24</v>
      </c>
      <c r="B100" s="177">
        <v>-3.186397058823526</v>
      </c>
      <c r="C100" s="145">
        <v>1.0623315697865054</v>
      </c>
      <c r="D100" s="145">
        <v>2.1907889591865098E-2</v>
      </c>
      <c r="E100" s="181">
        <v>0.32193296978722941</v>
      </c>
      <c r="F100" s="181">
        <v>0.32252535807211852</v>
      </c>
      <c r="G100" s="146">
        <v>1.0026694774570849E-2</v>
      </c>
      <c r="H100" s="147">
        <v>7931.8249399999986</v>
      </c>
      <c r="I100" s="148">
        <v>2954.1247448789568</v>
      </c>
      <c r="J100" s="149">
        <v>0.3721950491381581</v>
      </c>
    </row>
    <row r="101" spans="1:10" x14ac:dyDescent="0.25">
      <c r="A101" s="3" t="s">
        <v>103</v>
      </c>
      <c r="B101" s="178">
        <v>1.1523061229508125</v>
      </c>
      <c r="C101" s="145">
        <v>1.6783610172867547</v>
      </c>
      <c r="D101" s="145" t="s">
        <v>599</v>
      </c>
      <c r="E101" s="181">
        <v>0.25915820104266696</v>
      </c>
      <c r="F101" s="181">
        <v>0.28356642255581399</v>
      </c>
      <c r="G101" s="146">
        <v>-6.167175208492676E-4</v>
      </c>
      <c r="H101" s="147">
        <v>13945.001390000001</v>
      </c>
      <c r="I101" s="148">
        <v>4517.3311920958859</v>
      </c>
      <c r="J101" s="149">
        <v>7.2696272259103703E-2</v>
      </c>
    </row>
    <row r="102" spans="1:10" x14ac:dyDescent="0.25">
      <c r="A102" s="143" t="s">
        <v>104</v>
      </c>
      <c r="B102" s="179">
        <v>-5.200503584770054</v>
      </c>
      <c r="C102" s="145">
        <v>1.4614142021731273</v>
      </c>
      <c r="D102" s="145">
        <v>0.2494042901243913</v>
      </c>
      <c r="E102" s="181">
        <v>0.26338462090082765</v>
      </c>
      <c r="F102" s="181">
        <v>0.30024118864620802</v>
      </c>
      <c r="G102" s="146">
        <v>1.0166814480445579E-2</v>
      </c>
      <c r="H102" s="147">
        <v>13569.96666</v>
      </c>
      <c r="I102" s="148">
        <v>4341.0002111324375</v>
      </c>
      <c r="J102" s="149">
        <v>0.14685007894541635</v>
      </c>
    </row>
    <row r="103" spans="1:10" s="9" customFormat="1" x14ac:dyDescent="0.25">
      <c r="A103" s="2" t="s">
        <v>25</v>
      </c>
      <c r="B103" s="177">
        <v>46.634694231325305</v>
      </c>
      <c r="C103" s="145">
        <v>-0.26848603824092226</v>
      </c>
      <c r="D103" s="145">
        <v>6.6535522595776753</v>
      </c>
      <c r="E103" s="181">
        <v>0.56967561009489187</v>
      </c>
      <c r="F103" s="181">
        <v>0.56930554957071045</v>
      </c>
      <c r="G103" s="146">
        <v>5.2877390423999079E-4</v>
      </c>
      <c r="H103" s="147">
        <v>-4330.6520300000011</v>
      </c>
      <c r="I103" s="148">
        <v>-1240.519057576626</v>
      </c>
      <c r="J103" s="149">
        <v>8.1368180478151836E-2</v>
      </c>
    </row>
    <row r="104" spans="1:10" s="9" customFormat="1" x14ac:dyDescent="0.25">
      <c r="A104" s="2" t="s">
        <v>105</v>
      </c>
      <c r="B104" s="177">
        <v>60.000593472128941</v>
      </c>
      <c r="C104" s="145">
        <v>0.35112040343367484</v>
      </c>
      <c r="D104" s="145">
        <v>1.9279888662538753</v>
      </c>
      <c r="E104" s="181">
        <v>0.40109679117619257</v>
      </c>
      <c r="F104" s="181">
        <v>0.42219122592021707</v>
      </c>
      <c r="G104" s="146">
        <v>6.4969928908067346E-4</v>
      </c>
      <c r="H104" s="147">
        <v>6261.0351800000026</v>
      </c>
      <c r="I104" s="148">
        <v>2083.5391613976713</v>
      </c>
      <c r="J104" s="149">
        <v>0.24333254537803201</v>
      </c>
    </row>
    <row r="105" spans="1:10" s="9" customFormat="1" x14ac:dyDescent="0.25">
      <c r="A105" s="2" t="s">
        <v>106</v>
      </c>
      <c r="B105" s="177">
        <v>0.41483895287955497</v>
      </c>
      <c r="C105" s="145">
        <v>2.4289114294826808</v>
      </c>
      <c r="D105" s="145">
        <v>0.17122794163451657</v>
      </c>
      <c r="E105" s="181">
        <v>0.16898323807535284</v>
      </c>
      <c r="F105" s="181">
        <v>0.1511271283924121</v>
      </c>
      <c r="G105" s="146">
        <v>2.3318677452364232E-2</v>
      </c>
      <c r="H105" s="147">
        <v>5664.5736699999998</v>
      </c>
      <c r="I105" s="148">
        <v>9240.7400815660676</v>
      </c>
      <c r="J105" s="149">
        <v>0.38811296841235016</v>
      </c>
    </row>
    <row r="106" spans="1:10" s="9" customFormat="1" x14ac:dyDescent="0.25">
      <c r="A106" s="2" t="s">
        <v>107</v>
      </c>
      <c r="B106" s="177">
        <v>-21.807427814569504</v>
      </c>
      <c r="C106" s="145">
        <v>3.7141216085204474</v>
      </c>
      <c r="D106" s="145">
        <v>-3.463280724971892E-3</v>
      </c>
      <c r="E106" s="181">
        <v>0.10988158334295736</v>
      </c>
      <c r="F106" s="181">
        <v>0.14135728274988421</v>
      </c>
      <c r="G106" s="146">
        <v>1.3546692931874304E-2</v>
      </c>
      <c r="H106" s="147">
        <v>7236.0264299999999</v>
      </c>
      <c r="I106" s="148">
        <v>9324.7763273195869</v>
      </c>
      <c r="J106" s="149">
        <v>0.35538928358019595</v>
      </c>
    </row>
    <row r="107" spans="1:10" s="9" customFormat="1" x14ac:dyDescent="0.25">
      <c r="A107" s="2" t="s">
        <v>108</v>
      </c>
      <c r="B107" s="177">
        <v>-9.0243826646090479</v>
      </c>
      <c r="C107" s="145">
        <v>1.2709450095098505</v>
      </c>
      <c r="D107" s="145">
        <v>1.1164099887516526E-2</v>
      </c>
      <c r="E107" s="181">
        <v>0.32700134761524879</v>
      </c>
      <c r="F107" s="181">
        <v>0.34985841899207559</v>
      </c>
      <c r="G107" s="146">
        <v>6.5934617258706007E-3</v>
      </c>
      <c r="H107" s="147">
        <v>7991.7306000000017</v>
      </c>
      <c r="I107" s="148">
        <v>4081.5784473953022</v>
      </c>
      <c r="J107" s="149">
        <v>0.3381191559572661</v>
      </c>
    </row>
    <row r="108" spans="1:10" s="9" customFormat="1" x14ac:dyDescent="0.25">
      <c r="A108" s="2" t="s">
        <v>109</v>
      </c>
      <c r="B108" s="177">
        <v>10.678228520143607</v>
      </c>
      <c r="C108" s="145">
        <v>1.4409121780716505</v>
      </c>
      <c r="D108" s="145">
        <v>0.76398868975644763</v>
      </c>
      <c r="E108" s="181">
        <v>0.28125911107381596</v>
      </c>
      <c r="F108" s="181">
        <v>0.26601765814120826</v>
      </c>
      <c r="G108" s="146">
        <v>1.3780054018479071E-2</v>
      </c>
      <c r="H108" s="147">
        <v>5493.9495199999992</v>
      </c>
      <c r="I108" s="148">
        <v>13465.562549019607</v>
      </c>
      <c r="J108" s="149">
        <v>0.22363169368259223</v>
      </c>
    </row>
    <row r="109" spans="1:10" s="46" customFormat="1" ht="16.5" customHeight="1" x14ac:dyDescent="0.25">
      <c r="A109" s="150" t="s">
        <v>606</v>
      </c>
      <c r="B109" s="180">
        <v>2.6313232502311252</v>
      </c>
      <c r="C109" s="151">
        <v>1.5219652138845898</v>
      </c>
      <c r="D109" s="151">
        <v>0.56084026468953219</v>
      </c>
      <c r="E109" s="151">
        <v>0.20187827259381902</v>
      </c>
      <c r="F109" s="151">
        <v>0.20585532085080194</v>
      </c>
      <c r="G109" s="151">
        <v>1.1851208611102212E-2</v>
      </c>
      <c r="H109" s="182">
        <v>2154779.161199999</v>
      </c>
      <c r="I109" s="173">
        <v>6003.7925601067664</v>
      </c>
      <c r="J109" s="151">
        <v>0.15891552579966661</v>
      </c>
    </row>
    <row r="110" spans="1:10" s="46" customFormat="1" x14ac:dyDescent="0.25">
      <c r="A110" s="150" t="s">
        <v>539</v>
      </c>
      <c r="B110" s="110">
        <v>2.0853268049050344</v>
      </c>
      <c r="C110" s="152">
        <v>1.6432103507756075</v>
      </c>
      <c r="D110" s="152">
        <v>0.61147149499334119</v>
      </c>
      <c r="E110" s="152">
        <v>0.19324789083226088</v>
      </c>
      <c r="F110" s="152">
        <v>0.20679168377504348</v>
      </c>
      <c r="G110" s="152">
        <v>1.3477152388256392E-2</v>
      </c>
      <c r="H110" s="152"/>
      <c r="I110" s="183">
        <v>5292.1280400640517</v>
      </c>
      <c r="J110" s="152">
        <v>0.16019216858170438</v>
      </c>
    </row>
    <row r="111" spans="1:10" s="23" customFormat="1" ht="13.5" customHeight="1" x14ac:dyDescent="0.15">
      <c r="A111" s="23" t="s">
        <v>225</v>
      </c>
      <c r="C111" s="124"/>
      <c r="D111" s="44"/>
      <c r="E111" s="124"/>
      <c r="F111" s="124"/>
      <c r="G111" s="44"/>
      <c r="H111" s="44"/>
      <c r="I111" s="44"/>
      <c r="J111" s="124"/>
    </row>
    <row r="112" spans="1:10" s="23" customFormat="1" ht="11.25" customHeight="1" x14ac:dyDescent="0.15">
      <c r="A112" s="23" t="s">
        <v>540</v>
      </c>
      <c r="C112" s="154"/>
    </row>
    <row r="113" spans="1:3" s="140" customFormat="1" ht="8.25" customHeight="1" x14ac:dyDescent="0.25">
      <c r="A113" s="140" t="s">
        <v>541</v>
      </c>
      <c r="C113" s="155"/>
    </row>
  </sheetData>
  <printOptions horizontalCentered="1"/>
  <pageMargins left="0.35433070866141736" right="0.35433070866141736" top="0.43307086614173229" bottom="0.35433070866141736" header="0.31496062992125984" footer="3.937007874015748E-2"/>
  <pageSetup paperSize="9" firstPageNumber="71" orientation="portrait" useFirstPageNumber="1" horizontalDpi="1200" verticalDpi="1200" r:id="rId1"/>
  <headerFooter>
    <oddFooter>&amp;C&amp;"Arial Narrow,Corsivo"&amp;7- pagina &amp;P -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85"/>
  <sheetViews>
    <sheetView zoomScale="150" zoomScaleNormal="150" workbookViewId="0">
      <pane ySplit="3" topLeftCell="A70" activePane="bottomLeft" state="frozenSplit"/>
      <selection pane="bottomLeft" activeCell="A82" sqref="A82"/>
    </sheetView>
  </sheetViews>
  <sheetFormatPr defaultRowHeight="13.5" x14ac:dyDescent="0.25"/>
  <cols>
    <col min="1" max="1" width="18.42578125" style="16" customWidth="1"/>
    <col min="2" max="2" width="2.42578125" style="16" customWidth="1"/>
    <col min="3" max="6" width="11" style="16" customWidth="1"/>
    <col min="7" max="7" width="2.42578125" style="16" customWidth="1"/>
    <col min="8" max="8" width="13.42578125" style="16" customWidth="1"/>
    <col min="9" max="251" width="9.140625" style="51"/>
    <col min="252" max="252" width="18.42578125" style="51" customWidth="1"/>
    <col min="253" max="253" width="2.42578125" style="51" customWidth="1"/>
    <col min="254" max="257" width="11" style="51" customWidth="1"/>
    <col min="258" max="258" width="2.42578125" style="51" customWidth="1"/>
    <col min="259" max="259" width="13.42578125" style="51" customWidth="1"/>
    <col min="260" max="260" width="18.42578125" style="51" customWidth="1"/>
    <col min="261" max="263" width="9.140625" style="51" customWidth="1"/>
    <col min="264" max="507" width="9.140625" style="51"/>
    <col min="508" max="508" width="18.42578125" style="51" customWidth="1"/>
    <col min="509" max="509" width="2.42578125" style="51" customWidth="1"/>
    <col min="510" max="513" width="11" style="51" customWidth="1"/>
    <col min="514" max="514" width="2.42578125" style="51" customWidth="1"/>
    <col min="515" max="515" width="13.42578125" style="51" customWidth="1"/>
    <col min="516" max="516" width="18.42578125" style="51" customWidth="1"/>
    <col min="517" max="519" width="9.140625" style="51" customWidth="1"/>
    <col min="520" max="763" width="9.140625" style="51"/>
    <col min="764" max="764" width="18.42578125" style="51" customWidth="1"/>
    <col min="765" max="765" width="2.42578125" style="51" customWidth="1"/>
    <col min="766" max="769" width="11" style="51" customWidth="1"/>
    <col min="770" max="770" width="2.42578125" style="51" customWidth="1"/>
    <col min="771" max="771" width="13.42578125" style="51" customWidth="1"/>
    <col min="772" max="772" width="18.42578125" style="51" customWidth="1"/>
    <col min="773" max="775" width="9.140625" style="51" customWidth="1"/>
    <col min="776" max="1019" width="9.140625" style="51"/>
    <col min="1020" max="1020" width="18.42578125" style="51" customWidth="1"/>
    <col min="1021" max="1021" width="2.42578125" style="51" customWidth="1"/>
    <col min="1022" max="1025" width="11" style="51" customWidth="1"/>
    <col min="1026" max="1026" width="2.42578125" style="51" customWidth="1"/>
    <col min="1027" max="1027" width="13.42578125" style="51" customWidth="1"/>
    <col min="1028" max="1028" width="18.42578125" style="51" customWidth="1"/>
    <col min="1029" max="1031" width="9.140625" style="51" customWidth="1"/>
    <col min="1032" max="1275" width="9.140625" style="51"/>
    <col min="1276" max="1276" width="18.42578125" style="51" customWidth="1"/>
    <col min="1277" max="1277" width="2.42578125" style="51" customWidth="1"/>
    <col min="1278" max="1281" width="11" style="51" customWidth="1"/>
    <col min="1282" max="1282" width="2.42578125" style="51" customWidth="1"/>
    <col min="1283" max="1283" width="13.42578125" style="51" customWidth="1"/>
    <col min="1284" max="1284" width="18.42578125" style="51" customWidth="1"/>
    <col min="1285" max="1287" width="9.140625" style="51" customWidth="1"/>
    <col min="1288" max="1531" width="9.140625" style="51"/>
    <col min="1532" max="1532" width="18.42578125" style="51" customWidth="1"/>
    <col min="1533" max="1533" width="2.42578125" style="51" customWidth="1"/>
    <col min="1534" max="1537" width="11" style="51" customWidth="1"/>
    <col min="1538" max="1538" width="2.42578125" style="51" customWidth="1"/>
    <col min="1539" max="1539" width="13.42578125" style="51" customWidth="1"/>
    <col min="1540" max="1540" width="18.42578125" style="51" customWidth="1"/>
    <col min="1541" max="1543" width="9.140625" style="51" customWidth="1"/>
    <col min="1544" max="1787" width="9.140625" style="51"/>
    <col min="1788" max="1788" width="18.42578125" style="51" customWidth="1"/>
    <col min="1789" max="1789" width="2.42578125" style="51" customWidth="1"/>
    <col min="1790" max="1793" width="11" style="51" customWidth="1"/>
    <col min="1794" max="1794" width="2.42578125" style="51" customWidth="1"/>
    <col min="1795" max="1795" width="13.42578125" style="51" customWidth="1"/>
    <col min="1796" max="1796" width="18.42578125" style="51" customWidth="1"/>
    <col min="1797" max="1799" width="9.140625" style="51" customWidth="1"/>
    <col min="1800" max="2043" width="9.140625" style="51"/>
    <col min="2044" max="2044" width="18.42578125" style="51" customWidth="1"/>
    <col min="2045" max="2045" width="2.42578125" style="51" customWidth="1"/>
    <col min="2046" max="2049" width="11" style="51" customWidth="1"/>
    <col min="2050" max="2050" width="2.42578125" style="51" customWidth="1"/>
    <col min="2051" max="2051" width="13.42578125" style="51" customWidth="1"/>
    <col min="2052" max="2052" width="18.42578125" style="51" customWidth="1"/>
    <col min="2053" max="2055" width="9.140625" style="51" customWidth="1"/>
    <col min="2056" max="2299" width="9.140625" style="51"/>
    <col min="2300" max="2300" width="18.42578125" style="51" customWidth="1"/>
    <col min="2301" max="2301" width="2.42578125" style="51" customWidth="1"/>
    <col min="2302" max="2305" width="11" style="51" customWidth="1"/>
    <col min="2306" max="2306" width="2.42578125" style="51" customWidth="1"/>
    <col min="2307" max="2307" width="13.42578125" style="51" customWidth="1"/>
    <col min="2308" max="2308" width="18.42578125" style="51" customWidth="1"/>
    <col min="2309" max="2311" width="9.140625" style="51" customWidth="1"/>
    <col min="2312" max="2555" width="9.140625" style="51"/>
    <col min="2556" max="2556" width="18.42578125" style="51" customWidth="1"/>
    <col min="2557" max="2557" width="2.42578125" style="51" customWidth="1"/>
    <col min="2558" max="2561" width="11" style="51" customWidth="1"/>
    <col min="2562" max="2562" width="2.42578125" style="51" customWidth="1"/>
    <col min="2563" max="2563" width="13.42578125" style="51" customWidth="1"/>
    <col min="2564" max="2564" width="18.42578125" style="51" customWidth="1"/>
    <col min="2565" max="2567" width="9.140625" style="51" customWidth="1"/>
    <col min="2568" max="2811" width="9.140625" style="51"/>
    <col min="2812" max="2812" width="18.42578125" style="51" customWidth="1"/>
    <col min="2813" max="2813" width="2.42578125" style="51" customWidth="1"/>
    <col min="2814" max="2817" width="11" style="51" customWidth="1"/>
    <col min="2818" max="2818" width="2.42578125" style="51" customWidth="1"/>
    <col min="2819" max="2819" width="13.42578125" style="51" customWidth="1"/>
    <col min="2820" max="2820" width="18.42578125" style="51" customWidth="1"/>
    <col min="2821" max="2823" width="9.140625" style="51" customWidth="1"/>
    <col min="2824" max="3067" width="9.140625" style="51"/>
    <col min="3068" max="3068" width="18.42578125" style="51" customWidth="1"/>
    <col min="3069" max="3069" width="2.42578125" style="51" customWidth="1"/>
    <col min="3070" max="3073" width="11" style="51" customWidth="1"/>
    <col min="3074" max="3074" width="2.42578125" style="51" customWidth="1"/>
    <col min="3075" max="3075" width="13.42578125" style="51" customWidth="1"/>
    <col min="3076" max="3076" width="18.42578125" style="51" customWidth="1"/>
    <col min="3077" max="3079" width="9.140625" style="51" customWidth="1"/>
    <col min="3080" max="3323" width="9.140625" style="51"/>
    <col min="3324" max="3324" width="18.42578125" style="51" customWidth="1"/>
    <col min="3325" max="3325" width="2.42578125" style="51" customWidth="1"/>
    <col min="3326" max="3329" width="11" style="51" customWidth="1"/>
    <col min="3330" max="3330" width="2.42578125" style="51" customWidth="1"/>
    <col min="3331" max="3331" width="13.42578125" style="51" customWidth="1"/>
    <col min="3332" max="3332" width="18.42578125" style="51" customWidth="1"/>
    <col min="3333" max="3335" width="9.140625" style="51" customWidth="1"/>
    <col min="3336" max="3579" width="9.140625" style="51"/>
    <col min="3580" max="3580" width="18.42578125" style="51" customWidth="1"/>
    <col min="3581" max="3581" width="2.42578125" style="51" customWidth="1"/>
    <col min="3582" max="3585" width="11" style="51" customWidth="1"/>
    <col min="3586" max="3586" width="2.42578125" style="51" customWidth="1"/>
    <col min="3587" max="3587" width="13.42578125" style="51" customWidth="1"/>
    <col min="3588" max="3588" width="18.42578125" style="51" customWidth="1"/>
    <col min="3589" max="3591" width="9.140625" style="51" customWidth="1"/>
    <col min="3592" max="3835" width="9.140625" style="51"/>
    <col min="3836" max="3836" width="18.42578125" style="51" customWidth="1"/>
    <col min="3837" max="3837" width="2.42578125" style="51" customWidth="1"/>
    <col min="3838" max="3841" width="11" style="51" customWidth="1"/>
    <col min="3842" max="3842" width="2.42578125" style="51" customWidth="1"/>
    <col min="3843" max="3843" width="13.42578125" style="51" customWidth="1"/>
    <col min="3844" max="3844" width="18.42578125" style="51" customWidth="1"/>
    <col min="3845" max="3847" width="9.140625" style="51" customWidth="1"/>
    <col min="3848" max="4091" width="9.140625" style="51"/>
    <col min="4092" max="4092" width="18.42578125" style="51" customWidth="1"/>
    <col min="4093" max="4093" width="2.42578125" style="51" customWidth="1"/>
    <col min="4094" max="4097" width="11" style="51" customWidth="1"/>
    <col min="4098" max="4098" width="2.42578125" style="51" customWidth="1"/>
    <col min="4099" max="4099" width="13.42578125" style="51" customWidth="1"/>
    <col min="4100" max="4100" width="18.42578125" style="51" customWidth="1"/>
    <col min="4101" max="4103" width="9.140625" style="51" customWidth="1"/>
    <col min="4104" max="4347" width="9.140625" style="51"/>
    <col min="4348" max="4348" width="18.42578125" style="51" customWidth="1"/>
    <col min="4349" max="4349" width="2.42578125" style="51" customWidth="1"/>
    <col min="4350" max="4353" width="11" style="51" customWidth="1"/>
    <col min="4354" max="4354" width="2.42578125" style="51" customWidth="1"/>
    <col min="4355" max="4355" width="13.42578125" style="51" customWidth="1"/>
    <col min="4356" max="4356" width="18.42578125" style="51" customWidth="1"/>
    <col min="4357" max="4359" width="9.140625" style="51" customWidth="1"/>
    <col min="4360" max="4603" width="9.140625" style="51"/>
    <col min="4604" max="4604" width="18.42578125" style="51" customWidth="1"/>
    <col min="4605" max="4605" width="2.42578125" style="51" customWidth="1"/>
    <col min="4606" max="4609" width="11" style="51" customWidth="1"/>
    <col min="4610" max="4610" width="2.42578125" style="51" customWidth="1"/>
    <col min="4611" max="4611" width="13.42578125" style="51" customWidth="1"/>
    <col min="4612" max="4612" width="18.42578125" style="51" customWidth="1"/>
    <col min="4613" max="4615" width="9.140625" style="51" customWidth="1"/>
    <col min="4616" max="4859" width="9.140625" style="51"/>
    <col min="4860" max="4860" width="18.42578125" style="51" customWidth="1"/>
    <col min="4861" max="4861" width="2.42578125" style="51" customWidth="1"/>
    <col min="4862" max="4865" width="11" style="51" customWidth="1"/>
    <col min="4866" max="4866" width="2.42578125" style="51" customWidth="1"/>
    <col min="4867" max="4867" width="13.42578125" style="51" customWidth="1"/>
    <col min="4868" max="4868" width="18.42578125" style="51" customWidth="1"/>
    <col min="4869" max="4871" width="9.140625" style="51" customWidth="1"/>
    <col min="4872" max="5115" width="9.140625" style="51"/>
    <col min="5116" max="5116" width="18.42578125" style="51" customWidth="1"/>
    <col min="5117" max="5117" width="2.42578125" style="51" customWidth="1"/>
    <col min="5118" max="5121" width="11" style="51" customWidth="1"/>
    <col min="5122" max="5122" width="2.42578125" style="51" customWidth="1"/>
    <col min="5123" max="5123" width="13.42578125" style="51" customWidth="1"/>
    <col min="5124" max="5124" width="18.42578125" style="51" customWidth="1"/>
    <col min="5125" max="5127" width="9.140625" style="51" customWidth="1"/>
    <col min="5128" max="5371" width="9.140625" style="51"/>
    <col min="5372" max="5372" width="18.42578125" style="51" customWidth="1"/>
    <col min="5373" max="5373" width="2.42578125" style="51" customWidth="1"/>
    <col min="5374" max="5377" width="11" style="51" customWidth="1"/>
    <col min="5378" max="5378" width="2.42578125" style="51" customWidth="1"/>
    <col min="5379" max="5379" width="13.42578125" style="51" customWidth="1"/>
    <col min="5380" max="5380" width="18.42578125" style="51" customWidth="1"/>
    <col min="5381" max="5383" width="9.140625" style="51" customWidth="1"/>
    <col min="5384" max="5627" width="9.140625" style="51"/>
    <col min="5628" max="5628" width="18.42578125" style="51" customWidth="1"/>
    <col min="5629" max="5629" width="2.42578125" style="51" customWidth="1"/>
    <col min="5630" max="5633" width="11" style="51" customWidth="1"/>
    <col min="5634" max="5634" width="2.42578125" style="51" customWidth="1"/>
    <col min="5635" max="5635" width="13.42578125" style="51" customWidth="1"/>
    <col min="5636" max="5636" width="18.42578125" style="51" customWidth="1"/>
    <col min="5637" max="5639" width="9.140625" style="51" customWidth="1"/>
    <col min="5640" max="5883" width="9.140625" style="51"/>
    <col min="5884" max="5884" width="18.42578125" style="51" customWidth="1"/>
    <col min="5885" max="5885" width="2.42578125" style="51" customWidth="1"/>
    <col min="5886" max="5889" width="11" style="51" customWidth="1"/>
    <col min="5890" max="5890" width="2.42578125" style="51" customWidth="1"/>
    <col min="5891" max="5891" width="13.42578125" style="51" customWidth="1"/>
    <col min="5892" max="5892" width="18.42578125" style="51" customWidth="1"/>
    <col min="5893" max="5895" width="9.140625" style="51" customWidth="1"/>
    <col min="5896" max="6139" width="9.140625" style="51"/>
    <col min="6140" max="6140" width="18.42578125" style="51" customWidth="1"/>
    <col min="6141" max="6141" width="2.42578125" style="51" customWidth="1"/>
    <col min="6142" max="6145" width="11" style="51" customWidth="1"/>
    <col min="6146" max="6146" width="2.42578125" style="51" customWidth="1"/>
    <col min="6147" max="6147" width="13.42578125" style="51" customWidth="1"/>
    <col min="6148" max="6148" width="18.42578125" style="51" customWidth="1"/>
    <col min="6149" max="6151" width="9.140625" style="51" customWidth="1"/>
    <col min="6152" max="6395" width="9.140625" style="51"/>
    <col min="6396" max="6396" width="18.42578125" style="51" customWidth="1"/>
    <col min="6397" max="6397" width="2.42578125" style="51" customWidth="1"/>
    <col min="6398" max="6401" width="11" style="51" customWidth="1"/>
    <col min="6402" max="6402" width="2.42578125" style="51" customWidth="1"/>
    <col min="6403" max="6403" width="13.42578125" style="51" customWidth="1"/>
    <col min="6404" max="6404" width="18.42578125" style="51" customWidth="1"/>
    <col min="6405" max="6407" width="9.140625" style="51" customWidth="1"/>
    <col min="6408" max="6651" width="9.140625" style="51"/>
    <col min="6652" max="6652" width="18.42578125" style="51" customWidth="1"/>
    <col min="6653" max="6653" width="2.42578125" style="51" customWidth="1"/>
    <col min="6654" max="6657" width="11" style="51" customWidth="1"/>
    <col min="6658" max="6658" width="2.42578125" style="51" customWidth="1"/>
    <col min="6659" max="6659" width="13.42578125" style="51" customWidth="1"/>
    <col min="6660" max="6660" width="18.42578125" style="51" customWidth="1"/>
    <col min="6661" max="6663" width="9.140625" style="51" customWidth="1"/>
    <col min="6664" max="6907" width="9.140625" style="51"/>
    <col min="6908" max="6908" width="18.42578125" style="51" customWidth="1"/>
    <col min="6909" max="6909" width="2.42578125" style="51" customWidth="1"/>
    <col min="6910" max="6913" width="11" style="51" customWidth="1"/>
    <col min="6914" max="6914" width="2.42578125" style="51" customWidth="1"/>
    <col min="6915" max="6915" width="13.42578125" style="51" customWidth="1"/>
    <col min="6916" max="6916" width="18.42578125" style="51" customWidth="1"/>
    <col min="6917" max="6919" width="9.140625" style="51" customWidth="1"/>
    <col min="6920" max="7163" width="9.140625" style="51"/>
    <col min="7164" max="7164" width="18.42578125" style="51" customWidth="1"/>
    <col min="7165" max="7165" width="2.42578125" style="51" customWidth="1"/>
    <col min="7166" max="7169" width="11" style="51" customWidth="1"/>
    <col min="7170" max="7170" width="2.42578125" style="51" customWidth="1"/>
    <col min="7171" max="7171" width="13.42578125" style="51" customWidth="1"/>
    <col min="7172" max="7172" width="18.42578125" style="51" customWidth="1"/>
    <col min="7173" max="7175" width="9.140625" style="51" customWidth="1"/>
    <col min="7176" max="7419" width="9.140625" style="51"/>
    <col min="7420" max="7420" width="18.42578125" style="51" customWidth="1"/>
    <col min="7421" max="7421" width="2.42578125" style="51" customWidth="1"/>
    <col min="7422" max="7425" width="11" style="51" customWidth="1"/>
    <col min="7426" max="7426" width="2.42578125" style="51" customWidth="1"/>
    <col min="7427" max="7427" width="13.42578125" style="51" customWidth="1"/>
    <col min="7428" max="7428" width="18.42578125" style="51" customWidth="1"/>
    <col min="7429" max="7431" width="9.140625" style="51" customWidth="1"/>
    <col min="7432" max="7675" width="9.140625" style="51"/>
    <col min="7676" max="7676" width="18.42578125" style="51" customWidth="1"/>
    <col min="7677" max="7677" width="2.42578125" style="51" customWidth="1"/>
    <col min="7678" max="7681" width="11" style="51" customWidth="1"/>
    <col min="7682" max="7682" width="2.42578125" style="51" customWidth="1"/>
    <col min="7683" max="7683" width="13.42578125" style="51" customWidth="1"/>
    <col min="7684" max="7684" width="18.42578125" style="51" customWidth="1"/>
    <col min="7685" max="7687" width="9.140625" style="51" customWidth="1"/>
    <col min="7688" max="7931" width="9.140625" style="51"/>
    <col min="7932" max="7932" width="18.42578125" style="51" customWidth="1"/>
    <col min="7933" max="7933" width="2.42578125" style="51" customWidth="1"/>
    <col min="7934" max="7937" width="11" style="51" customWidth="1"/>
    <col min="7938" max="7938" width="2.42578125" style="51" customWidth="1"/>
    <col min="7939" max="7939" width="13.42578125" style="51" customWidth="1"/>
    <col min="7940" max="7940" width="18.42578125" style="51" customWidth="1"/>
    <col min="7941" max="7943" width="9.140625" style="51" customWidth="1"/>
    <col min="7944" max="8187" width="9.140625" style="51"/>
    <col min="8188" max="8188" width="18.42578125" style="51" customWidth="1"/>
    <col min="8189" max="8189" width="2.42578125" style="51" customWidth="1"/>
    <col min="8190" max="8193" width="11" style="51" customWidth="1"/>
    <col min="8194" max="8194" width="2.42578125" style="51" customWidth="1"/>
    <col min="8195" max="8195" width="13.42578125" style="51" customWidth="1"/>
    <col min="8196" max="8196" width="18.42578125" style="51" customWidth="1"/>
    <col min="8197" max="8199" width="9.140625" style="51" customWidth="1"/>
    <col min="8200" max="8443" width="9.140625" style="51"/>
    <col min="8444" max="8444" width="18.42578125" style="51" customWidth="1"/>
    <col min="8445" max="8445" width="2.42578125" style="51" customWidth="1"/>
    <col min="8446" max="8449" width="11" style="51" customWidth="1"/>
    <col min="8450" max="8450" width="2.42578125" style="51" customWidth="1"/>
    <col min="8451" max="8451" width="13.42578125" style="51" customWidth="1"/>
    <col min="8452" max="8452" width="18.42578125" style="51" customWidth="1"/>
    <col min="8453" max="8455" width="9.140625" style="51" customWidth="1"/>
    <col min="8456" max="8699" width="9.140625" style="51"/>
    <col min="8700" max="8700" width="18.42578125" style="51" customWidth="1"/>
    <col min="8701" max="8701" width="2.42578125" style="51" customWidth="1"/>
    <col min="8702" max="8705" width="11" style="51" customWidth="1"/>
    <col min="8706" max="8706" width="2.42578125" style="51" customWidth="1"/>
    <col min="8707" max="8707" width="13.42578125" style="51" customWidth="1"/>
    <col min="8708" max="8708" width="18.42578125" style="51" customWidth="1"/>
    <col min="8709" max="8711" width="9.140625" style="51" customWidth="1"/>
    <col min="8712" max="8955" width="9.140625" style="51"/>
    <col min="8956" max="8956" width="18.42578125" style="51" customWidth="1"/>
    <col min="8957" max="8957" width="2.42578125" style="51" customWidth="1"/>
    <col min="8958" max="8961" width="11" style="51" customWidth="1"/>
    <col min="8962" max="8962" width="2.42578125" style="51" customWidth="1"/>
    <col min="8963" max="8963" width="13.42578125" style="51" customWidth="1"/>
    <col min="8964" max="8964" width="18.42578125" style="51" customWidth="1"/>
    <col min="8965" max="8967" width="9.140625" style="51" customWidth="1"/>
    <col min="8968" max="9211" width="9.140625" style="51"/>
    <col min="9212" max="9212" width="18.42578125" style="51" customWidth="1"/>
    <col min="9213" max="9213" width="2.42578125" style="51" customWidth="1"/>
    <col min="9214" max="9217" width="11" style="51" customWidth="1"/>
    <col min="9218" max="9218" width="2.42578125" style="51" customWidth="1"/>
    <col min="9219" max="9219" width="13.42578125" style="51" customWidth="1"/>
    <col min="9220" max="9220" width="18.42578125" style="51" customWidth="1"/>
    <col min="9221" max="9223" width="9.140625" style="51" customWidth="1"/>
    <col min="9224" max="9467" width="9.140625" style="51"/>
    <col min="9468" max="9468" width="18.42578125" style="51" customWidth="1"/>
    <col min="9469" max="9469" width="2.42578125" style="51" customWidth="1"/>
    <col min="9470" max="9473" width="11" style="51" customWidth="1"/>
    <col min="9474" max="9474" width="2.42578125" style="51" customWidth="1"/>
    <col min="9475" max="9475" width="13.42578125" style="51" customWidth="1"/>
    <col min="9476" max="9476" width="18.42578125" style="51" customWidth="1"/>
    <col min="9477" max="9479" width="9.140625" style="51" customWidth="1"/>
    <col min="9480" max="9723" width="9.140625" style="51"/>
    <col min="9724" max="9724" width="18.42578125" style="51" customWidth="1"/>
    <col min="9725" max="9725" width="2.42578125" style="51" customWidth="1"/>
    <col min="9726" max="9729" width="11" style="51" customWidth="1"/>
    <col min="9730" max="9730" width="2.42578125" style="51" customWidth="1"/>
    <col min="9731" max="9731" width="13.42578125" style="51" customWidth="1"/>
    <col min="9732" max="9732" width="18.42578125" style="51" customWidth="1"/>
    <col min="9733" max="9735" width="9.140625" style="51" customWidth="1"/>
    <col min="9736" max="9979" width="9.140625" style="51"/>
    <col min="9980" max="9980" width="18.42578125" style="51" customWidth="1"/>
    <col min="9981" max="9981" width="2.42578125" style="51" customWidth="1"/>
    <col min="9982" max="9985" width="11" style="51" customWidth="1"/>
    <col min="9986" max="9986" width="2.42578125" style="51" customWidth="1"/>
    <col min="9987" max="9987" width="13.42578125" style="51" customWidth="1"/>
    <col min="9988" max="9988" width="18.42578125" style="51" customWidth="1"/>
    <col min="9989" max="9991" width="9.140625" style="51" customWidth="1"/>
    <col min="9992" max="10235" width="9.140625" style="51"/>
    <col min="10236" max="10236" width="18.42578125" style="51" customWidth="1"/>
    <col min="10237" max="10237" width="2.42578125" style="51" customWidth="1"/>
    <col min="10238" max="10241" width="11" style="51" customWidth="1"/>
    <col min="10242" max="10242" width="2.42578125" style="51" customWidth="1"/>
    <col min="10243" max="10243" width="13.42578125" style="51" customWidth="1"/>
    <col min="10244" max="10244" width="18.42578125" style="51" customWidth="1"/>
    <col min="10245" max="10247" width="9.140625" style="51" customWidth="1"/>
    <col min="10248" max="10491" width="9.140625" style="51"/>
    <col min="10492" max="10492" width="18.42578125" style="51" customWidth="1"/>
    <col min="10493" max="10493" width="2.42578125" style="51" customWidth="1"/>
    <col min="10494" max="10497" width="11" style="51" customWidth="1"/>
    <col min="10498" max="10498" width="2.42578125" style="51" customWidth="1"/>
    <col min="10499" max="10499" width="13.42578125" style="51" customWidth="1"/>
    <col min="10500" max="10500" width="18.42578125" style="51" customWidth="1"/>
    <col min="10501" max="10503" width="9.140625" style="51" customWidth="1"/>
    <col min="10504" max="10747" width="9.140625" style="51"/>
    <col min="10748" max="10748" width="18.42578125" style="51" customWidth="1"/>
    <col min="10749" max="10749" width="2.42578125" style="51" customWidth="1"/>
    <col min="10750" max="10753" width="11" style="51" customWidth="1"/>
    <col min="10754" max="10754" width="2.42578125" style="51" customWidth="1"/>
    <col min="10755" max="10755" width="13.42578125" style="51" customWidth="1"/>
    <col min="10756" max="10756" width="18.42578125" style="51" customWidth="1"/>
    <col min="10757" max="10759" width="9.140625" style="51" customWidth="1"/>
    <col min="10760" max="11003" width="9.140625" style="51"/>
    <col min="11004" max="11004" width="18.42578125" style="51" customWidth="1"/>
    <col min="11005" max="11005" width="2.42578125" style="51" customWidth="1"/>
    <col min="11006" max="11009" width="11" style="51" customWidth="1"/>
    <col min="11010" max="11010" width="2.42578125" style="51" customWidth="1"/>
    <col min="11011" max="11011" width="13.42578125" style="51" customWidth="1"/>
    <col min="11012" max="11012" width="18.42578125" style="51" customWidth="1"/>
    <col min="11013" max="11015" width="9.140625" style="51" customWidth="1"/>
    <col min="11016" max="11259" width="9.140625" style="51"/>
    <col min="11260" max="11260" width="18.42578125" style="51" customWidth="1"/>
    <col min="11261" max="11261" width="2.42578125" style="51" customWidth="1"/>
    <col min="11262" max="11265" width="11" style="51" customWidth="1"/>
    <col min="11266" max="11266" width="2.42578125" style="51" customWidth="1"/>
    <col min="11267" max="11267" width="13.42578125" style="51" customWidth="1"/>
    <col min="11268" max="11268" width="18.42578125" style="51" customWidth="1"/>
    <col min="11269" max="11271" width="9.140625" style="51" customWidth="1"/>
    <col min="11272" max="11515" width="9.140625" style="51"/>
    <col min="11516" max="11516" width="18.42578125" style="51" customWidth="1"/>
    <col min="11517" max="11517" width="2.42578125" style="51" customWidth="1"/>
    <col min="11518" max="11521" width="11" style="51" customWidth="1"/>
    <col min="11522" max="11522" width="2.42578125" style="51" customWidth="1"/>
    <col min="11523" max="11523" width="13.42578125" style="51" customWidth="1"/>
    <col min="11524" max="11524" width="18.42578125" style="51" customWidth="1"/>
    <col min="11525" max="11527" width="9.140625" style="51" customWidth="1"/>
    <col min="11528" max="11771" width="9.140625" style="51"/>
    <col min="11772" max="11772" width="18.42578125" style="51" customWidth="1"/>
    <col min="11773" max="11773" width="2.42578125" style="51" customWidth="1"/>
    <col min="11774" max="11777" width="11" style="51" customWidth="1"/>
    <col min="11778" max="11778" width="2.42578125" style="51" customWidth="1"/>
    <col min="11779" max="11779" width="13.42578125" style="51" customWidth="1"/>
    <col min="11780" max="11780" width="18.42578125" style="51" customWidth="1"/>
    <col min="11781" max="11783" width="9.140625" style="51" customWidth="1"/>
    <col min="11784" max="12027" width="9.140625" style="51"/>
    <col min="12028" max="12028" width="18.42578125" style="51" customWidth="1"/>
    <col min="12029" max="12029" width="2.42578125" style="51" customWidth="1"/>
    <col min="12030" max="12033" width="11" style="51" customWidth="1"/>
    <col min="12034" max="12034" width="2.42578125" style="51" customWidth="1"/>
    <col min="12035" max="12035" width="13.42578125" style="51" customWidth="1"/>
    <col min="12036" max="12036" width="18.42578125" style="51" customWidth="1"/>
    <col min="12037" max="12039" width="9.140625" style="51" customWidth="1"/>
    <col min="12040" max="12283" width="9.140625" style="51"/>
    <col min="12284" max="12284" width="18.42578125" style="51" customWidth="1"/>
    <col min="12285" max="12285" width="2.42578125" style="51" customWidth="1"/>
    <col min="12286" max="12289" width="11" style="51" customWidth="1"/>
    <col min="12290" max="12290" width="2.42578125" style="51" customWidth="1"/>
    <col min="12291" max="12291" width="13.42578125" style="51" customWidth="1"/>
    <col min="12292" max="12292" width="18.42578125" style="51" customWidth="1"/>
    <col min="12293" max="12295" width="9.140625" style="51" customWidth="1"/>
    <col min="12296" max="12539" width="9.140625" style="51"/>
    <col min="12540" max="12540" width="18.42578125" style="51" customWidth="1"/>
    <col min="12541" max="12541" width="2.42578125" style="51" customWidth="1"/>
    <col min="12542" max="12545" width="11" style="51" customWidth="1"/>
    <col min="12546" max="12546" width="2.42578125" style="51" customWidth="1"/>
    <col min="12547" max="12547" width="13.42578125" style="51" customWidth="1"/>
    <col min="12548" max="12548" width="18.42578125" style="51" customWidth="1"/>
    <col min="12549" max="12551" width="9.140625" style="51" customWidth="1"/>
    <col min="12552" max="12795" width="9.140625" style="51"/>
    <col min="12796" max="12796" width="18.42578125" style="51" customWidth="1"/>
    <col min="12797" max="12797" width="2.42578125" style="51" customWidth="1"/>
    <col min="12798" max="12801" width="11" style="51" customWidth="1"/>
    <col min="12802" max="12802" width="2.42578125" style="51" customWidth="1"/>
    <col min="12803" max="12803" width="13.42578125" style="51" customWidth="1"/>
    <col min="12804" max="12804" width="18.42578125" style="51" customWidth="1"/>
    <col min="12805" max="12807" width="9.140625" style="51" customWidth="1"/>
    <col min="12808" max="13051" width="9.140625" style="51"/>
    <col min="13052" max="13052" width="18.42578125" style="51" customWidth="1"/>
    <col min="13053" max="13053" width="2.42578125" style="51" customWidth="1"/>
    <col min="13054" max="13057" width="11" style="51" customWidth="1"/>
    <col min="13058" max="13058" width="2.42578125" style="51" customWidth="1"/>
    <col min="13059" max="13059" width="13.42578125" style="51" customWidth="1"/>
    <col min="13060" max="13060" width="18.42578125" style="51" customWidth="1"/>
    <col min="13061" max="13063" width="9.140625" style="51" customWidth="1"/>
    <col min="13064" max="13307" width="9.140625" style="51"/>
    <col min="13308" max="13308" width="18.42578125" style="51" customWidth="1"/>
    <col min="13309" max="13309" width="2.42578125" style="51" customWidth="1"/>
    <col min="13310" max="13313" width="11" style="51" customWidth="1"/>
    <col min="13314" max="13314" width="2.42578125" style="51" customWidth="1"/>
    <col min="13315" max="13315" width="13.42578125" style="51" customWidth="1"/>
    <col min="13316" max="13316" width="18.42578125" style="51" customWidth="1"/>
    <col min="13317" max="13319" width="9.140625" style="51" customWidth="1"/>
    <col min="13320" max="13563" width="9.140625" style="51"/>
    <col min="13564" max="13564" width="18.42578125" style="51" customWidth="1"/>
    <col min="13565" max="13565" width="2.42578125" style="51" customWidth="1"/>
    <col min="13566" max="13569" width="11" style="51" customWidth="1"/>
    <col min="13570" max="13570" width="2.42578125" style="51" customWidth="1"/>
    <col min="13571" max="13571" width="13.42578125" style="51" customWidth="1"/>
    <col min="13572" max="13572" width="18.42578125" style="51" customWidth="1"/>
    <col min="13573" max="13575" width="9.140625" style="51" customWidth="1"/>
    <col min="13576" max="13819" width="9.140625" style="51"/>
    <col min="13820" max="13820" width="18.42578125" style="51" customWidth="1"/>
    <col min="13821" max="13821" width="2.42578125" style="51" customWidth="1"/>
    <col min="13822" max="13825" width="11" style="51" customWidth="1"/>
    <col min="13826" max="13826" width="2.42578125" style="51" customWidth="1"/>
    <col min="13827" max="13827" width="13.42578125" style="51" customWidth="1"/>
    <col min="13828" max="13828" width="18.42578125" style="51" customWidth="1"/>
    <col min="13829" max="13831" width="9.140625" style="51" customWidth="1"/>
    <col min="13832" max="14075" width="9.140625" style="51"/>
    <col min="14076" max="14076" width="18.42578125" style="51" customWidth="1"/>
    <col min="14077" max="14077" width="2.42578125" style="51" customWidth="1"/>
    <col min="14078" max="14081" width="11" style="51" customWidth="1"/>
    <col min="14082" max="14082" width="2.42578125" style="51" customWidth="1"/>
    <col min="14083" max="14083" width="13.42578125" style="51" customWidth="1"/>
    <col min="14084" max="14084" width="18.42578125" style="51" customWidth="1"/>
    <col min="14085" max="14087" width="9.140625" style="51" customWidth="1"/>
    <col min="14088" max="14331" width="9.140625" style="51"/>
    <col min="14332" max="14332" width="18.42578125" style="51" customWidth="1"/>
    <col min="14333" max="14333" width="2.42578125" style="51" customWidth="1"/>
    <col min="14334" max="14337" width="11" style="51" customWidth="1"/>
    <col min="14338" max="14338" width="2.42578125" style="51" customWidth="1"/>
    <col min="14339" max="14339" width="13.42578125" style="51" customWidth="1"/>
    <col min="14340" max="14340" width="18.42578125" style="51" customWidth="1"/>
    <col min="14341" max="14343" width="9.140625" style="51" customWidth="1"/>
    <col min="14344" max="14587" width="9.140625" style="51"/>
    <col min="14588" max="14588" width="18.42578125" style="51" customWidth="1"/>
    <col min="14589" max="14589" width="2.42578125" style="51" customWidth="1"/>
    <col min="14590" max="14593" width="11" style="51" customWidth="1"/>
    <col min="14594" max="14594" width="2.42578125" style="51" customWidth="1"/>
    <col min="14595" max="14595" width="13.42578125" style="51" customWidth="1"/>
    <col min="14596" max="14596" width="18.42578125" style="51" customWidth="1"/>
    <col min="14597" max="14599" width="9.140625" style="51" customWidth="1"/>
    <col min="14600" max="14843" width="9.140625" style="51"/>
    <col min="14844" max="14844" width="18.42578125" style="51" customWidth="1"/>
    <col min="14845" max="14845" width="2.42578125" style="51" customWidth="1"/>
    <col min="14846" max="14849" width="11" style="51" customWidth="1"/>
    <col min="14850" max="14850" width="2.42578125" style="51" customWidth="1"/>
    <col min="14851" max="14851" width="13.42578125" style="51" customWidth="1"/>
    <col min="14852" max="14852" width="18.42578125" style="51" customWidth="1"/>
    <col min="14853" max="14855" width="9.140625" style="51" customWidth="1"/>
    <col min="14856" max="15099" width="9.140625" style="51"/>
    <col min="15100" max="15100" width="18.42578125" style="51" customWidth="1"/>
    <col min="15101" max="15101" width="2.42578125" style="51" customWidth="1"/>
    <col min="15102" max="15105" width="11" style="51" customWidth="1"/>
    <col min="15106" max="15106" width="2.42578125" style="51" customWidth="1"/>
    <col min="15107" max="15107" width="13.42578125" style="51" customWidth="1"/>
    <col min="15108" max="15108" width="18.42578125" style="51" customWidth="1"/>
    <col min="15109" max="15111" width="9.140625" style="51" customWidth="1"/>
    <col min="15112" max="15355" width="9.140625" style="51"/>
    <col min="15356" max="15356" width="18.42578125" style="51" customWidth="1"/>
    <col min="15357" max="15357" width="2.42578125" style="51" customWidth="1"/>
    <col min="15358" max="15361" width="11" style="51" customWidth="1"/>
    <col min="15362" max="15362" width="2.42578125" style="51" customWidth="1"/>
    <col min="15363" max="15363" width="13.42578125" style="51" customWidth="1"/>
    <col min="15364" max="15364" width="18.42578125" style="51" customWidth="1"/>
    <col min="15365" max="15367" width="9.140625" style="51" customWidth="1"/>
    <col min="15368" max="15611" width="9.140625" style="51"/>
    <col min="15612" max="15612" width="18.42578125" style="51" customWidth="1"/>
    <col min="15613" max="15613" width="2.42578125" style="51" customWidth="1"/>
    <col min="15614" max="15617" width="11" style="51" customWidth="1"/>
    <col min="15618" max="15618" width="2.42578125" style="51" customWidth="1"/>
    <col min="15619" max="15619" width="13.42578125" style="51" customWidth="1"/>
    <col min="15620" max="15620" width="18.42578125" style="51" customWidth="1"/>
    <col min="15621" max="15623" width="9.140625" style="51" customWidth="1"/>
    <col min="15624" max="15867" width="9.140625" style="51"/>
    <col min="15868" max="15868" width="18.42578125" style="51" customWidth="1"/>
    <col min="15869" max="15869" width="2.42578125" style="51" customWidth="1"/>
    <col min="15870" max="15873" width="11" style="51" customWidth="1"/>
    <col min="15874" max="15874" width="2.42578125" style="51" customWidth="1"/>
    <col min="15875" max="15875" width="13.42578125" style="51" customWidth="1"/>
    <col min="15876" max="15876" width="18.42578125" style="51" customWidth="1"/>
    <col min="15877" max="15879" width="9.140625" style="51" customWidth="1"/>
    <col min="15880" max="16123" width="9.140625" style="51"/>
    <col min="16124" max="16124" width="18.42578125" style="51" customWidth="1"/>
    <col min="16125" max="16125" width="2.42578125" style="51" customWidth="1"/>
    <col min="16126" max="16129" width="11" style="51" customWidth="1"/>
    <col min="16130" max="16130" width="2.42578125" style="51" customWidth="1"/>
    <col min="16131" max="16131" width="13.42578125" style="51" customWidth="1"/>
    <col min="16132" max="16132" width="18.42578125" style="51" customWidth="1"/>
    <col min="16133" max="16135" width="9.140625" style="51" customWidth="1"/>
    <col min="16136" max="16384" width="9.140625" style="51"/>
  </cols>
  <sheetData>
    <row r="1" spans="1:8" s="68" customFormat="1" ht="22.5" customHeight="1" x14ac:dyDescent="0.25">
      <c r="A1" s="29" t="s">
        <v>615</v>
      </c>
      <c r="B1" s="30"/>
      <c r="C1" s="30"/>
      <c r="D1" s="30"/>
      <c r="E1" s="30"/>
      <c r="F1" s="64"/>
      <c r="G1" s="30"/>
      <c r="H1" s="30"/>
    </row>
    <row r="2" spans="1:8" s="135" customFormat="1" ht="16.5" x14ac:dyDescent="0.25">
      <c r="A2" s="134" t="s">
        <v>527</v>
      </c>
      <c r="B2" s="134"/>
      <c r="C2" s="134"/>
      <c r="D2" s="134"/>
      <c r="E2" s="134"/>
      <c r="F2" s="166"/>
      <c r="G2" s="134"/>
      <c r="H2" s="134"/>
    </row>
    <row r="3" spans="1:8" s="121" customFormat="1" ht="38.25" x14ac:dyDescent="0.25">
      <c r="A3" s="118"/>
      <c r="B3" s="118"/>
      <c r="C3" s="119" t="s">
        <v>578</v>
      </c>
      <c r="D3" s="119" t="s">
        <v>579</v>
      </c>
      <c r="E3" s="119" t="s">
        <v>528</v>
      </c>
      <c r="F3" s="167" t="s">
        <v>529</v>
      </c>
      <c r="G3" s="119"/>
      <c r="H3" s="120" t="s">
        <v>580</v>
      </c>
    </row>
    <row r="4" spans="1:8" s="16" customFormat="1" x14ac:dyDescent="0.25">
      <c r="A4" s="1" t="s">
        <v>31</v>
      </c>
      <c r="B4" s="122"/>
      <c r="C4" s="136">
        <v>474.42238000000003</v>
      </c>
      <c r="D4" s="40">
        <v>350.14972000000012</v>
      </c>
      <c r="E4" s="40">
        <f>D4-C4</f>
        <v>-124.27265999999992</v>
      </c>
      <c r="F4" s="169">
        <f>D4/C4</f>
        <v>0.73805481098931314</v>
      </c>
      <c r="G4" s="122"/>
      <c r="H4" s="138">
        <v>338.69274999999999</v>
      </c>
    </row>
    <row r="5" spans="1:8" s="16" customFormat="1" x14ac:dyDescent="0.25">
      <c r="A5" s="2" t="s">
        <v>32</v>
      </c>
      <c r="C5" s="136">
        <v>947.67349999999999</v>
      </c>
      <c r="D5" s="40">
        <v>806.32534999999996</v>
      </c>
      <c r="E5" s="40">
        <f t="shared" ref="E5:E68" si="0">D5-C5</f>
        <v>-141.34815000000003</v>
      </c>
      <c r="F5" s="169">
        <f t="shared" ref="F5:F68" si="1">D5/C5</f>
        <v>0.85084720634269073</v>
      </c>
      <c r="H5" s="138">
        <v>-98.843190000000007</v>
      </c>
    </row>
    <row r="6" spans="1:8" s="16" customFormat="1" x14ac:dyDescent="0.25">
      <c r="A6" s="2" t="s">
        <v>33</v>
      </c>
      <c r="C6" s="136">
        <v>406.59003999999999</v>
      </c>
      <c r="D6" s="40">
        <v>385.76145000000002</v>
      </c>
      <c r="E6" s="40">
        <f t="shared" si="0"/>
        <v>-20.828589999999963</v>
      </c>
      <c r="F6" s="169">
        <f t="shared" si="1"/>
        <v>0.94877250313362338</v>
      </c>
      <c r="H6" s="138">
        <v>-135.48345999999998</v>
      </c>
    </row>
    <row r="7" spans="1:8" s="16" customFormat="1" x14ac:dyDescent="0.25">
      <c r="A7" s="2" t="s">
        <v>34</v>
      </c>
      <c r="C7" s="136">
        <v>130.07756000000001</v>
      </c>
      <c r="D7" s="40">
        <v>99.6875</v>
      </c>
      <c r="E7" s="40">
        <f t="shared" si="0"/>
        <v>-30.390060000000005</v>
      </c>
      <c r="F7" s="169">
        <f t="shared" si="1"/>
        <v>0.76636969512650754</v>
      </c>
      <c r="H7" s="138">
        <v>-60.967129999999997</v>
      </c>
    </row>
    <row r="8" spans="1:8" s="16" customFormat="1" x14ac:dyDescent="0.25">
      <c r="A8" s="2" t="s">
        <v>35</v>
      </c>
      <c r="C8" s="136">
        <v>871.21163000000001</v>
      </c>
      <c r="D8" s="40">
        <v>780.17094999999995</v>
      </c>
      <c r="E8" s="40">
        <f t="shared" si="0"/>
        <v>-91.040680000000066</v>
      </c>
      <c r="F8" s="169">
        <f t="shared" si="1"/>
        <v>0.89550107360251829</v>
      </c>
      <c r="H8" s="138">
        <v>151.42401000000001</v>
      </c>
    </row>
    <row r="9" spans="1:8" s="16" customFormat="1" x14ac:dyDescent="0.25">
      <c r="A9" s="2" t="s">
        <v>36</v>
      </c>
      <c r="C9" s="136">
        <v>389.62920999999994</v>
      </c>
      <c r="D9" s="40">
        <v>227.96569999999994</v>
      </c>
      <c r="E9" s="40">
        <f t="shared" si="0"/>
        <v>-161.66351</v>
      </c>
      <c r="F9" s="169">
        <f t="shared" si="1"/>
        <v>0.58508370047512603</v>
      </c>
      <c r="H9" s="138">
        <v>-107.63385000000001</v>
      </c>
    </row>
    <row r="10" spans="1:8" s="16" customFormat="1" x14ac:dyDescent="0.25">
      <c r="A10" s="2" t="s">
        <v>37</v>
      </c>
      <c r="C10" s="136">
        <v>157.36740000000003</v>
      </c>
      <c r="D10" s="40">
        <v>135.6508</v>
      </c>
      <c r="E10" s="40">
        <f t="shared" si="0"/>
        <v>-21.716600000000028</v>
      </c>
      <c r="F10" s="169">
        <f t="shared" si="1"/>
        <v>0.86200064308109547</v>
      </c>
      <c r="H10" s="138">
        <v>-127.53227000000001</v>
      </c>
    </row>
    <row r="11" spans="1:8" s="16" customFormat="1" x14ac:dyDescent="0.25">
      <c r="A11" s="2" t="s">
        <v>38</v>
      </c>
      <c r="C11" s="136">
        <v>145.91379999999998</v>
      </c>
      <c r="D11" s="40">
        <v>138.74340000000001</v>
      </c>
      <c r="E11" s="40">
        <f t="shared" si="0"/>
        <v>-7.1703999999999724</v>
      </c>
      <c r="F11" s="169">
        <f t="shared" si="1"/>
        <v>0.95085865764581567</v>
      </c>
      <c r="H11" s="138">
        <v>11.09009</v>
      </c>
    </row>
    <row r="12" spans="1:8" s="16" customFormat="1" x14ac:dyDescent="0.25">
      <c r="A12" s="2" t="s">
        <v>39</v>
      </c>
      <c r="C12" s="136">
        <v>273.65770000000003</v>
      </c>
      <c r="D12" s="40">
        <v>271.32174999999995</v>
      </c>
      <c r="E12" s="40">
        <f t="shared" si="0"/>
        <v>-2.3359500000000821</v>
      </c>
      <c r="F12" s="169">
        <f t="shared" si="1"/>
        <v>0.99146397123121299</v>
      </c>
      <c r="H12" s="138">
        <v>-40.696150000000003</v>
      </c>
    </row>
    <row r="13" spans="1:8" s="16" customFormat="1" x14ac:dyDescent="0.25">
      <c r="A13" s="2" t="s">
        <v>40</v>
      </c>
      <c r="C13" s="136">
        <v>177.05624</v>
      </c>
      <c r="D13" s="40">
        <v>123.57647</v>
      </c>
      <c r="E13" s="40">
        <f t="shared" si="0"/>
        <v>-53.479770000000002</v>
      </c>
      <c r="F13" s="169">
        <f t="shared" si="1"/>
        <v>0.69795038006003063</v>
      </c>
      <c r="H13" s="138">
        <v>282.57448999999997</v>
      </c>
    </row>
    <row r="14" spans="1:8" s="16" customFormat="1" x14ac:dyDescent="0.25">
      <c r="A14" s="2" t="s">
        <v>41</v>
      </c>
      <c r="C14" s="136">
        <v>24.133580000000002</v>
      </c>
      <c r="D14" s="40">
        <v>36.840000000000003</v>
      </c>
      <c r="E14" s="40">
        <f t="shared" si="0"/>
        <v>12.706420000000001</v>
      </c>
      <c r="F14" s="169">
        <f t="shared" si="1"/>
        <v>1.5265037346303367</v>
      </c>
      <c r="H14" s="138">
        <v>-11.55613</v>
      </c>
    </row>
    <row r="15" spans="1:8" s="16" customFormat="1" x14ac:dyDescent="0.25">
      <c r="A15" s="2" t="s">
        <v>42</v>
      </c>
      <c r="C15" s="136">
        <v>1099.0445</v>
      </c>
      <c r="D15" s="40">
        <v>1034.1895500000001</v>
      </c>
      <c r="E15" s="40">
        <f t="shared" si="0"/>
        <v>-64.854949999999917</v>
      </c>
      <c r="F15" s="169">
        <f t="shared" si="1"/>
        <v>0.94098969604961413</v>
      </c>
      <c r="H15" s="138">
        <v>-39.339949999999995</v>
      </c>
    </row>
    <row r="16" spans="1:8" s="16" customFormat="1" x14ac:dyDescent="0.25">
      <c r="A16" s="2" t="s">
        <v>43</v>
      </c>
      <c r="C16" s="136">
        <v>325.22679000000005</v>
      </c>
      <c r="D16" s="40">
        <v>299.09379999999999</v>
      </c>
      <c r="E16" s="40">
        <f t="shared" si="0"/>
        <v>-26.132990000000063</v>
      </c>
      <c r="F16" s="169">
        <f t="shared" si="1"/>
        <v>0.91964687164916503</v>
      </c>
      <c r="H16" s="138">
        <v>75.968140000000005</v>
      </c>
    </row>
    <row r="17" spans="1:8" s="16" customFormat="1" x14ac:dyDescent="0.25">
      <c r="A17" s="2" t="s">
        <v>44</v>
      </c>
      <c r="C17" s="136">
        <v>500.56786999999997</v>
      </c>
      <c r="D17" s="40">
        <v>459.31434999999999</v>
      </c>
      <c r="E17" s="40">
        <f t="shared" si="0"/>
        <v>-41.25351999999998</v>
      </c>
      <c r="F17" s="169">
        <f t="shared" si="1"/>
        <v>0.91758656024007301</v>
      </c>
      <c r="H17" s="138">
        <v>-5.4209499999999995</v>
      </c>
    </row>
    <row r="18" spans="1:8" s="16" customFormat="1" x14ac:dyDescent="0.25">
      <c r="A18" s="2" t="s">
        <v>45</v>
      </c>
      <c r="C18" s="136">
        <v>88.009410000000003</v>
      </c>
      <c r="D18" s="40">
        <v>88.375</v>
      </c>
      <c r="E18" s="40">
        <f t="shared" si="0"/>
        <v>0.36558999999999742</v>
      </c>
      <c r="F18" s="169">
        <f t="shared" si="1"/>
        <v>1.0041539876247323</v>
      </c>
      <c r="H18" s="138">
        <v>2.75109</v>
      </c>
    </row>
    <row r="19" spans="1:8" s="16" customFormat="1" x14ac:dyDescent="0.25">
      <c r="A19" s="2" t="s">
        <v>48</v>
      </c>
      <c r="C19" s="136">
        <v>1171.4684499999996</v>
      </c>
      <c r="D19" s="40">
        <v>1009.3160500000001</v>
      </c>
      <c r="E19" s="40">
        <f t="shared" si="0"/>
        <v>-162.15239999999949</v>
      </c>
      <c r="F19" s="169">
        <f t="shared" si="1"/>
        <v>0.86158193163460817</v>
      </c>
      <c r="H19" s="138">
        <v>3893.4157500000001</v>
      </c>
    </row>
    <row r="20" spans="1:8" s="16" customFormat="1" x14ac:dyDescent="0.25">
      <c r="A20" s="2" t="s">
        <v>49</v>
      </c>
      <c r="C20" s="136">
        <v>174.64250000000001</v>
      </c>
      <c r="D20" s="40">
        <v>177.23724999999996</v>
      </c>
      <c r="E20" s="40">
        <f t="shared" si="0"/>
        <v>2.5947499999999479</v>
      </c>
      <c r="F20" s="169">
        <f t="shared" si="1"/>
        <v>1.0148574945961031</v>
      </c>
      <c r="H20" s="138">
        <v>-26.80883</v>
      </c>
    </row>
    <row r="21" spans="1:8" s="16" customFormat="1" x14ac:dyDescent="0.25">
      <c r="A21" s="2" t="s">
        <v>50</v>
      </c>
      <c r="C21" s="136">
        <v>315.72629000000006</v>
      </c>
      <c r="D21" s="40">
        <v>296.87209999999999</v>
      </c>
      <c r="E21" s="40">
        <f t="shared" si="0"/>
        <v>-18.854190000000074</v>
      </c>
      <c r="F21" s="169">
        <f t="shared" si="1"/>
        <v>0.94028311674647025</v>
      </c>
      <c r="H21" s="138">
        <v>-104.10113</v>
      </c>
    </row>
    <row r="22" spans="1:8" s="16" customFormat="1" x14ac:dyDescent="0.25">
      <c r="A22" s="2" t="s">
        <v>51</v>
      </c>
      <c r="C22" s="136">
        <v>352.08244999999994</v>
      </c>
      <c r="D22" s="40">
        <v>297.91289</v>
      </c>
      <c r="E22" s="40">
        <f t="shared" si="0"/>
        <v>-54.169559999999933</v>
      </c>
      <c r="F22" s="169">
        <f t="shared" si="1"/>
        <v>0.8461452423998983</v>
      </c>
      <c r="H22" s="138">
        <v>-193.09859</v>
      </c>
    </row>
    <row r="23" spans="1:8" s="16" customFormat="1" x14ac:dyDescent="0.25">
      <c r="A23" s="2" t="s">
        <v>52</v>
      </c>
      <c r="C23" s="136">
        <v>632.49671999999998</v>
      </c>
      <c r="D23" s="40">
        <v>512.57484999999997</v>
      </c>
      <c r="E23" s="40">
        <f t="shared" si="0"/>
        <v>-119.92187000000001</v>
      </c>
      <c r="F23" s="169">
        <f t="shared" si="1"/>
        <v>0.81039922230742945</v>
      </c>
      <c r="H23" s="138">
        <v>607.87841000000003</v>
      </c>
    </row>
    <row r="24" spans="1:8" s="16" customFormat="1" x14ac:dyDescent="0.25">
      <c r="A24" s="2" t="s">
        <v>53</v>
      </c>
      <c r="C24" s="136">
        <v>1925.2641100000001</v>
      </c>
      <c r="D24" s="40">
        <v>1628.76566</v>
      </c>
      <c r="E24" s="40">
        <f t="shared" si="0"/>
        <v>-296.49845000000005</v>
      </c>
      <c r="F24" s="169">
        <f t="shared" si="1"/>
        <v>0.84599596052304737</v>
      </c>
      <c r="H24" s="138">
        <v>-181.10244</v>
      </c>
    </row>
    <row r="25" spans="1:8" s="16" customFormat="1" x14ac:dyDescent="0.25">
      <c r="A25" s="2" t="s">
        <v>54</v>
      </c>
      <c r="C25" s="136">
        <v>729.51302999999996</v>
      </c>
      <c r="D25" s="40">
        <v>489.41996999999992</v>
      </c>
      <c r="E25" s="40">
        <f t="shared" si="0"/>
        <v>-240.09306000000004</v>
      </c>
      <c r="F25" s="169">
        <f t="shared" si="1"/>
        <v>0.67088585107246124</v>
      </c>
      <c r="H25" s="138">
        <v>-112.58517000000001</v>
      </c>
    </row>
    <row r="26" spans="1:8" s="16" customFormat="1" x14ac:dyDescent="0.25">
      <c r="A26" s="2" t="s">
        <v>55</v>
      </c>
      <c r="C26" s="136">
        <v>657.26130999999998</v>
      </c>
      <c r="D26" s="40">
        <v>456.87020000000007</v>
      </c>
      <c r="E26" s="40">
        <f t="shared" si="0"/>
        <v>-200.39110999999991</v>
      </c>
      <c r="F26" s="169">
        <f t="shared" si="1"/>
        <v>0.69511196391584362</v>
      </c>
      <c r="H26" s="138">
        <v>-308.26715999999999</v>
      </c>
    </row>
    <row r="27" spans="1:8" s="16" customFormat="1" x14ac:dyDescent="0.25">
      <c r="A27" s="2" t="s">
        <v>56</v>
      </c>
      <c r="C27" s="136">
        <v>550.26247000000001</v>
      </c>
      <c r="D27" s="40">
        <v>550.12604999999996</v>
      </c>
      <c r="E27" s="40">
        <f t="shared" si="0"/>
        <v>-0.13642000000004373</v>
      </c>
      <c r="F27" s="169">
        <f t="shared" si="1"/>
        <v>0.99975208194736587</v>
      </c>
      <c r="H27" s="138">
        <v>-14.116290000000001</v>
      </c>
    </row>
    <row r="28" spans="1:8" s="16" customFormat="1" x14ac:dyDescent="0.25">
      <c r="A28" s="2" t="s">
        <v>57</v>
      </c>
      <c r="C28" s="136">
        <v>33.165900000000008</v>
      </c>
      <c r="D28" s="40">
        <v>60.464269999999999</v>
      </c>
      <c r="E28" s="40">
        <f t="shared" si="0"/>
        <v>27.298369999999991</v>
      </c>
      <c r="F28" s="169">
        <f t="shared" si="1"/>
        <v>1.8230854582568237</v>
      </c>
      <c r="H28" s="138">
        <v>80.700720000000004</v>
      </c>
    </row>
    <row r="29" spans="1:8" s="16" customFormat="1" x14ac:dyDescent="0.25">
      <c r="A29" s="2" t="s">
        <v>58</v>
      </c>
      <c r="C29" s="136">
        <v>351.11470000000003</v>
      </c>
      <c r="D29" s="40">
        <v>284.41584999999998</v>
      </c>
      <c r="E29" s="40">
        <f t="shared" si="0"/>
        <v>-66.69885000000005</v>
      </c>
      <c r="F29" s="169">
        <f t="shared" si="1"/>
        <v>0.81003686259789165</v>
      </c>
      <c r="H29" s="138">
        <v>211.03755999999998</v>
      </c>
    </row>
    <row r="30" spans="1:8" s="16" customFormat="1" x14ac:dyDescent="0.25">
      <c r="A30" s="3" t="s">
        <v>59</v>
      </c>
      <c r="C30" s="136">
        <v>473.20264999999995</v>
      </c>
      <c r="D30" s="40">
        <v>487.92700000000002</v>
      </c>
      <c r="E30" s="40">
        <f t="shared" si="0"/>
        <v>14.724350000000072</v>
      </c>
      <c r="F30" s="169">
        <f t="shared" si="1"/>
        <v>1.0311163726576764</v>
      </c>
      <c r="H30" s="138">
        <v>380.93165000000005</v>
      </c>
    </row>
    <row r="31" spans="1:8" s="16" customFormat="1" x14ac:dyDescent="0.25">
      <c r="A31" s="2" t="s">
        <v>60</v>
      </c>
      <c r="C31" s="136">
        <v>1727.5675300000003</v>
      </c>
      <c r="D31" s="40">
        <v>1970.0816600000003</v>
      </c>
      <c r="E31" s="40">
        <f t="shared" si="0"/>
        <v>242.51413000000002</v>
      </c>
      <c r="F31" s="169">
        <f t="shared" si="1"/>
        <v>1.1403789581527966</v>
      </c>
      <c r="H31" s="138">
        <v>997.22453000000007</v>
      </c>
    </row>
    <row r="32" spans="1:8" s="16" customFormat="1" x14ac:dyDescent="0.25">
      <c r="A32" s="2" t="s">
        <v>61</v>
      </c>
      <c r="C32" s="136">
        <v>423.81439</v>
      </c>
      <c r="D32" s="40">
        <v>464.76575000000003</v>
      </c>
      <c r="E32" s="40">
        <f t="shared" si="0"/>
        <v>40.951360000000022</v>
      </c>
      <c r="F32" s="169">
        <f t="shared" si="1"/>
        <v>1.0966256950359803</v>
      </c>
      <c r="H32" s="138">
        <v>199.68167000000003</v>
      </c>
    </row>
    <row r="33" spans="1:8" s="16" customFormat="1" x14ac:dyDescent="0.25">
      <c r="A33" s="2" t="s">
        <v>62</v>
      </c>
      <c r="C33" s="136">
        <v>634.20341000000008</v>
      </c>
      <c r="D33" s="40">
        <v>709.46300000000008</v>
      </c>
      <c r="E33" s="40">
        <f t="shared" si="0"/>
        <v>75.259590000000003</v>
      </c>
      <c r="F33" s="169">
        <f t="shared" si="1"/>
        <v>1.1186679049865089</v>
      </c>
      <c r="H33" s="138">
        <v>1768.7403100000001</v>
      </c>
    </row>
    <row r="34" spans="1:8" s="16" customFormat="1" x14ac:dyDescent="0.25">
      <c r="A34" s="2" t="s">
        <v>63</v>
      </c>
      <c r="C34" s="136">
        <v>168.46060000000003</v>
      </c>
      <c r="D34" s="40">
        <v>256.18504999999999</v>
      </c>
      <c r="E34" s="40">
        <f t="shared" si="0"/>
        <v>87.724449999999962</v>
      </c>
      <c r="F34" s="169">
        <f t="shared" si="1"/>
        <v>1.5207416452274298</v>
      </c>
      <c r="H34" s="138">
        <v>405.22681</v>
      </c>
    </row>
    <row r="35" spans="1:8" s="16" customFormat="1" x14ac:dyDescent="0.25">
      <c r="A35" s="2" t="s">
        <v>64</v>
      </c>
      <c r="C35" s="136">
        <v>105.12535</v>
      </c>
      <c r="D35" s="40">
        <v>106.68260000000001</v>
      </c>
      <c r="E35" s="40">
        <f t="shared" si="0"/>
        <v>1.5572500000000105</v>
      </c>
      <c r="F35" s="169">
        <f t="shared" si="1"/>
        <v>1.0148132681603439</v>
      </c>
      <c r="H35" s="138">
        <v>45.410419999999995</v>
      </c>
    </row>
    <row r="36" spans="1:8" s="16" customFormat="1" x14ac:dyDescent="0.25">
      <c r="A36" s="2" t="s">
        <v>65</v>
      </c>
      <c r="C36" s="136">
        <v>31.824450000000002</v>
      </c>
      <c r="D36" s="40">
        <v>55.96</v>
      </c>
      <c r="E36" s="40">
        <f t="shared" si="0"/>
        <v>24.135549999999999</v>
      </c>
      <c r="F36" s="169">
        <f t="shared" si="1"/>
        <v>1.7583964530416079</v>
      </c>
      <c r="H36" s="138">
        <v>321.10790999999995</v>
      </c>
    </row>
    <row r="37" spans="1:8" s="16" customFormat="1" x14ac:dyDescent="0.25">
      <c r="A37" s="2" t="s">
        <v>66</v>
      </c>
      <c r="C37" s="136">
        <v>753.29772000000003</v>
      </c>
      <c r="D37" s="40">
        <v>737.12630000000001</v>
      </c>
      <c r="E37" s="40">
        <f t="shared" si="0"/>
        <v>-16.171420000000012</v>
      </c>
      <c r="F37" s="169">
        <f t="shared" si="1"/>
        <v>0.97853249841244705</v>
      </c>
      <c r="H37" s="138">
        <v>389.91848999999996</v>
      </c>
    </row>
    <row r="38" spans="1:8" s="16" customFormat="1" x14ac:dyDescent="0.25">
      <c r="A38" s="2" t="s">
        <v>67</v>
      </c>
      <c r="C38" s="136">
        <v>2208.9737799999998</v>
      </c>
      <c r="D38" s="40">
        <v>2151.9800100000002</v>
      </c>
      <c r="E38" s="40">
        <f t="shared" si="0"/>
        <v>-56.993769999999586</v>
      </c>
      <c r="F38" s="169">
        <f t="shared" si="1"/>
        <v>0.9741989830227864</v>
      </c>
      <c r="H38" s="138">
        <v>1702.7846599999998</v>
      </c>
    </row>
    <row r="39" spans="1:8" s="16" customFormat="1" x14ac:dyDescent="0.25">
      <c r="A39" s="2" t="s">
        <v>68</v>
      </c>
      <c r="C39" s="136">
        <v>317.94665999999995</v>
      </c>
      <c r="D39" s="40">
        <v>275.39445000000001</v>
      </c>
      <c r="E39" s="40">
        <f t="shared" si="0"/>
        <v>-42.552209999999945</v>
      </c>
      <c r="F39" s="169">
        <f t="shared" si="1"/>
        <v>0.86616557003618166</v>
      </c>
      <c r="H39" s="138">
        <v>352.26749000000001</v>
      </c>
    </row>
    <row r="40" spans="1:8" s="16" customFormat="1" x14ac:dyDescent="0.25">
      <c r="A40" s="2" t="s">
        <v>69</v>
      </c>
      <c r="C40" s="136">
        <v>813.01414999999997</v>
      </c>
      <c r="D40" s="40">
        <v>861.40324999999996</v>
      </c>
      <c r="E40" s="40">
        <f t="shared" si="0"/>
        <v>48.389099999999985</v>
      </c>
      <c r="F40" s="169">
        <f t="shared" si="1"/>
        <v>1.0595181522978412</v>
      </c>
      <c r="H40" s="138">
        <v>402.74151000000001</v>
      </c>
    </row>
    <row r="41" spans="1:8" s="16" customFormat="1" x14ac:dyDescent="0.25">
      <c r="A41" s="2" t="s">
        <v>70</v>
      </c>
      <c r="C41" s="136">
        <v>286.61389000000003</v>
      </c>
      <c r="D41" s="40">
        <v>304.14529999999996</v>
      </c>
      <c r="E41" s="40">
        <f t="shared" si="0"/>
        <v>17.531409999999937</v>
      </c>
      <c r="F41" s="169">
        <f t="shared" si="1"/>
        <v>1.0611673425876182</v>
      </c>
      <c r="H41" s="138">
        <v>26.29787</v>
      </c>
    </row>
    <row r="42" spans="1:8" s="16" customFormat="1" x14ac:dyDescent="0.25">
      <c r="A42" s="2" t="s">
        <v>71</v>
      </c>
      <c r="C42" s="136">
        <v>37.087470000000003</v>
      </c>
      <c r="D42" s="40">
        <v>34.639600000000002</v>
      </c>
      <c r="E42" s="40">
        <f t="shared" si="0"/>
        <v>-2.4478700000000018</v>
      </c>
      <c r="F42" s="169">
        <f t="shared" si="1"/>
        <v>0.9339973851006822</v>
      </c>
      <c r="H42" s="138">
        <v>68.074749999999995</v>
      </c>
    </row>
    <row r="43" spans="1:8" s="16" customFormat="1" x14ac:dyDescent="0.25">
      <c r="A43" s="2" t="s">
        <v>72</v>
      </c>
      <c r="C43" s="136">
        <v>472.01021999999995</v>
      </c>
      <c r="D43" s="40">
        <v>591.54475000000002</v>
      </c>
      <c r="E43" s="40">
        <f t="shared" si="0"/>
        <v>119.53453000000007</v>
      </c>
      <c r="F43" s="169">
        <f t="shared" si="1"/>
        <v>1.2532456394694167</v>
      </c>
      <c r="H43" s="138">
        <v>360.26916999999997</v>
      </c>
    </row>
    <row r="44" spans="1:8" s="16" customFormat="1" x14ac:dyDescent="0.25">
      <c r="A44" s="2" t="s">
        <v>73</v>
      </c>
      <c r="C44" s="136">
        <v>12.009900000000002</v>
      </c>
      <c r="D44" s="40">
        <v>16.260000000000002</v>
      </c>
      <c r="E44" s="40">
        <f t="shared" si="0"/>
        <v>4.2500999999999998</v>
      </c>
      <c r="F44" s="169">
        <f t="shared" si="1"/>
        <v>1.3538830464866485</v>
      </c>
      <c r="H44" s="138">
        <v>94.735429999999994</v>
      </c>
    </row>
    <row r="45" spans="1:8" s="16" customFormat="1" x14ac:dyDescent="0.25">
      <c r="A45" s="2" t="s">
        <v>530</v>
      </c>
      <c r="C45" s="136">
        <v>165.65644999999998</v>
      </c>
      <c r="D45" s="40">
        <v>130.95145000000002</v>
      </c>
      <c r="E45" s="40">
        <f t="shared" si="0"/>
        <v>-34.704999999999956</v>
      </c>
      <c r="F45" s="169">
        <f t="shared" si="1"/>
        <v>0.79050015861139145</v>
      </c>
      <c r="H45" s="138">
        <v>112.19938999999999</v>
      </c>
    </row>
    <row r="46" spans="1:8" s="16" customFormat="1" x14ac:dyDescent="0.25">
      <c r="A46" s="1" t="s">
        <v>74</v>
      </c>
      <c r="C46" s="136">
        <v>263.38017000000002</v>
      </c>
      <c r="D46" s="40">
        <v>240.67410999999998</v>
      </c>
      <c r="E46" s="40">
        <f t="shared" si="0"/>
        <v>-22.706060000000036</v>
      </c>
      <c r="F46" s="169">
        <f t="shared" si="1"/>
        <v>0.91378978910978748</v>
      </c>
      <c r="H46" s="138">
        <v>220.53023999999999</v>
      </c>
    </row>
    <row r="47" spans="1:8" s="16" customFormat="1" x14ac:dyDescent="0.25">
      <c r="A47" s="2" t="s">
        <v>75</v>
      </c>
      <c r="C47" s="136">
        <v>820.86590000000001</v>
      </c>
      <c r="D47" s="40">
        <v>639.30354999999997</v>
      </c>
      <c r="E47" s="40">
        <f t="shared" si="0"/>
        <v>-181.56235000000004</v>
      </c>
      <c r="F47" s="169">
        <f t="shared" si="1"/>
        <v>0.77881606484079791</v>
      </c>
      <c r="H47" s="138">
        <v>242.13575</v>
      </c>
    </row>
    <row r="48" spans="1:8" s="16" customFormat="1" x14ac:dyDescent="0.25">
      <c r="A48" s="2" t="s">
        <v>76</v>
      </c>
      <c r="C48" s="136">
        <v>254.74400000000003</v>
      </c>
      <c r="D48" s="40">
        <v>262.17790000000002</v>
      </c>
      <c r="E48" s="40">
        <f t="shared" si="0"/>
        <v>7.4338999999999942</v>
      </c>
      <c r="F48" s="169">
        <f t="shared" si="1"/>
        <v>1.0291818453035204</v>
      </c>
      <c r="H48" s="138">
        <v>6.5804399999999994</v>
      </c>
    </row>
    <row r="49" spans="1:8" s="16" customFormat="1" x14ac:dyDescent="0.25">
      <c r="A49" s="2" t="s">
        <v>77</v>
      </c>
      <c r="C49" s="136">
        <v>326.62094999999999</v>
      </c>
      <c r="D49" s="40">
        <v>292.75450000000001</v>
      </c>
      <c r="E49" s="40">
        <f t="shared" si="0"/>
        <v>-33.866449999999986</v>
      </c>
      <c r="F49" s="169">
        <f t="shared" si="1"/>
        <v>0.89631268294333233</v>
      </c>
      <c r="H49" s="138">
        <v>65.588899999999995</v>
      </c>
    </row>
    <row r="50" spans="1:8" s="16" customFormat="1" x14ac:dyDescent="0.25">
      <c r="A50" s="2" t="s">
        <v>78</v>
      </c>
      <c r="C50" s="136">
        <v>369.15107999999998</v>
      </c>
      <c r="D50" s="40">
        <v>351.81430000000006</v>
      </c>
      <c r="E50" s="40">
        <f t="shared" si="0"/>
        <v>-17.336779999999919</v>
      </c>
      <c r="F50" s="169">
        <f t="shared" si="1"/>
        <v>0.9530360848463455</v>
      </c>
      <c r="H50" s="138">
        <v>286.05858000000001</v>
      </c>
    </row>
    <row r="51" spans="1:8" s="16" customFormat="1" x14ac:dyDescent="0.25">
      <c r="A51" s="2" t="s">
        <v>79</v>
      </c>
      <c r="B51" s="47"/>
      <c r="C51" s="136">
        <v>218.22428999999997</v>
      </c>
      <c r="D51" s="40">
        <v>194.85915999999997</v>
      </c>
      <c r="E51" s="40">
        <f t="shared" si="0"/>
        <v>-23.365129999999994</v>
      </c>
      <c r="F51" s="169">
        <f t="shared" si="1"/>
        <v>0.89293066321810466</v>
      </c>
      <c r="G51" s="47"/>
      <c r="H51" s="138">
        <v>371.22672999999998</v>
      </c>
    </row>
    <row r="52" spans="1:8" s="16" customFormat="1" x14ac:dyDescent="0.25">
      <c r="A52" s="2" t="s">
        <v>80</v>
      </c>
      <c r="B52" s="47"/>
      <c r="C52" s="136">
        <v>430.01188999999999</v>
      </c>
      <c r="D52" s="40">
        <v>350.44005000000004</v>
      </c>
      <c r="E52" s="40">
        <f t="shared" si="0"/>
        <v>-79.571839999999952</v>
      </c>
      <c r="F52" s="169">
        <f t="shared" si="1"/>
        <v>0.81495432603038032</v>
      </c>
      <c r="G52" s="47"/>
      <c r="H52" s="138">
        <v>-134.78878</v>
      </c>
    </row>
    <row r="53" spans="1:8" s="16" customFormat="1" x14ac:dyDescent="0.25">
      <c r="A53" s="2" t="s">
        <v>81</v>
      </c>
      <c r="B53" s="47"/>
      <c r="C53" s="136">
        <v>68.564109999999999</v>
      </c>
      <c r="D53" s="40">
        <v>86.694050000000004</v>
      </c>
      <c r="E53" s="40">
        <f t="shared" si="0"/>
        <v>18.129940000000005</v>
      </c>
      <c r="F53" s="169">
        <f t="shared" si="1"/>
        <v>1.264423179998982</v>
      </c>
      <c r="G53" s="47"/>
      <c r="H53" s="138">
        <v>-77.558070000000001</v>
      </c>
    </row>
    <row r="54" spans="1:8" s="16" customFormat="1" x14ac:dyDescent="0.25">
      <c r="A54" s="2" t="s">
        <v>82</v>
      </c>
      <c r="B54" s="47"/>
      <c r="C54" s="136">
        <v>809.17052000000001</v>
      </c>
      <c r="D54" s="40">
        <v>849.84456</v>
      </c>
      <c r="E54" s="40">
        <f t="shared" si="0"/>
        <v>40.674039999999991</v>
      </c>
      <c r="F54" s="169">
        <f t="shared" si="1"/>
        <v>1.0502663394113765</v>
      </c>
      <c r="G54" s="47"/>
      <c r="H54" s="138">
        <v>1782.0188899999998</v>
      </c>
    </row>
    <row r="55" spans="1:8" s="16" customFormat="1" x14ac:dyDescent="0.25">
      <c r="A55" s="2" t="s">
        <v>83</v>
      </c>
      <c r="B55" s="47"/>
      <c r="C55" s="136">
        <v>326.05351999999999</v>
      </c>
      <c r="D55" s="40">
        <v>422.83547999999996</v>
      </c>
      <c r="E55" s="40">
        <f t="shared" si="0"/>
        <v>96.78195999999997</v>
      </c>
      <c r="F55" s="169">
        <f t="shared" si="1"/>
        <v>1.2968284470598568</v>
      </c>
      <c r="G55" s="47"/>
      <c r="H55" s="138">
        <v>709.26135999999997</v>
      </c>
    </row>
    <row r="56" spans="1:8" s="16" customFormat="1" x14ac:dyDescent="0.25">
      <c r="A56" s="2" t="s">
        <v>84</v>
      </c>
      <c r="B56" s="47"/>
      <c r="C56" s="136">
        <v>298.35149999999999</v>
      </c>
      <c r="D56" s="40">
        <v>214.82772999999997</v>
      </c>
      <c r="E56" s="40">
        <f t="shared" si="0"/>
        <v>-83.523770000000013</v>
      </c>
      <c r="F56" s="169">
        <f t="shared" si="1"/>
        <v>0.7200491031551709</v>
      </c>
      <c r="G56" s="47"/>
      <c r="H56" s="138">
        <v>95.350239999999999</v>
      </c>
    </row>
    <row r="57" spans="1:8" s="16" customFormat="1" x14ac:dyDescent="0.25">
      <c r="A57" s="2" t="s">
        <v>85</v>
      </c>
      <c r="B57" s="47"/>
      <c r="C57" s="136">
        <v>98.528449999999992</v>
      </c>
      <c r="D57" s="40">
        <v>85.079650000000001</v>
      </c>
      <c r="E57" s="40">
        <f t="shared" si="0"/>
        <v>-13.448799999999991</v>
      </c>
      <c r="F57" s="169">
        <f t="shared" si="1"/>
        <v>0.86350338404795779</v>
      </c>
      <c r="G57" s="47"/>
      <c r="H57" s="138">
        <v>-128.58655999999999</v>
      </c>
    </row>
    <row r="58" spans="1:8" s="16" customFormat="1" x14ac:dyDescent="0.25">
      <c r="A58" s="2" t="s">
        <v>86</v>
      </c>
      <c r="B58" s="47"/>
      <c r="C58" s="136">
        <v>192.60097999999999</v>
      </c>
      <c r="D58" s="40">
        <v>200.30185999999998</v>
      </c>
      <c r="E58" s="40">
        <f t="shared" si="0"/>
        <v>7.7008799999999837</v>
      </c>
      <c r="F58" s="169">
        <f t="shared" si="1"/>
        <v>1.0399835971758813</v>
      </c>
      <c r="G58" s="47"/>
      <c r="H58" s="138">
        <v>721.76706999999999</v>
      </c>
    </row>
    <row r="59" spans="1:8" s="16" customFormat="1" x14ac:dyDescent="0.25">
      <c r="A59" s="2" t="s">
        <v>87</v>
      </c>
      <c r="B59" s="47"/>
      <c r="C59" s="136">
        <v>355.40695000000005</v>
      </c>
      <c r="D59" s="40">
        <v>354.26990000000001</v>
      </c>
      <c r="E59" s="40">
        <f t="shared" si="0"/>
        <v>-1.1370500000000447</v>
      </c>
      <c r="F59" s="169">
        <f t="shared" si="1"/>
        <v>0.99680070972163026</v>
      </c>
      <c r="G59" s="47"/>
      <c r="H59" s="138">
        <v>-38.676839999999999</v>
      </c>
    </row>
    <row r="60" spans="1:8" s="16" customFormat="1" x14ac:dyDescent="0.25">
      <c r="A60" s="2" t="s">
        <v>88</v>
      </c>
      <c r="B60" s="47"/>
      <c r="C60" s="136">
        <v>359.59134999999998</v>
      </c>
      <c r="D60" s="40">
        <v>399.22640000000001</v>
      </c>
      <c r="E60" s="40">
        <f t="shared" si="0"/>
        <v>39.635050000000035</v>
      </c>
      <c r="F60" s="169">
        <f t="shared" si="1"/>
        <v>1.1102224789333783</v>
      </c>
      <c r="G60" s="47"/>
      <c r="H60" s="138">
        <v>500.44657000000001</v>
      </c>
    </row>
    <row r="61" spans="1:8" s="16" customFormat="1" x14ac:dyDescent="0.25">
      <c r="A61" s="2" t="s">
        <v>89</v>
      </c>
      <c r="B61" s="47"/>
      <c r="C61" s="136">
        <v>1281.0158999999999</v>
      </c>
      <c r="D61" s="40">
        <v>1606.7797800000001</v>
      </c>
      <c r="E61" s="40">
        <f t="shared" si="0"/>
        <v>325.7638800000002</v>
      </c>
      <c r="F61" s="169">
        <f t="shared" si="1"/>
        <v>1.2543011995401463</v>
      </c>
      <c r="G61" s="47"/>
      <c r="H61" s="138">
        <v>2329.7930799999999</v>
      </c>
    </row>
    <row r="62" spans="1:8" s="16" customFormat="1" x14ac:dyDescent="0.25">
      <c r="A62" s="2" t="s">
        <v>90</v>
      </c>
      <c r="B62" s="47"/>
      <c r="C62" s="136">
        <v>47.065150000000003</v>
      </c>
      <c r="D62" s="40">
        <v>60.765749999999997</v>
      </c>
      <c r="E62" s="40">
        <f t="shared" si="0"/>
        <v>13.700599999999994</v>
      </c>
      <c r="F62" s="169">
        <f t="shared" si="1"/>
        <v>1.291098615429888</v>
      </c>
      <c r="G62" s="47"/>
      <c r="H62" s="138">
        <v>44.789000000000001</v>
      </c>
    </row>
    <row r="63" spans="1:8" s="16" customFormat="1" x14ac:dyDescent="0.25">
      <c r="A63" s="2" t="s">
        <v>91</v>
      </c>
      <c r="B63" s="47"/>
      <c r="C63" s="136">
        <v>75.186149999999998</v>
      </c>
      <c r="D63" s="40">
        <v>106.40655000000001</v>
      </c>
      <c r="E63" s="40">
        <f t="shared" si="0"/>
        <v>31.220400000000012</v>
      </c>
      <c r="F63" s="169">
        <f t="shared" si="1"/>
        <v>1.4152413709173832</v>
      </c>
      <c r="G63" s="47"/>
      <c r="H63" s="138">
        <v>663.17806999999993</v>
      </c>
    </row>
    <row r="64" spans="1:8" s="16" customFormat="1" x14ac:dyDescent="0.25">
      <c r="A64" s="2" t="s">
        <v>92</v>
      </c>
      <c r="B64" s="47"/>
      <c r="C64" s="136">
        <v>285.56477000000001</v>
      </c>
      <c r="D64" s="40">
        <v>346.77540000000005</v>
      </c>
      <c r="E64" s="40">
        <f t="shared" si="0"/>
        <v>61.210630000000037</v>
      </c>
      <c r="F64" s="169">
        <f t="shared" si="1"/>
        <v>1.2143493750997367</v>
      </c>
      <c r="G64" s="47"/>
      <c r="H64" s="138">
        <v>99.758499999999998</v>
      </c>
    </row>
    <row r="65" spans="1:8" s="16" customFormat="1" x14ac:dyDescent="0.25">
      <c r="A65" s="2" t="s">
        <v>93</v>
      </c>
      <c r="B65" s="47"/>
      <c r="C65" s="136">
        <v>416.93880000000007</v>
      </c>
      <c r="D65" s="40">
        <v>344.95326</v>
      </c>
      <c r="E65" s="40">
        <f t="shared" si="0"/>
        <v>-71.985540000000071</v>
      </c>
      <c r="F65" s="169">
        <f t="shared" si="1"/>
        <v>0.82734746682246874</v>
      </c>
      <c r="G65" s="47"/>
      <c r="H65" s="138">
        <v>845.49331999999993</v>
      </c>
    </row>
    <row r="66" spans="1:8" s="16" customFormat="1" x14ac:dyDescent="0.25">
      <c r="A66" s="2" t="s">
        <v>94</v>
      </c>
      <c r="B66" s="47"/>
      <c r="C66" s="136">
        <v>73.578649999999996</v>
      </c>
      <c r="D66" s="40">
        <v>80.006500000000003</v>
      </c>
      <c r="E66" s="40">
        <f t="shared" si="0"/>
        <v>6.4278500000000065</v>
      </c>
      <c r="F66" s="169">
        <f t="shared" si="1"/>
        <v>1.0873602600754431</v>
      </c>
      <c r="G66" s="47"/>
      <c r="H66" s="138">
        <v>-5.2258500000000003</v>
      </c>
    </row>
    <row r="67" spans="1:8" s="16" customFormat="1" x14ac:dyDescent="0.25">
      <c r="A67" s="2" t="s">
        <v>95</v>
      </c>
      <c r="B67" s="47"/>
      <c r="C67" s="136">
        <v>453.19334999999995</v>
      </c>
      <c r="D67" s="40">
        <v>374.27290000000005</v>
      </c>
      <c r="E67" s="40">
        <f t="shared" si="0"/>
        <v>-78.920449999999903</v>
      </c>
      <c r="F67" s="169">
        <f t="shared" si="1"/>
        <v>0.82585699900495024</v>
      </c>
      <c r="G67" s="47"/>
      <c r="H67" s="138">
        <v>179.99977999999999</v>
      </c>
    </row>
    <row r="68" spans="1:8" s="16" customFormat="1" x14ac:dyDescent="0.25">
      <c r="A68" s="2" t="s">
        <v>96</v>
      </c>
      <c r="B68" s="47"/>
      <c r="C68" s="136">
        <v>329.49259000000001</v>
      </c>
      <c r="D68" s="40">
        <v>422.70885999999996</v>
      </c>
      <c r="E68" s="40">
        <f t="shared" si="0"/>
        <v>93.216269999999952</v>
      </c>
      <c r="F68" s="169">
        <f t="shared" si="1"/>
        <v>1.2829085473515502</v>
      </c>
      <c r="G68" s="47"/>
      <c r="H68" s="138">
        <v>407.77957000000004</v>
      </c>
    </row>
    <row r="69" spans="1:8" s="16" customFormat="1" x14ac:dyDescent="0.25">
      <c r="A69" s="2" t="s">
        <v>97</v>
      </c>
      <c r="B69" s="47"/>
      <c r="C69" s="136">
        <v>433.18429000000003</v>
      </c>
      <c r="D69" s="40">
        <v>343.10151000000002</v>
      </c>
      <c r="E69" s="40">
        <f t="shared" ref="E69:E81" si="2">D69-C69</f>
        <v>-90.082780000000014</v>
      </c>
      <c r="F69" s="169">
        <f t="shared" ref="F69:F82" si="3">D69/C69</f>
        <v>0.79204513626290551</v>
      </c>
      <c r="G69" s="47"/>
      <c r="H69" s="138">
        <v>-38.491610000000001</v>
      </c>
    </row>
    <row r="70" spans="1:8" s="16" customFormat="1" x14ac:dyDescent="0.25">
      <c r="A70" s="2" t="s">
        <v>98</v>
      </c>
      <c r="B70" s="47"/>
      <c r="C70" s="136">
        <v>629.16516999999999</v>
      </c>
      <c r="D70" s="40">
        <v>598.23232999999993</v>
      </c>
      <c r="E70" s="40">
        <f t="shared" si="2"/>
        <v>-30.932840000000056</v>
      </c>
      <c r="F70" s="169">
        <f t="shared" si="3"/>
        <v>0.95083510423820816</v>
      </c>
      <c r="G70" s="47"/>
      <c r="H70" s="138">
        <v>342.69932</v>
      </c>
    </row>
    <row r="71" spans="1:8" s="16" customFormat="1" x14ac:dyDescent="0.25">
      <c r="A71" s="2" t="s">
        <v>590</v>
      </c>
      <c r="B71" s="47"/>
      <c r="C71" s="136">
        <v>493.32598999999999</v>
      </c>
      <c r="D71" s="40">
        <v>498.30288999999999</v>
      </c>
      <c r="E71" s="40">
        <f t="shared" ref="E71" si="4">D71-C71</f>
        <v>4.9769000000000005</v>
      </c>
      <c r="F71" s="169">
        <f t="shared" ref="F71" si="5">D71/C71</f>
        <v>1.0100884609789158</v>
      </c>
      <c r="G71" s="47"/>
      <c r="H71" s="138">
        <v>240.03215</v>
      </c>
    </row>
    <row r="72" spans="1:8" s="16" customFormat="1" x14ac:dyDescent="0.25">
      <c r="A72" s="2" t="s">
        <v>100</v>
      </c>
      <c r="B72" s="47"/>
      <c r="C72" s="136">
        <v>396.29027000000002</v>
      </c>
      <c r="D72" s="40">
        <v>353.42081999999999</v>
      </c>
      <c r="E72" s="40">
        <f t="shared" si="2"/>
        <v>-42.869450000000029</v>
      </c>
      <c r="F72" s="169">
        <f t="shared" si="3"/>
        <v>0.89182310733998083</v>
      </c>
      <c r="G72" s="47"/>
      <c r="H72" s="138">
        <v>-158.40058999999999</v>
      </c>
    </row>
    <row r="73" spans="1:8" s="16" customFormat="1" x14ac:dyDescent="0.25">
      <c r="A73" s="2" t="s">
        <v>101</v>
      </c>
      <c r="B73" s="47"/>
      <c r="C73" s="136">
        <v>346.80432000000002</v>
      </c>
      <c r="D73" s="40">
        <v>293.96019999999999</v>
      </c>
      <c r="E73" s="40">
        <f t="shared" si="2"/>
        <v>-52.844120000000032</v>
      </c>
      <c r="F73" s="169">
        <f t="shared" si="3"/>
        <v>0.84762554284214209</v>
      </c>
      <c r="G73" s="47"/>
      <c r="H73" s="138">
        <v>-133.81783999999999</v>
      </c>
    </row>
    <row r="74" spans="1:8" s="16" customFormat="1" x14ac:dyDescent="0.25">
      <c r="A74" s="2" t="s">
        <v>102</v>
      </c>
      <c r="C74" s="136">
        <v>817.12004999999999</v>
      </c>
      <c r="D74" s="40">
        <v>837.74980999999991</v>
      </c>
      <c r="E74" s="40">
        <f t="shared" si="2"/>
        <v>20.629759999999919</v>
      </c>
      <c r="F74" s="169">
        <f t="shared" si="3"/>
        <v>1.0252469144527783</v>
      </c>
      <c r="H74" s="138">
        <v>4451.2555400000001</v>
      </c>
    </row>
    <row r="75" spans="1:8" s="16" customFormat="1" x14ac:dyDescent="0.25">
      <c r="A75" s="3" t="s">
        <v>103</v>
      </c>
      <c r="C75" s="136">
        <v>384.07112999999998</v>
      </c>
      <c r="D75" s="40">
        <v>398.113</v>
      </c>
      <c r="E75" s="40">
        <f t="shared" si="2"/>
        <v>14.041870000000017</v>
      </c>
      <c r="F75" s="169">
        <f t="shared" si="3"/>
        <v>1.0365605975122369</v>
      </c>
      <c r="H75" s="138">
        <v>1205.8512000000001</v>
      </c>
    </row>
    <row r="76" spans="1:8" s="16" customFormat="1" x14ac:dyDescent="0.25">
      <c r="A76" s="2" t="s">
        <v>104</v>
      </c>
      <c r="C76" s="136">
        <v>1044.8611699999999</v>
      </c>
      <c r="D76" s="40">
        <v>946.16949999999997</v>
      </c>
      <c r="E76" s="40">
        <f t="shared" si="2"/>
        <v>-98.691669999999931</v>
      </c>
      <c r="F76" s="169">
        <f t="shared" si="3"/>
        <v>0.90554566210934995</v>
      </c>
      <c r="H76" s="138">
        <v>1275.3651399999999</v>
      </c>
    </row>
    <row r="77" spans="1:8" s="16" customFormat="1" x14ac:dyDescent="0.25">
      <c r="A77" s="2" t="s">
        <v>105</v>
      </c>
      <c r="C77" s="136">
        <v>524.91409999999985</v>
      </c>
      <c r="D77" s="40">
        <v>468.7808500000001</v>
      </c>
      <c r="E77" s="40">
        <f t="shared" si="2"/>
        <v>-56.133249999999748</v>
      </c>
      <c r="F77" s="169">
        <f t="shared" si="3"/>
        <v>0.89306202672018187</v>
      </c>
      <c r="H77" s="138">
        <v>726.29978000000006</v>
      </c>
    </row>
    <row r="78" spans="1:8" s="16" customFormat="1" x14ac:dyDescent="0.25">
      <c r="A78" s="2" t="s">
        <v>106</v>
      </c>
      <c r="C78" s="136">
        <v>243.86933999999999</v>
      </c>
      <c r="D78" s="40">
        <v>222.09301000000002</v>
      </c>
      <c r="E78" s="40">
        <f t="shared" si="2"/>
        <v>-21.776329999999973</v>
      </c>
      <c r="F78" s="169">
        <f t="shared" si="3"/>
        <v>0.91070492912311174</v>
      </c>
      <c r="H78" s="138">
        <v>-161.26592000000002</v>
      </c>
    </row>
    <row r="79" spans="1:8" s="16" customFormat="1" x14ac:dyDescent="0.25">
      <c r="A79" s="2" t="s">
        <v>107</v>
      </c>
      <c r="C79" s="136">
        <v>441.22456</v>
      </c>
      <c r="D79" s="40">
        <v>428.98604000000006</v>
      </c>
      <c r="E79" s="40">
        <f t="shared" si="2"/>
        <v>-12.238519999999937</v>
      </c>
      <c r="F79" s="169">
        <f t="shared" si="3"/>
        <v>0.97226237814141636</v>
      </c>
      <c r="H79" s="138">
        <v>478.69506000000001</v>
      </c>
    </row>
    <row r="80" spans="1:8" s="16" customFormat="1" x14ac:dyDescent="0.25">
      <c r="A80" s="2" t="s">
        <v>108</v>
      </c>
      <c r="C80" s="136">
        <v>233.64540000000002</v>
      </c>
      <c r="D80" s="136">
        <v>283.36945000000003</v>
      </c>
      <c r="E80" s="40">
        <f t="shared" si="2"/>
        <v>49.724050000000005</v>
      </c>
      <c r="F80" s="169">
        <f t="shared" si="3"/>
        <v>1.2128184419637622</v>
      </c>
      <c r="H80" s="138">
        <v>207.79263</v>
      </c>
    </row>
    <row r="81" spans="1:8" s="16" customFormat="1" x14ac:dyDescent="0.25">
      <c r="A81" s="2" t="s">
        <v>109</v>
      </c>
      <c r="C81" s="136">
        <v>314.64812999999992</v>
      </c>
      <c r="D81" s="40">
        <v>324.15269999999998</v>
      </c>
      <c r="E81" s="40">
        <f t="shared" si="2"/>
        <v>9.5045700000000579</v>
      </c>
      <c r="F81" s="169">
        <f t="shared" si="3"/>
        <v>1.0302069807311427</v>
      </c>
      <c r="H81" s="138">
        <v>-89.875810000000001</v>
      </c>
    </row>
    <row r="82" spans="1:8" s="114" customFormat="1" ht="22.5" customHeight="1" x14ac:dyDescent="0.25">
      <c r="A82" s="17" t="s">
        <v>224</v>
      </c>
      <c r="B82" s="43"/>
      <c r="C82" s="43">
        <f>SUM(C4:C81)</f>
        <v>35990.813099999999</v>
      </c>
      <c r="D82" s="43">
        <f t="shared" ref="D82:E82" si="6">SUM(D4:D81)</f>
        <v>34439.855409999989</v>
      </c>
      <c r="E82" s="43">
        <f t="shared" si="6"/>
        <v>-1550.9576899999979</v>
      </c>
      <c r="F82" s="175">
        <f t="shared" si="3"/>
        <v>0.95690684493038003</v>
      </c>
      <c r="G82" s="43"/>
      <c r="H82" s="43">
        <f t="shared" ref="H82" si="7">SUM(H4:H81)</f>
        <v>29248.651420000002</v>
      </c>
    </row>
    <row r="83" spans="1:8" s="115" customFormat="1" ht="22.5" customHeight="1" x14ac:dyDescent="0.15">
      <c r="A83" s="20" t="s">
        <v>531</v>
      </c>
      <c r="B83" s="45"/>
      <c r="C83" s="45"/>
      <c r="D83" s="45"/>
      <c r="E83" s="45"/>
      <c r="F83" s="168"/>
      <c r="G83" s="45"/>
      <c r="H83" s="139"/>
    </row>
    <row r="84" spans="1:8" s="23" customFormat="1" ht="16.5" customHeight="1" x14ac:dyDescent="0.15">
      <c r="A84" s="23" t="s">
        <v>225</v>
      </c>
      <c r="B84" s="124"/>
      <c r="C84" s="44"/>
      <c r="D84" s="44"/>
      <c r="E84" s="44"/>
      <c r="F84" s="168"/>
      <c r="G84" s="124"/>
      <c r="H84" s="44"/>
    </row>
    <row r="85" spans="1:8" s="140" customFormat="1" ht="9" customHeight="1" x14ac:dyDescent="0.25">
      <c r="A85" s="140" t="s">
        <v>532</v>
      </c>
      <c r="B85" s="141"/>
      <c r="C85" s="142"/>
      <c r="D85" s="142"/>
      <c r="E85" s="142"/>
      <c r="F85" s="168"/>
      <c r="G85" s="141"/>
      <c r="H85" s="142"/>
    </row>
  </sheetData>
  <pageMargins left="0.70866141732283472" right="0.70866141732283472" top="0.74803149606299213" bottom="0.74803149606299213" header="0.31496062992125984" footer="3.937007874015748E-2"/>
  <pageSetup paperSize="9" firstPageNumber="73" orientation="portrait" useFirstPageNumber="1" horizontalDpi="1200" verticalDpi="1200" r:id="rId1"/>
  <headerFooter>
    <oddFooter>&amp;C&amp;"Arial Narrow,Corsivo"&amp;7- pagina &amp;P -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10"/>
  <sheetViews>
    <sheetView zoomScale="150" zoomScaleNormal="150" workbookViewId="0">
      <pane ySplit="2" topLeftCell="A96" activePane="bottomLeft" state="frozenSplit"/>
      <selection pane="bottomLeft" activeCell="A109" sqref="A109"/>
    </sheetView>
  </sheetViews>
  <sheetFormatPr defaultRowHeight="13.5" x14ac:dyDescent="0.25"/>
  <cols>
    <col min="1" max="1" width="18.42578125" style="16" customWidth="1"/>
    <col min="2" max="2" width="2.42578125" style="16" customWidth="1"/>
    <col min="3" max="6" width="11" style="16" customWidth="1"/>
    <col min="7" max="7" width="2.42578125" style="16" customWidth="1"/>
    <col min="8" max="8" width="11" style="16" customWidth="1"/>
    <col min="9" max="244" width="9.140625" style="51"/>
    <col min="245" max="245" width="18.42578125" style="51" customWidth="1"/>
    <col min="246" max="246" width="2.42578125" style="51" customWidth="1"/>
    <col min="247" max="250" width="11" style="51" customWidth="1"/>
    <col min="251" max="251" width="2.42578125" style="51" customWidth="1"/>
    <col min="252" max="252" width="11" style="51" customWidth="1"/>
    <col min="253" max="253" width="15" style="51" customWidth="1"/>
    <col min="254" max="256" width="8.85546875" style="51" customWidth="1"/>
    <col min="257" max="500" width="9.140625" style="51"/>
    <col min="501" max="501" width="18.42578125" style="51" customWidth="1"/>
    <col min="502" max="502" width="2.42578125" style="51" customWidth="1"/>
    <col min="503" max="506" width="11" style="51" customWidth="1"/>
    <col min="507" max="507" width="2.42578125" style="51" customWidth="1"/>
    <col min="508" max="508" width="11" style="51" customWidth="1"/>
    <col min="509" max="509" width="15" style="51" customWidth="1"/>
    <col min="510" max="512" width="8.85546875" style="51" customWidth="1"/>
    <col min="513" max="756" width="9.140625" style="51"/>
    <col min="757" max="757" width="18.42578125" style="51" customWidth="1"/>
    <col min="758" max="758" width="2.42578125" style="51" customWidth="1"/>
    <col min="759" max="762" width="11" style="51" customWidth="1"/>
    <col min="763" max="763" width="2.42578125" style="51" customWidth="1"/>
    <col min="764" max="764" width="11" style="51" customWidth="1"/>
    <col min="765" max="765" width="15" style="51" customWidth="1"/>
    <col min="766" max="768" width="8.85546875" style="51" customWidth="1"/>
    <col min="769" max="1012" width="9.140625" style="51"/>
    <col min="1013" max="1013" width="18.42578125" style="51" customWidth="1"/>
    <col min="1014" max="1014" width="2.42578125" style="51" customWidth="1"/>
    <col min="1015" max="1018" width="11" style="51" customWidth="1"/>
    <col min="1019" max="1019" width="2.42578125" style="51" customWidth="1"/>
    <col min="1020" max="1020" width="11" style="51" customWidth="1"/>
    <col min="1021" max="1021" width="15" style="51" customWidth="1"/>
    <col min="1022" max="1024" width="8.85546875" style="51" customWidth="1"/>
    <col min="1025" max="1268" width="9.140625" style="51"/>
    <col min="1269" max="1269" width="18.42578125" style="51" customWidth="1"/>
    <col min="1270" max="1270" width="2.42578125" style="51" customWidth="1"/>
    <col min="1271" max="1274" width="11" style="51" customWidth="1"/>
    <col min="1275" max="1275" width="2.42578125" style="51" customWidth="1"/>
    <col min="1276" max="1276" width="11" style="51" customWidth="1"/>
    <col min="1277" max="1277" width="15" style="51" customWidth="1"/>
    <col min="1278" max="1280" width="8.85546875" style="51" customWidth="1"/>
    <col min="1281" max="1524" width="9.140625" style="51"/>
    <col min="1525" max="1525" width="18.42578125" style="51" customWidth="1"/>
    <col min="1526" max="1526" width="2.42578125" style="51" customWidth="1"/>
    <col min="1527" max="1530" width="11" style="51" customWidth="1"/>
    <col min="1531" max="1531" width="2.42578125" style="51" customWidth="1"/>
    <col min="1532" max="1532" width="11" style="51" customWidth="1"/>
    <col min="1533" max="1533" width="15" style="51" customWidth="1"/>
    <col min="1534" max="1536" width="8.85546875" style="51" customWidth="1"/>
    <col min="1537" max="1780" width="9.140625" style="51"/>
    <col min="1781" max="1781" width="18.42578125" style="51" customWidth="1"/>
    <col min="1782" max="1782" width="2.42578125" style="51" customWidth="1"/>
    <col min="1783" max="1786" width="11" style="51" customWidth="1"/>
    <col min="1787" max="1787" width="2.42578125" style="51" customWidth="1"/>
    <col min="1788" max="1788" width="11" style="51" customWidth="1"/>
    <col min="1789" max="1789" width="15" style="51" customWidth="1"/>
    <col min="1790" max="1792" width="8.85546875" style="51" customWidth="1"/>
    <col min="1793" max="2036" width="9.140625" style="51"/>
    <col min="2037" max="2037" width="18.42578125" style="51" customWidth="1"/>
    <col min="2038" max="2038" width="2.42578125" style="51" customWidth="1"/>
    <col min="2039" max="2042" width="11" style="51" customWidth="1"/>
    <col min="2043" max="2043" width="2.42578125" style="51" customWidth="1"/>
    <col min="2044" max="2044" width="11" style="51" customWidth="1"/>
    <col min="2045" max="2045" width="15" style="51" customWidth="1"/>
    <col min="2046" max="2048" width="8.85546875" style="51" customWidth="1"/>
    <col min="2049" max="2292" width="9.140625" style="51"/>
    <col min="2293" max="2293" width="18.42578125" style="51" customWidth="1"/>
    <col min="2294" max="2294" width="2.42578125" style="51" customWidth="1"/>
    <col min="2295" max="2298" width="11" style="51" customWidth="1"/>
    <col min="2299" max="2299" width="2.42578125" style="51" customWidth="1"/>
    <col min="2300" max="2300" width="11" style="51" customWidth="1"/>
    <col min="2301" max="2301" width="15" style="51" customWidth="1"/>
    <col min="2302" max="2304" width="8.85546875" style="51" customWidth="1"/>
    <col min="2305" max="2548" width="9.140625" style="51"/>
    <col min="2549" max="2549" width="18.42578125" style="51" customWidth="1"/>
    <col min="2550" max="2550" width="2.42578125" style="51" customWidth="1"/>
    <col min="2551" max="2554" width="11" style="51" customWidth="1"/>
    <col min="2555" max="2555" width="2.42578125" style="51" customWidth="1"/>
    <col min="2556" max="2556" width="11" style="51" customWidth="1"/>
    <col min="2557" max="2557" width="15" style="51" customWidth="1"/>
    <col min="2558" max="2560" width="8.85546875" style="51" customWidth="1"/>
    <col min="2561" max="2804" width="9.140625" style="51"/>
    <col min="2805" max="2805" width="18.42578125" style="51" customWidth="1"/>
    <col min="2806" max="2806" width="2.42578125" style="51" customWidth="1"/>
    <col min="2807" max="2810" width="11" style="51" customWidth="1"/>
    <col min="2811" max="2811" width="2.42578125" style="51" customWidth="1"/>
    <col min="2812" max="2812" width="11" style="51" customWidth="1"/>
    <col min="2813" max="2813" width="15" style="51" customWidth="1"/>
    <col min="2814" max="2816" width="8.85546875" style="51" customWidth="1"/>
    <col min="2817" max="3060" width="9.140625" style="51"/>
    <col min="3061" max="3061" width="18.42578125" style="51" customWidth="1"/>
    <col min="3062" max="3062" width="2.42578125" style="51" customWidth="1"/>
    <col min="3063" max="3066" width="11" style="51" customWidth="1"/>
    <col min="3067" max="3067" width="2.42578125" style="51" customWidth="1"/>
    <col min="3068" max="3068" width="11" style="51" customWidth="1"/>
    <col min="3069" max="3069" width="15" style="51" customWidth="1"/>
    <col min="3070" max="3072" width="8.85546875" style="51" customWidth="1"/>
    <col min="3073" max="3316" width="9.140625" style="51"/>
    <col min="3317" max="3317" width="18.42578125" style="51" customWidth="1"/>
    <col min="3318" max="3318" width="2.42578125" style="51" customWidth="1"/>
    <col min="3319" max="3322" width="11" style="51" customWidth="1"/>
    <col min="3323" max="3323" width="2.42578125" style="51" customWidth="1"/>
    <col min="3324" max="3324" width="11" style="51" customWidth="1"/>
    <col min="3325" max="3325" width="15" style="51" customWidth="1"/>
    <col min="3326" max="3328" width="8.85546875" style="51" customWidth="1"/>
    <col min="3329" max="3572" width="9.140625" style="51"/>
    <col min="3573" max="3573" width="18.42578125" style="51" customWidth="1"/>
    <col min="3574" max="3574" width="2.42578125" style="51" customWidth="1"/>
    <col min="3575" max="3578" width="11" style="51" customWidth="1"/>
    <col min="3579" max="3579" width="2.42578125" style="51" customWidth="1"/>
    <col min="3580" max="3580" width="11" style="51" customWidth="1"/>
    <col min="3581" max="3581" width="15" style="51" customWidth="1"/>
    <col min="3582" max="3584" width="8.85546875" style="51" customWidth="1"/>
    <col min="3585" max="3828" width="9.140625" style="51"/>
    <col min="3829" max="3829" width="18.42578125" style="51" customWidth="1"/>
    <col min="3830" max="3830" width="2.42578125" style="51" customWidth="1"/>
    <col min="3831" max="3834" width="11" style="51" customWidth="1"/>
    <col min="3835" max="3835" width="2.42578125" style="51" customWidth="1"/>
    <col min="3836" max="3836" width="11" style="51" customWidth="1"/>
    <col min="3837" max="3837" width="15" style="51" customWidth="1"/>
    <col min="3838" max="3840" width="8.85546875" style="51" customWidth="1"/>
    <col min="3841" max="4084" width="9.140625" style="51"/>
    <col min="4085" max="4085" width="18.42578125" style="51" customWidth="1"/>
    <col min="4086" max="4086" width="2.42578125" style="51" customWidth="1"/>
    <col min="4087" max="4090" width="11" style="51" customWidth="1"/>
    <col min="4091" max="4091" width="2.42578125" style="51" customWidth="1"/>
    <col min="4092" max="4092" width="11" style="51" customWidth="1"/>
    <col min="4093" max="4093" width="15" style="51" customWidth="1"/>
    <col min="4094" max="4096" width="8.85546875" style="51" customWidth="1"/>
    <col min="4097" max="4340" width="9.140625" style="51"/>
    <col min="4341" max="4341" width="18.42578125" style="51" customWidth="1"/>
    <col min="4342" max="4342" width="2.42578125" style="51" customWidth="1"/>
    <col min="4343" max="4346" width="11" style="51" customWidth="1"/>
    <col min="4347" max="4347" width="2.42578125" style="51" customWidth="1"/>
    <col min="4348" max="4348" width="11" style="51" customWidth="1"/>
    <col min="4349" max="4349" width="15" style="51" customWidth="1"/>
    <col min="4350" max="4352" width="8.85546875" style="51" customWidth="1"/>
    <col min="4353" max="4596" width="9.140625" style="51"/>
    <col min="4597" max="4597" width="18.42578125" style="51" customWidth="1"/>
    <col min="4598" max="4598" width="2.42578125" style="51" customWidth="1"/>
    <col min="4599" max="4602" width="11" style="51" customWidth="1"/>
    <col min="4603" max="4603" width="2.42578125" style="51" customWidth="1"/>
    <col min="4604" max="4604" width="11" style="51" customWidth="1"/>
    <col min="4605" max="4605" width="15" style="51" customWidth="1"/>
    <col min="4606" max="4608" width="8.85546875" style="51" customWidth="1"/>
    <col min="4609" max="4852" width="9.140625" style="51"/>
    <col min="4853" max="4853" width="18.42578125" style="51" customWidth="1"/>
    <col min="4854" max="4854" width="2.42578125" style="51" customWidth="1"/>
    <col min="4855" max="4858" width="11" style="51" customWidth="1"/>
    <col min="4859" max="4859" width="2.42578125" style="51" customWidth="1"/>
    <col min="4860" max="4860" width="11" style="51" customWidth="1"/>
    <col min="4861" max="4861" width="15" style="51" customWidth="1"/>
    <col min="4862" max="4864" width="8.85546875" style="51" customWidth="1"/>
    <col min="4865" max="5108" width="9.140625" style="51"/>
    <col min="5109" max="5109" width="18.42578125" style="51" customWidth="1"/>
    <col min="5110" max="5110" width="2.42578125" style="51" customWidth="1"/>
    <col min="5111" max="5114" width="11" style="51" customWidth="1"/>
    <col min="5115" max="5115" width="2.42578125" style="51" customWidth="1"/>
    <col min="5116" max="5116" width="11" style="51" customWidth="1"/>
    <col min="5117" max="5117" width="15" style="51" customWidth="1"/>
    <col min="5118" max="5120" width="8.85546875" style="51" customWidth="1"/>
    <col min="5121" max="5364" width="9.140625" style="51"/>
    <col min="5365" max="5365" width="18.42578125" style="51" customWidth="1"/>
    <col min="5366" max="5366" width="2.42578125" style="51" customWidth="1"/>
    <col min="5367" max="5370" width="11" style="51" customWidth="1"/>
    <col min="5371" max="5371" width="2.42578125" style="51" customWidth="1"/>
    <col min="5372" max="5372" width="11" style="51" customWidth="1"/>
    <col min="5373" max="5373" width="15" style="51" customWidth="1"/>
    <col min="5374" max="5376" width="8.85546875" style="51" customWidth="1"/>
    <col min="5377" max="5620" width="9.140625" style="51"/>
    <col min="5621" max="5621" width="18.42578125" style="51" customWidth="1"/>
    <col min="5622" max="5622" width="2.42578125" style="51" customWidth="1"/>
    <col min="5623" max="5626" width="11" style="51" customWidth="1"/>
    <col min="5627" max="5627" width="2.42578125" style="51" customWidth="1"/>
    <col min="5628" max="5628" width="11" style="51" customWidth="1"/>
    <col min="5629" max="5629" width="15" style="51" customWidth="1"/>
    <col min="5630" max="5632" width="8.85546875" style="51" customWidth="1"/>
    <col min="5633" max="5876" width="9.140625" style="51"/>
    <col min="5877" max="5877" width="18.42578125" style="51" customWidth="1"/>
    <col min="5878" max="5878" width="2.42578125" style="51" customWidth="1"/>
    <col min="5879" max="5882" width="11" style="51" customWidth="1"/>
    <col min="5883" max="5883" width="2.42578125" style="51" customWidth="1"/>
    <col min="5884" max="5884" width="11" style="51" customWidth="1"/>
    <col min="5885" max="5885" width="15" style="51" customWidth="1"/>
    <col min="5886" max="5888" width="8.85546875" style="51" customWidth="1"/>
    <col min="5889" max="6132" width="9.140625" style="51"/>
    <col min="6133" max="6133" width="18.42578125" style="51" customWidth="1"/>
    <col min="6134" max="6134" width="2.42578125" style="51" customWidth="1"/>
    <col min="6135" max="6138" width="11" style="51" customWidth="1"/>
    <col min="6139" max="6139" width="2.42578125" style="51" customWidth="1"/>
    <col min="6140" max="6140" width="11" style="51" customWidth="1"/>
    <col min="6141" max="6141" width="15" style="51" customWidth="1"/>
    <col min="6142" max="6144" width="8.85546875" style="51" customWidth="1"/>
    <col min="6145" max="6388" width="9.140625" style="51"/>
    <col min="6389" max="6389" width="18.42578125" style="51" customWidth="1"/>
    <col min="6390" max="6390" width="2.42578125" style="51" customWidth="1"/>
    <col min="6391" max="6394" width="11" style="51" customWidth="1"/>
    <col min="6395" max="6395" width="2.42578125" style="51" customWidth="1"/>
    <col min="6396" max="6396" width="11" style="51" customWidth="1"/>
    <col min="6397" max="6397" width="15" style="51" customWidth="1"/>
    <col min="6398" max="6400" width="8.85546875" style="51" customWidth="1"/>
    <col min="6401" max="6644" width="9.140625" style="51"/>
    <col min="6645" max="6645" width="18.42578125" style="51" customWidth="1"/>
    <col min="6646" max="6646" width="2.42578125" style="51" customWidth="1"/>
    <col min="6647" max="6650" width="11" style="51" customWidth="1"/>
    <col min="6651" max="6651" width="2.42578125" style="51" customWidth="1"/>
    <col min="6652" max="6652" width="11" style="51" customWidth="1"/>
    <col min="6653" max="6653" width="15" style="51" customWidth="1"/>
    <col min="6654" max="6656" width="8.85546875" style="51" customWidth="1"/>
    <col min="6657" max="6900" width="9.140625" style="51"/>
    <col min="6901" max="6901" width="18.42578125" style="51" customWidth="1"/>
    <col min="6902" max="6902" width="2.42578125" style="51" customWidth="1"/>
    <col min="6903" max="6906" width="11" style="51" customWidth="1"/>
    <col min="6907" max="6907" width="2.42578125" style="51" customWidth="1"/>
    <col min="6908" max="6908" width="11" style="51" customWidth="1"/>
    <col min="6909" max="6909" width="15" style="51" customWidth="1"/>
    <col min="6910" max="6912" width="8.85546875" style="51" customWidth="1"/>
    <col min="6913" max="7156" width="9.140625" style="51"/>
    <col min="7157" max="7157" width="18.42578125" style="51" customWidth="1"/>
    <col min="7158" max="7158" width="2.42578125" style="51" customWidth="1"/>
    <col min="7159" max="7162" width="11" style="51" customWidth="1"/>
    <col min="7163" max="7163" width="2.42578125" style="51" customWidth="1"/>
    <col min="7164" max="7164" width="11" style="51" customWidth="1"/>
    <col min="7165" max="7165" width="15" style="51" customWidth="1"/>
    <col min="7166" max="7168" width="8.85546875" style="51" customWidth="1"/>
    <col min="7169" max="7412" width="9.140625" style="51"/>
    <col min="7413" max="7413" width="18.42578125" style="51" customWidth="1"/>
    <col min="7414" max="7414" width="2.42578125" style="51" customWidth="1"/>
    <col min="7415" max="7418" width="11" style="51" customWidth="1"/>
    <col min="7419" max="7419" width="2.42578125" style="51" customWidth="1"/>
    <col min="7420" max="7420" width="11" style="51" customWidth="1"/>
    <col min="7421" max="7421" width="15" style="51" customWidth="1"/>
    <col min="7422" max="7424" width="8.85546875" style="51" customWidth="1"/>
    <col min="7425" max="7668" width="9.140625" style="51"/>
    <col min="7669" max="7669" width="18.42578125" style="51" customWidth="1"/>
    <col min="7670" max="7670" width="2.42578125" style="51" customWidth="1"/>
    <col min="7671" max="7674" width="11" style="51" customWidth="1"/>
    <col min="7675" max="7675" width="2.42578125" style="51" customWidth="1"/>
    <col min="7676" max="7676" width="11" style="51" customWidth="1"/>
    <col min="7677" max="7677" width="15" style="51" customWidth="1"/>
    <col min="7678" max="7680" width="8.85546875" style="51" customWidth="1"/>
    <col min="7681" max="7924" width="9.140625" style="51"/>
    <col min="7925" max="7925" width="18.42578125" style="51" customWidth="1"/>
    <col min="7926" max="7926" width="2.42578125" style="51" customWidth="1"/>
    <col min="7927" max="7930" width="11" style="51" customWidth="1"/>
    <col min="7931" max="7931" width="2.42578125" style="51" customWidth="1"/>
    <col min="7932" max="7932" width="11" style="51" customWidth="1"/>
    <col min="7933" max="7933" width="15" style="51" customWidth="1"/>
    <col min="7934" max="7936" width="8.85546875" style="51" customWidth="1"/>
    <col min="7937" max="8180" width="9.140625" style="51"/>
    <col min="8181" max="8181" width="18.42578125" style="51" customWidth="1"/>
    <col min="8182" max="8182" width="2.42578125" style="51" customWidth="1"/>
    <col min="8183" max="8186" width="11" style="51" customWidth="1"/>
    <col min="8187" max="8187" width="2.42578125" style="51" customWidth="1"/>
    <col min="8188" max="8188" width="11" style="51" customWidth="1"/>
    <col min="8189" max="8189" width="15" style="51" customWidth="1"/>
    <col min="8190" max="8192" width="8.85546875" style="51" customWidth="1"/>
    <col min="8193" max="8436" width="9.140625" style="51"/>
    <col min="8437" max="8437" width="18.42578125" style="51" customWidth="1"/>
    <col min="8438" max="8438" width="2.42578125" style="51" customWidth="1"/>
    <col min="8439" max="8442" width="11" style="51" customWidth="1"/>
    <col min="8443" max="8443" width="2.42578125" style="51" customWidth="1"/>
    <col min="8444" max="8444" width="11" style="51" customWidth="1"/>
    <col min="8445" max="8445" width="15" style="51" customWidth="1"/>
    <col min="8446" max="8448" width="8.85546875" style="51" customWidth="1"/>
    <col min="8449" max="8692" width="9.140625" style="51"/>
    <col min="8693" max="8693" width="18.42578125" style="51" customWidth="1"/>
    <col min="8694" max="8694" width="2.42578125" style="51" customWidth="1"/>
    <col min="8695" max="8698" width="11" style="51" customWidth="1"/>
    <col min="8699" max="8699" width="2.42578125" style="51" customWidth="1"/>
    <col min="8700" max="8700" width="11" style="51" customWidth="1"/>
    <col min="8701" max="8701" width="15" style="51" customWidth="1"/>
    <col min="8702" max="8704" width="8.85546875" style="51" customWidth="1"/>
    <col min="8705" max="8948" width="9.140625" style="51"/>
    <col min="8949" max="8949" width="18.42578125" style="51" customWidth="1"/>
    <col min="8950" max="8950" width="2.42578125" style="51" customWidth="1"/>
    <col min="8951" max="8954" width="11" style="51" customWidth="1"/>
    <col min="8955" max="8955" width="2.42578125" style="51" customWidth="1"/>
    <col min="8956" max="8956" width="11" style="51" customWidth="1"/>
    <col min="8957" max="8957" width="15" style="51" customWidth="1"/>
    <col min="8958" max="8960" width="8.85546875" style="51" customWidth="1"/>
    <col min="8961" max="9204" width="9.140625" style="51"/>
    <col min="9205" max="9205" width="18.42578125" style="51" customWidth="1"/>
    <col min="9206" max="9206" width="2.42578125" style="51" customWidth="1"/>
    <col min="9207" max="9210" width="11" style="51" customWidth="1"/>
    <col min="9211" max="9211" width="2.42578125" style="51" customWidth="1"/>
    <col min="9212" max="9212" width="11" style="51" customWidth="1"/>
    <col min="9213" max="9213" width="15" style="51" customWidth="1"/>
    <col min="9214" max="9216" width="8.85546875" style="51" customWidth="1"/>
    <col min="9217" max="9460" width="9.140625" style="51"/>
    <col min="9461" max="9461" width="18.42578125" style="51" customWidth="1"/>
    <col min="9462" max="9462" width="2.42578125" style="51" customWidth="1"/>
    <col min="9463" max="9466" width="11" style="51" customWidth="1"/>
    <col min="9467" max="9467" width="2.42578125" style="51" customWidth="1"/>
    <col min="9468" max="9468" width="11" style="51" customWidth="1"/>
    <col min="9469" max="9469" width="15" style="51" customWidth="1"/>
    <col min="9470" max="9472" width="8.85546875" style="51" customWidth="1"/>
    <col min="9473" max="9716" width="9.140625" style="51"/>
    <col min="9717" max="9717" width="18.42578125" style="51" customWidth="1"/>
    <col min="9718" max="9718" width="2.42578125" style="51" customWidth="1"/>
    <col min="9719" max="9722" width="11" style="51" customWidth="1"/>
    <col min="9723" max="9723" width="2.42578125" style="51" customWidth="1"/>
    <col min="9724" max="9724" width="11" style="51" customWidth="1"/>
    <col min="9725" max="9725" width="15" style="51" customWidth="1"/>
    <col min="9726" max="9728" width="8.85546875" style="51" customWidth="1"/>
    <col min="9729" max="9972" width="9.140625" style="51"/>
    <col min="9973" max="9973" width="18.42578125" style="51" customWidth="1"/>
    <col min="9974" max="9974" width="2.42578125" style="51" customWidth="1"/>
    <col min="9975" max="9978" width="11" style="51" customWidth="1"/>
    <col min="9979" max="9979" width="2.42578125" style="51" customWidth="1"/>
    <col min="9980" max="9980" width="11" style="51" customWidth="1"/>
    <col min="9981" max="9981" width="15" style="51" customWidth="1"/>
    <col min="9982" max="9984" width="8.85546875" style="51" customWidth="1"/>
    <col min="9985" max="10228" width="9.140625" style="51"/>
    <col min="10229" max="10229" width="18.42578125" style="51" customWidth="1"/>
    <col min="10230" max="10230" width="2.42578125" style="51" customWidth="1"/>
    <col min="10231" max="10234" width="11" style="51" customWidth="1"/>
    <col min="10235" max="10235" width="2.42578125" style="51" customWidth="1"/>
    <col min="10236" max="10236" width="11" style="51" customWidth="1"/>
    <col min="10237" max="10237" width="15" style="51" customWidth="1"/>
    <col min="10238" max="10240" width="8.85546875" style="51" customWidth="1"/>
    <col min="10241" max="10484" width="9.140625" style="51"/>
    <col min="10485" max="10485" width="18.42578125" style="51" customWidth="1"/>
    <col min="10486" max="10486" width="2.42578125" style="51" customWidth="1"/>
    <col min="10487" max="10490" width="11" style="51" customWidth="1"/>
    <col min="10491" max="10491" width="2.42578125" style="51" customWidth="1"/>
    <col min="10492" max="10492" width="11" style="51" customWidth="1"/>
    <col min="10493" max="10493" width="15" style="51" customWidth="1"/>
    <col min="10494" max="10496" width="8.85546875" style="51" customWidth="1"/>
    <col min="10497" max="10740" width="9.140625" style="51"/>
    <col min="10741" max="10741" width="18.42578125" style="51" customWidth="1"/>
    <col min="10742" max="10742" width="2.42578125" style="51" customWidth="1"/>
    <col min="10743" max="10746" width="11" style="51" customWidth="1"/>
    <col min="10747" max="10747" width="2.42578125" style="51" customWidth="1"/>
    <col min="10748" max="10748" width="11" style="51" customWidth="1"/>
    <col min="10749" max="10749" width="15" style="51" customWidth="1"/>
    <col min="10750" max="10752" width="8.85546875" style="51" customWidth="1"/>
    <col min="10753" max="10996" width="9.140625" style="51"/>
    <col min="10997" max="10997" width="18.42578125" style="51" customWidth="1"/>
    <col min="10998" max="10998" width="2.42578125" style="51" customWidth="1"/>
    <col min="10999" max="11002" width="11" style="51" customWidth="1"/>
    <col min="11003" max="11003" width="2.42578125" style="51" customWidth="1"/>
    <col min="11004" max="11004" width="11" style="51" customWidth="1"/>
    <col min="11005" max="11005" width="15" style="51" customWidth="1"/>
    <col min="11006" max="11008" width="8.85546875" style="51" customWidth="1"/>
    <col min="11009" max="11252" width="9.140625" style="51"/>
    <col min="11253" max="11253" width="18.42578125" style="51" customWidth="1"/>
    <col min="11254" max="11254" width="2.42578125" style="51" customWidth="1"/>
    <col min="11255" max="11258" width="11" style="51" customWidth="1"/>
    <col min="11259" max="11259" width="2.42578125" style="51" customWidth="1"/>
    <col min="11260" max="11260" width="11" style="51" customWidth="1"/>
    <col min="11261" max="11261" width="15" style="51" customWidth="1"/>
    <col min="11262" max="11264" width="8.85546875" style="51" customWidth="1"/>
    <col min="11265" max="11508" width="9.140625" style="51"/>
    <col min="11509" max="11509" width="18.42578125" style="51" customWidth="1"/>
    <col min="11510" max="11510" width="2.42578125" style="51" customWidth="1"/>
    <col min="11511" max="11514" width="11" style="51" customWidth="1"/>
    <col min="11515" max="11515" width="2.42578125" style="51" customWidth="1"/>
    <col min="11516" max="11516" width="11" style="51" customWidth="1"/>
    <col min="11517" max="11517" width="15" style="51" customWidth="1"/>
    <col min="11518" max="11520" width="8.85546875" style="51" customWidth="1"/>
    <col min="11521" max="11764" width="9.140625" style="51"/>
    <col min="11765" max="11765" width="18.42578125" style="51" customWidth="1"/>
    <col min="11766" max="11766" width="2.42578125" style="51" customWidth="1"/>
    <col min="11767" max="11770" width="11" style="51" customWidth="1"/>
    <col min="11771" max="11771" width="2.42578125" style="51" customWidth="1"/>
    <col min="11772" max="11772" width="11" style="51" customWidth="1"/>
    <col min="11773" max="11773" width="15" style="51" customWidth="1"/>
    <col min="11774" max="11776" width="8.85546875" style="51" customWidth="1"/>
    <col min="11777" max="12020" width="9.140625" style="51"/>
    <col min="12021" max="12021" width="18.42578125" style="51" customWidth="1"/>
    <col min="12022" max="12022" width="2.42578125" style="51" customWidth="1"/>
    <col min="12023" max="12026" width="11" style="51" customWidth="1"/>
    <col min="12027" max="12027" width="2.42578125" style="51" customWidth="1"/>
    <col min="12028" max="12028" width="11" style="51" customWidth="1"/>
    <col min="12029" max="12029" width="15" style="51" customWidth="1"/>
    <col min="12030" max="12032" width="8.85546875" style="51" customWidth="1"/>
    <col min="12033" max="12276" width="9.140625" style="51"/>
    <col min="12277" max="12277" width="18.42578125" style="51" customWidth="1"/>
    <col min="12278" max="12278" width="2.42578125" style="51" customWidth="1"/>
    <col min="12279" max="12282" width="11" style="51" customWidth="1"/>
    <col min="12283" max="12283" width="2.42578125" style="51" customWidth="1"/>
    <col min="12284" max="12284" width="11" style="51" customWidth="1"/>
    <col min="12285" max="12285" width="15" style="51" customWidth="1"/>
    <col min="12286" max="12288" width="8.85546875" style="51" customWidth="1"/>
    <col min="12289" max="12532" width="9.140625" style="51"/>
    <col min="12533" max="12533" width="18.42578125" style="51" customWidth="1"/>
    <col min="12534" max="12534" width="2.42578125" style="51" customWidth="1"/>
    <col min="12535" max="12538" width="11" style="51" customWidth="1"/>
    <col min="12539" max="12539" width="2.42578125" style="51" customWidth="1"/>
    <col min="12540" max="12540" width="11" style="51" customWidth="1"/>
    <col min="12541" max="12541" width="15" style="51" customWidth="1"/>
    <col min="12542" max="12544" width="8.85546875" style="51" customWidth="1"/>
    <col min="12545" max="12788" width="9.140625" style="51"/>
    <col min="12789" max="12789" width="18.42578125" style="51" customWidth="1"/>
    <col min="12790" max="12790" width="2.42578125" style="51" customWidth="1"/>
    <col min="12791" max="12794" width="11" style="51" customWidth="1"/>
    <col min="12795" max="12795" width="2.42578125" style="51" customWidth="1"/>
    <col min="12796" max="12796" width="11" style="51" customWidth="1"/>
    <col min="12797" max="12797" width="15" style="51" customWidth="1"/>
    <col min="12798" max="12800" width="8.85546875" style="51" customWidth="1"/>
    <col min="12801" max="13044" width="9.140625" style="51"/>
    <col min="13045" max="13045" width="18.42578125" style="51" customWidth="1"/>
    <col min="13046" max="13046" width="2.42578125" style="51" customWidth="1"/>
    <col min="13047" max="13050" width="11" style="51" customWidth="1"/>
    <col min="13051" max="13051" width="2.42578125" style="51" customWidth="1"/>
    <col min="13052" max="13052" width="11" style="51" customWidth="1"/>
    <col min="13053" max="13053" width="15" style="51" customWidth="1"/>
    <col min="13054" max="13056" width="8.85546875" style="51" customWidth="1"/>
    <col min="13057" max="13300" width="9.140625" style="51"/>
    <col min="13301" max="13301" width="18.42578125" style="51" customWidth="1"/>
    <col min="13302" max="13302" width="2.42578125" style="51" customWidth="1"/>
    <col min="13303" max="13306" width="11" style="51" customWidth="1"/>
    <col min="13307" max="13307" width="2.42578125" style="51" customWidth="1"/>
    <col min="13308" max="13308" width="11" style="51" customWidth="1"/>
    <col min="13309" max="13309" width="15" style="51" customWidth="1"/>
    <col min="13310" max="13312" width="8.85546875" style="51" customWidth="1"/>
    <col min="13313" max="13556" width="9.140625" style="51"/>
    <col min="13557" max="13557" width="18.42578125" style="51" customWidth="1"/>
    <col min="13558" max="13558" width="2.42578125" style="51" customWidth="1"/>
    <col min="13559" max="13562" width="11" style="51" customWidth="1"/>
    <col min="13563" max="13563" width="2.42578125" style="51" customWidth="1"/>
    <col min="13564" max="13564" width="11" style="51" customWidth="1"/>
    <col min="13565" max="13565" width="15" style="51" customWidth="1"/>
    <col min="13566" max="13568" width="8.85546875" style="51" customWidth="1"/>
    <col min="13569" max="13812" width="9.140625" style="51"/>
    <col min="13813" max="13813" width="18.42578125" style="51" customWidth="1"/>
    <col min="13814" max="13814" width="2.42578125" style="51" customWidth="1"/>
    <col min="13815" max="13818" width="11" style="51" customWidth="1"/>
    <col min="13819" max="13819" width="2.42578125" style="51" customWidth="1"/>
    <col min="13820" max="13820" width="11" style="51" customWidth="1"/>
    <col min="13821" max="13821" width="15" style="51" customWidth="1"/>
    <col min="13822" max="13824" width="8.85546875" style="51" customWidth="1"/>
    <col min="13825" max="14068" width="9.140625" style="51"/>
    <col min="14069" max="14069" width="18.42578125" style="51" customWidth="1"/>
    <col min="14070" max="14070" width="2.42578125" style="51" customWidth="1"/>
    <col min="14071" max="14074" width="11" style="51" customWidth="1"/>
    <col min="14075" max="14075" width="2.42578125" style="51" customWidth="1"/>
    <col min="14076" max="14076" width="11" style="51" customWidth="1"/>
    <col min="14077" max="14077" width="15" style="51" customWidth="1"/>
    <col min="14078" max="14080" width="8.85546875" style="51" customWidth="1"/>
    <col min="14081" max="14324" width="9.140625" style="51"/>
    <col min="14325" max="14325" width="18.42578125" style="51" customWidth="1"/>
    <col min="14326" max="14326" width="2.42578125" style="51" customWidth="1"/>
    <col min="14327" max="14330" width="11" style="51" customWidth="1"/>
    <col min="14331" max="14331" width="2.42578125" style="51" customWidth="1"/>
    <col min="14332" max="14332" width="11" style="51" customWidth="1"/>
    <col min="14333" max="14333" width="15" style="51" customWidth="1"/>
    <col min="14334" max="14336" width="8.85546875" style="51" customWidth="1"/>
    <col min="14337" max="14580" width="9.140625" style="51"/>
    <col min="14581" max="14581" width="18.42578125" style="51" customWidth="1"/>
    <col min="14582" max="14582" width="2.42578125" style="51" customWidth="1"/>
    <col min="14583" max="14586" width="11" style="51" customWidth="1"/>
    <col min="14587" max="14587" width="2.42578125" style="51" customWidth="1"/>
    <col min="14588" max="14588" width="11" style="51" customWidth="1"/>
    <col min="14589" max="14589" width="15" style="51" customWidth="1"/>
    <col min="14590" max="14592" width="8.85546875" style="51" customWidth="1"/>
    <col min="14593" max="14836" width="9.140625" style="51"/>
    <col min="14837" max="14837" width="18.42578125" style="51" customWidth="1"/>
    <col min="14838" max="14838" width="2.42578125" style="51" customWidth="1"/>
    <col min="14839" max="14842" width="11" style="51" customWidth="1"/>
    <col min="14843" max="14843" width="2.42578125" style="51" customWidth="1"/>
    <col min="14844" max="14844" width="11" style="51" customWidth="1"/>
    <col min="14845" max="14845" width="15" style="51" customWidth="1"/>
    <col min="14846" max="14848" width="8.85546875" style="51" customWidth="1"/>
    <col min="14849" max="15092" width="9.140625" style="51"/>
    <col min="15093" max="15093" width="18.42578125" style="51" customWidth="1"/>
    <col min="15094" max="15094" width="2.42578125" style="51" customWidth="1"/>
    <col min="15095" max="15098" width="11" style="51" customWidth="1"/>
    <col min="15099" max="15099" width="2.42578125" style="51" customWidth="1"/>
    <col min="15100" max="15100" width="11" style="51" customWidth="1"/>
    <col min="15101" max="15101" width="15" style="51" customWidth="1"/>
    <col min="15102" max="15104" width="8.85546875" style="51" customWidth="1"/>
    <col min="15105" max="15348" width="9.140625" style="51"/>
    <col min="15349" max="15349" width="18.42578125" style="51" customWidth="1"/>
    <col min="15350" max="15350" width="2.42578125" style="51" customWidth="1"/>
    <col min="15351" max="15354" width="11" style="51" customWidth="1"/>
    <col min="15355" max="15355" width="2.42578125" style="51" customWidth="1"/>
    <col min="15356" max="15356" width="11" style="51" customWidth="1"/>
    <col min="15357" max="15357" width="15" style="51" customWidth="1"/>
    <col min="15358" max="15360" width="8.85546875" style="51" customWidth="1"/>
    <col min="15361" max="15604" width="9.140625" style="51"/>
    <col min="15605" max="15605" width="18.42578125" style="51" customWidth="1"/>
    <col min="15606" max="15606" width="2.42578125" style="51" customWidth="1"/>
    <col min="15607" max="15610" width="11" style="51" customWidth="1"/>
    <col min="15611" max="15611" width="2.42578125" style="51" customWidth="1"/>
    <col min="15612" max="15612" width="11" style="51" customWidth="1"/>
    <col min="15613" max="15613" width="15" style="51" customWidth="1"/>
    <col min="15614" max="15616" width="8.85546875" style="51" customWidth="1"/>
    <col min="15617" max="15860" width="9.140625" style="51"/>
    <col min="15861" max="15861" width="18.42578125" style="51" customWidth="1"/>
    <col min="15862" max="15862" width="2.42578125" style="51" customWidth="1"/>
    <col min="15863" max="15866" width="11" style="51" customWidth="1"/>
    <col min="15867" max="15867" width="2.42578125" style="51" customWidth="1"/>
    <col min="15868" max="15868" width="11" style="51" customWidth="1"/>
    <col min="15869" max="15869" width="15" style="51" customWidth="1"/>
    <col min="15870" max="15872" width="8.85546875" style="51" customWidth="1"/>
    <col min="15873" max="16116" width="9.140625" style="51"/>
    <col min="16117" max="16117" width="18.42578125" style="51" customWidth="1"/>
    <col min="16118" max="16118" width="2.42578125" style="51" customWidth="1"/>
    <col min="16119" max="16122" width="11" style="51" customWidth="1"/>
    <col min="16123" max="16123" width="2.42578125" style="51" customWidth="1"/>
    <col min="16124" max="16124" width="11" style="51" customWidth="1"/>
    <col min="16125" max="16125" width="15" style="51" customWidth="1"/>
    <col min="16126" max="16128" width="8.85546875" style="51" customWidth="1"/>
    <col min="16129" max="16384" width="9.140625" style="51"/>
  </cols>
  <sheetData>
    <row r="1" spans="1:8" s="68" customFormat="1" ht="22.5" customHeight="1" x14ac:dyDescent="0.25">
      <c r="A1" s="29" t="s">
        <v>614</v>
      </c>
      <c r="B1" s="30"/>
      <c r="C1" s="30"/>
      <c r="D1" s="30"/>
      <c r="E1" s="30"/>
      <c r="F1" s="30"/>
      <c r="G1" s="30"/>
      <c r="H1" s="30"/>
    </row>
    <row r="2" spans="1:8" s="121" customFormat="1" ht="35.25" customHeight="1" x14ac:dyDescent="0.25">
      <c r="A2" s="118"/>
      <c r="B2" s="118"/>
      <c r="C2" s="119" t="s">
        <v>533</v>
      </c>
      <c r="D2" s="119" t="s">
        <v>534</v>
      </c>
      <c r="E2" s="119" t="s">
        <v>528</v>
      </c>
      <c r="F2" s="119" t="s">
        <v>529</v>
      </c>
      <c r="G2" s="119"/>
      <c r="H2" s="120" t="s">
        <v>535</v>
      </c>
    </row>
    <row r="3" spans="1:8" s="16" customFormat="1" x14ac:dyDescent="0.25">
      <c r="A3" s="1" t="s">
        <v>31</v>
      </c>
      <c r="B3" s="122"/>
      <c r="C3" s="136">
        <v>326.91437999999999</v>
      </c>
      <c r="D3" s="136">
        <v>330.61838</v>
      </c>
      <c r="E3" s="40">
        <f>D3-C3</f>
        <v>3.7040000000000077</v>
      </c>
      <c r="F3" s="137">
        <f>D3/C3</f>
        <v>1.0113301837624886</v>
      </c>
      <c r="G3" s="122"/>
      <c r="H3" s="138">
        <v>-102.39989999999999</v>
      </c>
    </row>
    <row r="4" spans="1:8" s="16" customFormat="1" x14ac:dyDescent="0.25">
      <c r="A4" s="2" t="s">
        <v>32</v>
      </c>
      <c r="C4" s="136">
        <v>800.06741999999997</v>
      </c>
      <c r="D4" s="136">
        <v>729.5705099999999</v>
      </c>
      <c r="E4" s="40">
        <f t="shared" ref="E4:E67" si="0">D4-C4</f>
        <v>-70.496910000000071</v>
      </c>
      <c r="F4" s="137">
        <f t="shared" ref="F4:F67" si="1">D4/C4</f>
        <v>0.91188628828305485</v>
      </c>
      <c r="H4" s="138">
        <v>-249.65643</v>
      </c>
    </row>
    <row r="5" spans="1:8" s="16" customFormat="1" x14ac:dyDescent="0.25">
      <c r="A5" s="2" t="s">
        <v>4</v>
      </c>
      <c r="C5" s="136">
        <v>272.33275000000003</v>
      </c>
      <c r="D5" s="136">
        <v>272.89873</v>
      </c>
      <c r="E5" s="40">
        <f t="shared" si="0"/>
        <v>0.56597999999996773</v>
      </c>
      <c r="F5" s="137">
        <f t="shared" si="1"/>
        <v>1.0020782663855154</v>
      </c>
      <c r="H5" s="138">
        <v>1.5188199999999998</v>
      </c>
    </row>
    <row r="6" spans="1:8" s="16" customFormat="1" x14ac:dyDescent="0.25">
      <c r="A6" s="2" t="s">
        <v>33</v>
      </c>
      <c r="C6" s="136">
        <v>299.87029000000001</v>
      </c>
      <c r="D6" s="136">
        <v>260.76700999999997</v>
      </c>
      <c r="E6" s="40">
        <f t="shared" si="0"/>
        <v>-39.103280000000041</v>
      </c>
      <c r="F6" s="137">
        <f t="shared" si="1"/>
        <v>0.86959935244001652</v>
      </c>
      <c r="H6" s="138">
        <v>-99.957130000000006</v>
      </c>
    </row>
    <row r="7" spans="1:8" s="16" customFormat="1" x14ac:dyDescent="0.25">
      <c r="A7" s="2" t="s">
        <v>34</v>
      </c>
      <c r="C7" s="136">
        <v>106.82246000000001</v>
      </c>
      <c r="D7" s="136">
        <v>59.295549999999992</v>
      </c>
      <c r="E7" s="40">
        <f t="shared" si="0"/>
        <v>-47.526910000000015</v>
      </c>
      <c r="F7" s="137">
        <f t="shared" si="1"/>
        <v>0.55508504484918231</v>
      </c>
      <c r="H7" s="138">
        <v>-89.209429999999998</v>
      </c>
    </row>
    <row r="8" spans="1:8" s="16" customFormat="1" x14ac:dyDescent="0.25">
      <c r="A8" s="2" t="s">
        <v>35</v>
      </c>
      <c r="C8" s="136">
        <v>508.27875</v>
      </c>
      <c r="D8" s="136">
        <v>503.13821999999999</v>
      </c>
      <c r="E8" s="40">
        <f t="shared" si="0"/>
        <v>-5.1405300000000125</v>
      </c>
      <c r="F8" s="137">
        <f t="shared" si="1"/>
        <v>0.98988639599825878</v>
      </c>
      <c r="H8" s="138">
        <v>28.325689999999998</v>
      </c>
    </row>
    <row r="9" spans="1:8" s="16" customFormat="1" x14ac:dyDescent="0.25">
      <c r="A9" s="2" t="s">
        <v>36</v>
      </c>
      <c r="C9" s="136">
        <v>158.67921999999996</v>
      </c>
      <c r="D9" s="136">
        <v>150.62105</v>
      </c>
      <c r="E9" s="40">
        <f t="shared" si="0"/>
        <v>-8.0581699999999614</v>
      </c>
      <c r="F9" s="137">
        <f t="shared" si="1"/>
        <v>0.94921723209882203</v>
      </c>
      <c r="H9" s="138">
        <v>-40.67474</v>
      </c>
    </row>
    <row r="10" spans="1:8" s="16" customFormat="1" x14ac:dyDescent="0.25">
      <c r="A10" s="2" t="s">
        <v>5</v>
      </c>
      <c r="C10" s="136">
        <v>1973.2819299999999</v>
      </c>
      <c r="D10" s="136">
        <v>1933.31105</v>
      </c>
      <c r="E10" s="40">
        <f t="shared" si="0"/>
        <v>-39.970879999999852</v>
      </c>
      <c r="F10" s="137">
        <f t="shared" si="1"/>
        <v>0.97974395883714405</v>
      </c>
      <c r="H10" s="138">
        <v>-31.04936</v>
      </c>
    </row>
    <row r="11" spans="1:8" s="16" customFormat="1" x14ac:dyDescent="0.25">
      <c r="A11" s="2" t="s">
        <v>37</v>
      </c>
      <c r="C11" s="136">
        <v>72.419950000000014</v>
      </c>
      <c r="D11" s="136">
        <v>78.119350000000011</v>
      </c>
      <c r="E11" s="40">
        <f t="shared" si="0"/>
        <v>5.6993999999999971</v>
      </c>
      <c r="F11" s="137">
        <f t="shared" si="1"/>
        <v>1.0786993086849685</v>
      </c>
      <c r="H11" s="138">
        <v>35.694189999999999</v>
      </c>
    </row>
    <row r="12" spans="1:8" s="16" customFormat="1" x14ac:dyDescent="0.25">
      <c r="A12" s="2" t="s">
        <v>38</v>
      </c>
      <c r="C12" s="136">
        <v>177.64612</v>
      </c>
      <c r="D12" s="136">
        <v>177.03295</v>
      </c>
      <c r="E12" s="40">
        <f t="shared" si="0"/>
        <v>-0.61316999999999666</v>
      </c>
      <c r="F12" s="137">
        <f t="shared" si="1"/>
        <v>0.99654836255359813</v>
      </c>
      <c r="H12" s="138">
        <v>-47.117100000000001</v>
      </c>
    </row>
    <row r="13" spans="1:8" s="16" customFormat="1" x14ac:dyDescent="0.25">
      <c r="A13" s="2" t="s">
        <v>6</v>
      </c>
      <c r="C13" s="136">
        <v>430.81504999999999</v>
      </c>
      <c r="D13" s="136">
        <v>462.09539999999998</v>
      </c>
      <c r="E13" s="40">
        <f t="shared" si="0"/>
        <v>31.280349999999999</v>
      </c>
      <c r="F13" s="137">
        <f t="shared" si="1"/>
        <v>1.0726073752530234</v>
      </c>
      <c r="H13" s="138">
        <v>59.645110000000003</v>
      </c>
    </row>
    <row r="14" spans="1:8" s="16" customFormat="1" x14ac:dyDescent="0.25">
      <c r="A14" s="2" t="s">
        <v>39</v>
      </c>
      <c r="C14" s="136">
        <v>305.19384000000002</v>
      </c>
      <c r="D14" s="136">
        <v>323.28909000000004</v>
      </c>
      <c r="E14" s="40">
        <f t="shared" si="0"/>
        <v>18.095250000000021</v>
      </c>
      <c r="F14" s="137">
        <f t="shared" si="1"/>
        <v>1.0592910066598986</v>
      </c>
      <c r="H14" s="138">
        <v>-25.93253</v>
      </c>
    </row>
    <row r="15" spans="1:8" s="16" customFormat="1" x14ac:dyDescent="0.25">
      <c r="A15" s="2" t="s">
        <v>40</v>
      </c>
      <c r="C15" s="136">
        <v>84.582129999999992</v>
      </c>
      <c r="D15" s="136">
        <v>86.604459999999989</v>
      </c>
      <c r="E15" s="40">
        <f t="shared" si="0"/>
        <v>2.0223299999999966</v>
      </c>
      <c r="F15" s="137">
        <f t="shared" si="1"/>
        <v>1.0239096603502418</v>
      </c>
      <c r="H15" s="138">
        <v>1.3819699999999999</v>
      </c>
    </row>
    <row r="16" spans="1:8" s="16" customFormat="1" x14ac:dyDescent="0.25">
      <c r="A16" s="2" t="s">
        <v>41</v>
      </c>
      <c r="C16" s="136">
        <v>35.724599999999995</v>
      </c>
      <c r="D16" s="136">
        <v>24.755699999999997</v>
      </c>
      <c r="E16" s="40">
        <f t="shared" si="0"/>
        <v>-10.968899999999998</v>
      </c>
      <c r="F16" s="137">
        <f t="shared" si="1"/>
        <v>0.69295947330410979</v>
      </c>
      <c r="H16" s="138">
        <v>-11.13392</v>
      </c>
    </row>
    <row r="17" spans="1:8" s="16" customFormat="1" x14ac:dyDescent="0.25">
      <c r="A17" s="2" t="s">
        <v>27</v>
      </c>
      <c r="C17" s="136">
        <v>6598.9799200000007</v>
      </c>
      <c r="D17" s="136">
        <v>6428.982289999999</v>
      </c>
      <c r="E17" s="40">
        <f t="shared" si="0"/>
        <v>-169.99763000000166</v>
      </c>
      <c r="F17" s="137">
        <f t="shared" si="1"/>
        <v>0.97423880174498223</v>
      </c>
      <c r="H17" s="138">
        <v>-94.235420000000005</v>
      </c>
    </row>
    <row r="18" spans="1:8" s="16" customFormat="1" x14ac:dyDescent="0.25">
      <c r="A18" s="2" t="s">
        <v>7</v>
      </c>
      <c r="C18" s="136">
        <v>724.16126999999994</v>
      </c>
      <c r="D18" s="136">
        <v>734.55768999999998</v>
      </c>
      <c r="E18" s="40">
        <f t="shared" si="0"/>
        <v>10.396420000000035</v>
      </c>
      <c r="F18" s="137">
        <f t="shared" si="1"/>
        <v>1.0143564982424427</v>
      </c>
      <c r="H18" s="138">
        <v>12.47941</v>
      </c>
    </row>
    <row r="19" spans="1:8" s="16" customFormat="1" x14ac:dyDescent="0.25">
      <c r="A19" s="2" t="s">
        <v>42</v>
      </c>
      <c r="C19" s="136">
        <v>692.15634999999997</v>
      </c>
      <c r="D19" s="136">
        <v>600.61980000000005</v>
      </c>
      <c r="E19" s="40">
        <f t="shared" si="0"/>
        <v>-91.53654999999992</v>
      </c>
      <c r="F19" s="137">
        <f t="shared" si="1"/>
        <v>0.86775162866020095</v>
      </c>
      <c r="H19" s="138">
        <v>-553.40842000000009</v>
      </c>
    </row>
    <row r="20" spans="1:8" s="16" customFormat="1" x14ac:dyDescent="0.25">
      <c r="A20" s="2" t="s">
        <v>43</v>
      </c>
      <c r="C20" s="136">
        <v>160.86850000000001</v>
      </c>
      <c r="D20" s="136">
        <v>188.88485000000003</v>
      </c>
      <c r="E20" s="40">
        <f t="shared" si="0"/>
        <v>28.016350000000017</v>
      </c>
      <c r="F20" s="137">
        <f t="shared" si="1"/>
        <v>1.1741568423899025</v>
      </c>
      <c r="H20" s="138">
        <v>56.537330000000004</v>
      </c>
    </row>
    <row r="21" spans="1:8" s="16" customFormat="1" x14ac:dyDescent="0.25">
      <c r="A21" s="2" t="s">
        <v>44</v>
      </c>
      <c r="C21" s="136">
        <v>307.91809000000001</v>
      </c>
      <c r="D21" s="136">
        <v>313.94322</v>
      </c>
      <c r="E21" s="40">
        <f t="shared" si="0"/>
        <v>6.0251299999999901</v>
      </c>
      <c r="F21" s="137">
        <f t="shared" si="1"/>
        <v>1.0195673141516304</v>
      </c>
      <c r="H21" s="138">
        <v>41.695720000000001</v>
      </c>
    </row>
    <row r="22" spans="1:8" s="16" customFormat="1" x14ac:dyDescent="0.25">
      <c r="A22" s="2" t="s">
        <v>8</v>
      </c>
      <c r="C22" s="136">
        <v>90.176439999999999</v>
      </c>
      <c r="D22" s="136">
        <v>88.042850000000001</v>
      </c>
      <c r="E22" s="40">
        <f t="shared" si="0"/>
        <v>-2.1335899999999981</v>
      </c>
      <c r="F22" s="137">
        <f t="shared" si="1"/>
        <v>0.97633982889544102</v>
      </c>
      <c r="H22" s="138">
        <v>-22.610990000000001</v>
      </c>
    </row>
    <row r="23" spans="1:8" s="16" customFormat="1" x14ac:dyDescent="0.25">
      <c r="A23" s="2" t="s">
        <v>45</v>
      </c>
      <c r="C23" s="136">
        <v>19.132699999999996</v>
      </c>
      <c r="D23" s="136">
        <v>19.13</v>
      </c>
      <c r="E23" s="40">
        <f t="shared" si="0"/>
        <v>-2.6999999999972601E-3</v>
      </c>
      <c r="F23" s="137">
        <f t="shared" si="1"/>
        <v>0.99985888034621373</v>
      </c>
      <c r="H23" s="138">
        <v>9.4338999999999995</v>
      </c>
    </row>
    <row r="24" spans="1:8" s="16" customFormat="1" x14ac:dyDescent="0.25">
      <c r="A24" s="2" t="s">
        <v>46</v>
      </c>
      <c r="C24" s="136">
        <v>291.70436000000007</v>
      </c>
      <c r="D24" s="136">
        <v>279.07665000000003</v>
      </c>
      <c r="E24" s="40">
        <f t="shared" si="0"/>
        <v>-12.627710000000036</v>
      </c>
      <c r="F24" s="137">
        <f t="shared" si="1"/>
        <v>0.95671058876185455</v>
      </c>
      <c r="H24" s="138">
        <v>-41.889650000000003</v>
      </c>
    </row>
    <row r="25" spans="1:8" s="16" customFormat="1" x14ac:dyDescent="0.25">
      <c r="A25" s="2" t="s">
        <v>47</v>
      </c>
      <c r="C25" s="136">
        <v>150.28020000000001</v>
      </c>
      <c r="D25" s="136">
        <v>147.10537000000002</v>
      </c>
      <c r="E25" s="40">
        <f t="shared" si="0"/>
        <v>-3.1748299999999858</v>
      </c>
      <c r="F25" s="137">
        <f t="shared" si="1"/>
        <v>0.97887393016511837</v>
      </c>
      <c r="H25" s="138">
        <v>-21.490629999999999</v>
      </c>
    </row>
    <row r="26" spans="1:8" s="16" customFormat="1" x14ac:dyDescent="0.25">
      <c r="A26" s="2" t="s">
        <v>48</v>
      </c>
      <c r="C26" s="136">
        <v>739.51242999999999</v>
      </c>
      <c r="D26" s="136">
        <v>643.67444999999998</v>
      </c>
      <c r="E26" s="40">
        <f t="shared" si="0"/>
        <v>-95.837980000000016</v>
      </c>
      <c r="F26" s="137">
        <f t="shared" si="1"/>
        <v>0.87040382810063111</v>
      </c>
      <c r="H26" s="138">
        <v>-48.3172</v>
      </c>
    </row>
    <row r="27" spans="1:8" s="16" customFormat="1" x14ac:dyDescent="0.25">
      <c r="A27" s="2" t="s">
        <v>49</v>
      </c>
      <c r="C27" s="136">
        <v>121.21295000000001</v>
      </c>
      <c r="D27" s="136">
        <v>119.52875999999999</v>
      </c>
      <c r="E27" s="40">
        <f t="shared" si="0"/>
        <v>-1.6841900000000152</v>
      </c>
      <c r="F27" s="137">
        <f t="shared" si="1"/>
        <v>0.98610552750345559</v>
      </c>
      <c r="H27" s="138">
        <v>-40.130569999999999</v>
      </c>
    </row>
    <row r="28" spans="1:8" s="16" customFormat="1" x14ac:dyDescent="0.25">
      <c r="A28" s="2" t="s">
        <v>50</v>
      </c>
      <c r="C28" s="136">
        <v>184.85036999999997</v>
      </c>
      <c r="D28" s="136">
        <v>158.65304999999998</v>
      </c>
      <c r="E28" s="40">
        <f t="shared" si="0"/>
        <v>-26.197319999999991</v>
      </c>
      <c r="F28" s="137">
        <f t="shared" si="1"/>
        <v>0.85827823877225673</v>
      </c>
      <c r="H28" s="138">
        <v>-95.608800000000002</v>
      </c>
    </row>
    <row r="29" spans="1:8" s="16" customFormat="1" x14ac:dyDescent="0.25">
      <c r="A29" s="2" t="s">
        <v>51</v>
      </c>
      <c r="C29" s="136">
        <v>252.85368999999997</v>
      </c>
      <c r="D29" s="136">
        <v>251.34560999999999</v>
      </c>
      <c r="E29" s="40">
        <f t="shared" si="0"/>
        <v>-1.5080799999999783</v>
      </c>
      <c r="F29" s="137">
        <f t="shared" si="1"/>
        <v>0.99403576036402719</v>
      </c>
      <c r="H29" s="138">
        <v>-186.98929999999999</v>
      </c>
    </row>
    <row r="30" spans="1:8" s="16" customFormat="1" x14ac:dyDescent="0.25">
      <c r="A30" s="2" t="s">
        <v>52</v>
      </c>
      <c r="C30" s="136">
        <v>427.55619000000007</v>
      </c>
      <c r="D30" s="136">
        <v>471.55096999999995</v>
      </c>
      <c r="E30" s="40">
        <f t="shared" si="0"/>
        <v>43.994779999999878</v>
      </c>
      <c r="F30" s="137">
        <f t="shared" si="1"/>
        <v>1.1028982412814556</v>
      </c>
      <c r="H30" s="138">
        <v>63.170180000000002</v>
      </c>
    </row>
    <row r="31" spans="1:8" s="16" customFormat="1" x14ac:dyDescent="0.25">
      <c r="A31" s="2" t="s">
        <v>9</v>
      </c>
      <c r="C31" s="136">
        <v>18.88485</v>
      </c>
      <c r="D31" s="136">
        <v>18.929349999999999</v>
      </c>
      <c r="E31" s="40">
        <f t="shared" si="0"/>
        <v>4.4499999999999318E-2</v>
      </c>
      <c r="F31" s="137">
        <f t="shared" si="1"/>
        <v>1.0023563862037559</v>
      </c>
      <c r="H31" s="138">
        <v>2.6869499999999999</v>
      </c>
    </row>
    <row r="32" spans="1:8" s="16" customFormat="1" x14ac:dyDescent="0.25">
      <c r="A32" s="2" t="s">
        <v>10</v>
      </c>
      <c r="C32" s="136">
        <v>302.89944999999994</v>
      </c>
      <c r="D32" s="136">
        <v>249.44085000000001</v>
      </c>
      <c r="E32" s="40">
        <f t="shared" si="0"/>
        <v>-53.458599999999933</v>
      </c>
      <c r="F32" s="137">
        <f t="shared" si="1"/>
        <v>0.82351040914732609</v>
      </c>
      <c r="H32" s="138">
        <v>-120.56269999999999</v>
      </c>
    </row>
    <row r="33" spans="1:8" s="16" customFormat="1" x14ac:dyDescent="0.25">
      <c r="A33" s="2" t="s">
        <v>53</v>
      </c>
      <c r="C33" s="136">
        <v>777.03809000000001</v>
      </c>
      <c r="D33" s="136">
        <v>795.90234999999996</v>
      </c>
      <c r="E33" s="40">
        <f t="shared" si="0"/>
        <v>18.864259999999945</v>
      </c>
      <c r="F33" s="137">
        <f t="shared" si="1"/>
        <v>1.0242771367874641</v>
      </c>
      <c r="H33" s="138">
        <v>-725.35121000000004</v>
      </c>
    </row>
    <row r="34" spans="1:8" s="16" customFormat="1" x14ac:dyDescent="0.25">
      <c r="A34" s="2" t="s">
        <v>54</v>
      </c>
      <c r="C34" s="136">
        <v>794.52671000000009</v>
      </c>
      <c r="D34" s="136">
        <v>704.95027000000005</v>
      </c>
      <c r="E34" s="40">
        <f t="shared" si="0"/>
        <v>-89.576440000000048</v>
      </c>
      <c r="F34" s="137">
        <f t="shared" si="1"/>
        <v>0.88725811370142604</v>
      </c>
      <c r="H34" s="138">
        <v>-18.051539999999999</v>
      </c>
    </row>
    <row r="35" spans="1:8" s="16" customFormat="1" x14ac:dyDescent="0.25">
      <c r="A35" s="2" t="s">
        <v>55</v>
      </c>
      <c r="C35" s="136">
        <v>342.29120999999998</v>
      </c>
      <c r="D35" s="136">
        <v>352.30490000000003</v>
      </c>
      <c r="E35" s="40">
        <f t="shared" si="0"/>
        <v>10.013690000000054</v>
      </c>
      <c r="F35" s="137">
        <f t="shared" si="1"/>
        <v>1.0292548850436447</v>
      </c>
      <c r="H35" s="138">
        <v>-26.213249999999999</v>
      </c>
    </row>
    <row r="36" spans="1:8" s="16" customFormat="1" x14ac:dyDescent="0.25">
      <c r="A36" s="2" t="s">
        <v>56</v>
      </c>
      <c r="C36" s="136">
        <v>299.35052000000002</v>
      </c>
      <c r="D36" s="136">
        <v>282.02479999999991</v>
      </c>
      <c r="E36" s="40">
        <f t="shared" si="0"/>
        <v>-17.325720000000103</v>
      </c>
      <c r="F36" s="137">
        <f t="shared" si="1"/>
        <v>0.94212229863505803</v>
      </c>
      <c r="H36" s="138">
        <v>-26.155439999999999</v>
      </c>
    </row>
    <row r="37" spans="1:8" s="16" customFormat="1" x14ac:dyDescent="0.25">
      <c r="A37" s="2" t="s">
        <v>57</v>
      </c>
      <c r="C37" s="136">
        <v>9.7537000000000003</v>
      </c>
      <c r="D37" s="136">
        <v>9.7897499999999997</v>
      </c>
      <c r="E37" s="40">
        <f t="shared" si="0"/>
        <v>3.6049999999999471E-2</v>
      </c>
      <c r="F37" s="137">
        <f t="shared" si="1"/>
        <v>1.0036960333001834</v>
      </c>
      <c r="H37" s="138">
        <v>0.20399999999999999</v>
      </c>
    </row>
    <row r="38" spans="1:8" s="16" customFormat="1" x14ac:dyDescent="0.25">
      <c r="A38" s="2" t="s">
        <v>58</v>
      </c>
      <c r="C38" s="136">
        <v>154.22444000000002</v>
      </c>
      <c r="D38" s="136">
        <v>135.7971</v>
      </c>
      <c r="E38" s="40">
        <f t="shared" si="0"/>
        <v>-18.427340000000015</v>
      </c>
      <c r="F38" s="137">
        <f t="shared" si="1"/>
        <v>0.88051608422115191</v>
      </c>
      <c r="H38" s="138">
        <v>-0.75114999999999998</v>
      </c>
    </row>
    <row r="39" spans="1:8" s="16" customFormat="1" x14ac:dyDescent="0.25">
      <c r="A39" s="2" t="s">
        <v>11</v>
      </c>
      <c r="C39" s="136">
        <v>944.55660999999998</v>
      </c>
      <c r="D39" s="136">
        <v>952.85523000000012</v>
      </c>
      <c r="E39" s="40">
        <f t="shared" si="0"/>
        <v>8.2986200000001418</v>
      </c>
      <c r="F39" s="137">
        <f t="shared" si="1"/>
        <v>1.0087857306932617</v>
      </c>
      <c r="H39" s="138">
        <v>5.36233</v>
      </c>
    </row>
    <row r="40" spans="1:8" s="16" customFormat="1" x14ac:dyDescent="0.25">
      <c r="A40" s="3" t="s">
        <v>59</v>
      </c>
      <c r="C40" s="136">
        <v>290.43053999999995</v>
      </c>
      <c r="D40" s="136">
        <v>298.36644000000001</v>
      </c>
      <c r="E40" s="40">
        <f t="shared" si="0"/>
        <v>7.9359000000000606</v>
      </c>
      <c r="F40" s="137">
        <f t="shared" si="1"/>
        <v>1.0273246057387768</v>
      </c>
      <c r="H40" s="138">
        <v>5.4978400000000001</v>
      </c>
    </row>
    <row r="41" spans="1:8" s="16" customFormat="1" x14ac:dyDescent="0.25">
      <c r="A41" s="2" t="s">
        <v>60</v>
      </c>
      <c r="C41" s="136">
        <v>1166.4709499999997</v>
      </c>
      <c r="D41" s="136">
        <v>1135.9840200000001</v>
      </c>
      <c r="E41" s="40">
        <f t="shared" si="0"/>
        <v>-30.486929999999575</v>
      </c>
      <c r="F41" s="137">
        <f t="shared" si="1"/>
        <v>0.97386396120709262</v>
      </c>
      <c r="H41" s="138">
        <v>-753.67752000000007</v>
      </c>
    </row>
    <row r="42" spans="1:8" s="16" customFormat="1" x14ac:dyDescent="0.25">
      <c r="A42" s="2" t="s">
        <v>61</v>
      </c>
      <c r="C42" s="136">
        <v>420.19341000000003</v>
      </c>
      <c r="D42" s="136">
        <v>417.49744999999996</v>
      </c>
      <c r="E42" s="40">
        <f t="shared" si="0"/>
        <v>-2.6959600000000705</v>
      </c>
      <c r="F42" s="137">
        <f t="shared" si="1"/>
        <v>0.99358400218604082</v>
      </c>
      <c r="H42" s="138">
        <v>-58.261429999999997</v>
      </c>
    </row>
    <row r="43" spans="1:8" s="16" customFormat="1" x14ac:dyDescent="0.25">
      <c r="A43" s="2" t="s">
        <v>62</v>
      </c>
      <c r="C43" s="136">
        <v>362.62229000000002</v>
      </c>
      <c r="D43" s="136">
        <v>368.69166999999999</v>
      </c>
      <c r="E43" s="40">
        <f t="shared" si="0"/>
        <v>6.0693799999999669</v>
      </c>
      <c r="F43" s="137">
        <f t="shared" si="1"/>
        <v>1.016737470826738</v>
      </c>
      <c r="H43" s="138">
        <v>12.78074</v>
      </c>
    </row>
    <row r="44" spans="1:8" s="16" customFormat="1" x14ac:dyDescent="0.25">
      <c r="A44" s="2" t="s">
        <v>63</v>
      </c>
      <c r="C44" s="136">
        <v>215.14647999999994</v>
      </c>
      <c r="D44" s="136">
        <v>237.92348999999999</v>
      </c>
      <c r="E44" s="40">
        <f t="shared" si="0"/>
        <v>22.777010000000047</v>
      </c>
      <c r="F44" s="137">
        <f t="shared" si="1"/>
        <v>1.105867453652972</v>
      </c>
      <c r="H44" s="138">
        <v>-54.881629999999994</v>
      </c>
    </row>
    <row r="45" spans="1:8" s="16" customFormat="1" x14ac:dyDescent="0.25">
      <c r="A45" s="2" t="s">
        <v>64</v>
      </c>
      <c r="C45" s="136">
        <v>119.53321999999999</v>
      </c>
      <c r="D45" s="136">
        <v>116.66304999999998</v>
      </c>
      <c r="E45" s="40">
        <f t="shared" si="0"/>
        <v>-2.8701700000000017</v>
      </c>
      <c r="F45" s="137">
        <f t="shared" si="1"/>
        <v>0.97598851599580438</v>
      </c>
      <c r="H45" s="138">
        <v>3.3695999999999997</v>
      </c>
    </row>
    <row r="46" spans="1:8" s="16" customFormat="1" x14ac:dyDescent="0.25">
      <c r="A46" s="2" t="s">
        <v>65</v>
      </c>
      <c r="C46" s="136">
        <v>41.007750000000001</v>
      </c>
      <c r="D46" s="136">
        <v>38.431910000000002</v>
      </c>
      <c r="E46" s="40">
        <f t="shared" si="0"/>
        <v>-2.5758399999999995</v>
      </c>
      <c r="F46" s="137">
        <f t="shared" si="1"/>
        <v>0.93718650742847387</v>
      </c>
      <c r="H46" s="138">
        <v>12.629620000000001</v>
      </c>
    </row>
    <row r="47" spans="1:8" s="16" customFormat="1" x14ac:dyDescent="0.25">
      <c r="A47" s="2" t="s">
        <v>66</v>
      </c>
      <c r="C47" s="136">
        <v>520.83715000000007</v>
      </c>
      <c r="D47" s="136">
        <v>584.31965999999989</v>
      </c>
      <c r="E47" s="40">
        <f t="shared" si="0"/>
        <v>63.48250999999982</v>
      </c>
      <c r="F47" s="137">
        <f t="shared" si="1"/>
        <v>1.1218855260228648</v>
      </c>
      <c r="H47" s="138">
        <v>-226.69670000000002</v>
      </c>
    </row>
    <row r="48" spans="1:8" s="16" customFormat="1" x14ac:dyDescent="0.25">
      <c r="A48" s="2" t="s">
        <v>67</v>
      </c>
      <c r="C48" s="136">
        <v>1251.3890700000004</v>
      </c>
      <c r="D48" s="136">
        <v>1251.3890700000002</v>
      </c>
      <c r="E48" s="40">
        <f t="shared" si="0"/>
        <v>0</v>
      </c>
      <c r="F48" s="137">
        <f t="shared" si="1"/>
        <v>0.99999999999999978</v>
      </c>
      <c r="H48" s="138">
        <v>24.620090000000001</v>
      </c>
    </row>
    <row r="49" spans="1:8" s="16" customFormat="1" x14ac:dyDescent="0.25">
      <c r="A49" s="2" t="s">
        <v>68</v>
      </c>
      <c r="C49" s="136">
        <v>82.677760000000006</v>
      </c>
      <c r="D49" s="136">
        <v>82.610050000000001</v>
      </c>
      <c r="E49" s="40">
        <f t="shared" si="0"/>
        <v>-6.7710000000005266E-2</v>
      </c>
      <c r="F49" s="137">
        <f t="shared" si="1"/>
        <v>0.99918103731886299</v>
      </c>
      <c r="H49" s="138">
        <v>-23.94661</v>
      </c>
    </row>
    <row r="50" spans="1:8" s="16" customFormat="1" x14ac:dyDescent="0.25">
      <c r="A50" s="2" t="s">
        <v>69</v>
      </c>
      <c r="C50" s="136">
        <v>660.4634299999999</v>
      </c>
      <c r="D50" s="136">
        <v>636.60337000000015</v>
      </c>
      <c r="E50" s="40">
        <f t="shared" si="0"/>
        <v>-23.860059999999748</v>
      </c>
      <c r="F50" s="137">
        <f t="shared" si="1"/>
        <v>0.96387376058050667</v>
      </c>
      <c r="H50" s="138">
        <v>-60.736410000000006</v>
      </c>
    </row>
    <row r="51" spans="1:8" s="16" customFormat="1" x14ac:dyDescent="0.25">
      <c r="A51" s="2" t="s">
        <v>12</v>
      </c>
      <c r="C51" s="136">
        <v>105.16004</v>
      </c>
      <c r="D51" s="136">
        <v>106.47998999999999</v>
      </c>
      <c r="E51" s="40">
        <f t="shared" si="0"/>
        <v>1.3199499999999915</v>
      </c>
      <c r="F51" s="137">
        <f t="shared" si="1"/>
        <v>1.0125518210149025</v>
      </c>
      <c r="H51" s="138">
        <v>-8.5271399999999993</v>
      </c>
    </row>
    <row r="52" spans="1:8" s="16" customFormat="1" x14ac:dyDescent="0.25">
      <c r="A52" s="2" t="s">
        <v>70</v>
      </c>
      <c r="C52" s="136">
        <v>241.1053</v>
      </c>
      <c r="D52" s="136">
        <v>203.78915000000003</v>
      </c>
      <c r="E52" s="40">
        <f t="shared" si="0"/>
        <v>-37.316149999999965</v>
      </c>
      <c r="F52" s="137">
        <f t="shared" si="1"/>
        <v>0.84522882740445782</v>
      </c>
      <c r="H52" s="138">
        <v>-76.605440000000002</v>
      </c>
    </row>
    <row r="53" spans="1:8" s="16" customFormat="1" x14ac:dyDescent="0.25">
      <c r="A53" s="2" t="s">
        <v>71</v>
      </c>
      <c r="C53" s="136">
        <v>50.500999999999998</v>
      </c>
      <c r="D53" s="136">
        <v>51.182499999999997</v>
      </c>
      <c r="E53" s="40">
        <f t="shared" si="0"/>
        <v>0.68149999999999977</v>
      </c>
      <c r="F53" s="137">
        <f t="shared" si="1"/>
        <v>1.013494782281539</v>
      </c>
      <c r="H53" s="138">
        <v>0.22109000000000001</v>
      </c>
    </row>
    <row r="54" spans="1:8" s="16" customFormat="1" x14ac:dyDescent="0.25">
      <c r="A54" s="2" t="s">
        <v>72</v>
      </c>
      <c r="C54" s="136">
        <v>399.49242999999996</v>
      </c>
      <c r="D54" s="136">
        <v>318.18674999999996</v>
      </c>
      <c r="E54" s="40">
        <f t="shared" si="0"/>
        <v>-81.305679999999995</v>
      </c>
      <c r="F54" s="137">
        <f t="shared" si="1"/>
        <v>0.79647754526913062</v>
      </c>
      <c r="H54" s="138">
        <v>-306.8485</v>
      </c>
    </row>
    <row r="55" spans="1:8" s="16" customFormat="1" x14ac:dyDescent="0.25">
      <c r="A55" s="2" t="s">
        <v>13</v>
      </c>
      <c r="C55" s="136">
        <v>156.36099999999999</v>
      </c>
      <c r="D55" s="136">
        <v>180.87966000000003</v>
      </c>
      <c r="E55" s="40">
        <f t="shared" si="0"/>
        <v>24.51866000000004</v>
      </c>
      <c r="F55" s="137">
        <f t="shared" si="1"/>
        <v>1.1568080275772095</v>
      </c>
      <c r="H55" s="138">
        <v>14.32849</v>
      </c>
    </row>
    <row r="56" spans="1:8" s="16" customFormat="1" x14ac:dyDescent="0.25">
      <c r="A56" s="2" t="s">
        <v>26</v>
      </c>
      <c r="C56" s="136">
        <v>76.773600000000002</v>
      </c>
      <c r="D56" s="136">
        <v>71.023899999999998</v>
      </c>
      <c r="E56" s="40">
        <f t="shared" si="0"/>
        <v>-5.7497000000000043</v>
      </c>
      <c r="F56" s="137">
        <f t="shared" si="1"/>
        <v>0.92510837058572215</v>
      </c>
      <c r="H56" s="138">
        <v>-9.6407800000000012</v>
      </c>
    </row>
    <row r="57" spans="1:8" s="16" customFormat="1" x14ac:dyDescent="0.25">
      <c r="A57" s="2" t="s">
        <v>73</v>
      </c>
      <c r="C57" s="136">
        <v>6.4733999999999998</v>
      </c>
      <c r="D57" s="136">
        <v>6.93</v>
      </c>
      <c r="E57" s="40">
        <f t="shared" si="0"/>
        <v>0.45659999999999989</v>
      </c>
      <c r="F57" s="137">
        <f t="shared" si="1"/>
        <v>1.0705348039670035</v>
      </c>
      <c r="H57" s="138">
        <v>3.1965500000000002</v>
      </c>
    </row>
    <row r="58" spans="1:8" s="16" customFormat="1" x14ac:dyDescent="0.25">
      <c r="A58" s="1" t="s">
        <v>14</v>
      </c>
      <c r="C58" s="136">
        <v>2991.0834599999994</v>
      </c>
      <c r="D58" s="136">
        <v>3096.6885900000002</v>
      </c>
      <c r="E58" s="40">
        <f t="shared" si="0"/>
        <v>105.60513000000083</v>
      </c>
      <c r="F58" s="137">
        <f t="shared" si="1"/>
        <v>1.0353066477121975</v>
      </c>
      <c r="H58" s="138">
        <v>188.41698000000002</v>
      </c>
    </row>
    <row r="59" spans="1:8" s="16" customFormat="1" x14ac:dyDescent="0.25">
      <c r="A59" s="2" t="s">
        <v>28</v>
      </c>
      <c r="C59" s="136">
        <v>1017.9381699999999</v>
      </c>
      <c r="D59" s="136">
        <v>1153.08539</v>
      </c>
      <c r="E59" s="40">
        <f t="shared" si="0"/>
        <v>135.14722000000006</v>
      </c>
      <c r="F59" s="137">
        <f t="shared" si="1"/>
        <v>1.1327656472494789</v>
      </c>
      <c r="H59" s="138">
        <v>354.29086000000001</v>
      </c>
    </row>
    <row r="60" spans="1:8" s="16" customFormat="1" x14ac:dyDescent="0.25">
      <c r="A60" s="2" t="s">
        <v>29</v>
      </c>
      <c r="C60" s="136">
        <v>8643.5453799999996</v>
      </c>
      <c r="D60" s="136">
        <v>8650.4968399999998</v>
      </c>
      <c r="E60" s="40">
        <f t="shared" si="0"/>
        <v>6.9514600000002247</v>
      </c>
      <c r="F60" s="137">
        <f t="shared" si="1"/>
        <v>1.0008042371150252</v>
      </c>
      <c r="H60" s="138">
        <v>579.00310999999999</v>
      </c>
    </row>
    <row r="61" spans="1:8" s="16" customFormat="1" x14ac:dyDescent="0.25">
      <c r="A61" s="2" t="s">
        <v>74</v>
      </c>
      <c r="C61" s="136">
        <v>180.0652</v>
      </c>
      <c r="D61" s="136">
        <v>183.17</v>
      </c>
      <c r="E61" s="40">
        <f t="shared" si="0"/>
        <v>3.1047999999999831</v>
      </c>
      <c r="F61" s="137">
        <f t="shared" si="1"/>
        <v>1.0172426432203445</v>
      </c>
      <c r="H61" s="138">
        <v>0</v>
      </c>
    </row>
    <row r="62" spans="1:8" s="16" customFormat="1" x14ac:dyDescent="0.25">
      <c r="A62" s="2" t="s">
        <v>75</v>
      </c>
      <c r="C62" s="136">
        <v>352.91187000000002</v>
      </c>
      <c r="D62" s="136">
        <v>321.43758000000003</v>
      </c>
      <c r="E62" s="40">
        <f t="shared" si="0"/>
        <v>-31.474289999999996</v>
      </c>
      <c r="F62" s="137">
        <f t="shared" si="1"/>
        <v>0.91081543956002387</v>
      </c>
      <c r="H62" s="138">
        <v>-3.9304099999999997</v>
      </c>
    </row>
    <row r="63" spans="1:8" s="16" customFormat="1" x14ac:dyDescent="0.25">
      <c r="A63" s="2" t="s">
        <v>76</v>
      </c>
      <c r="C63" s="136">
        <v>313.49146999999999</v>
      </c>
      <c r="D63" s="136">
        <v>320.88743999999997</v>
      </c>
      <c r="E63" s="40">
        <f t="shared" si="0"/>
        <v>7.3959699999999771</v>
      </c>
      <c r="F63" s="137">
        <f t="shared" si="1"/>
        <v>1.0235922527652825</v>
      </c>
      <c r="H63" s="138">
        <v>-32.394730000000003</v>
      </c>
    </row>
    <row r="64" spans="1:8" s="16" customFormat="1" x14ac:dyDescent="0.25">
      <c r="A64" s="2" t="s">
        <v>77</v>
      </c>
      <c r="C64" s="136">
        <v>304.06347000000005</v>
      </c>
      <c r="D64" s="136">
        <v>258.74264999999997</v>
      </c>
      <c r="E64" s="40">
        <f t="shared" si="0"/>
        <v>-45.320820000000083</v>
      </c>
      <c r="F64" s="137">
        <f t="shared" si="1"/>
        <v>0.85094947446334124</v>
      </c>
      <c r="H64" s="138">
        <v>-170.98934</v>
      </c>
    </row>
    <row r="65" spans="1:8" s="16" customFormat="1" x14ac:dyDescent="0.25">
      <c r="A65" s="2" t="s">
        <v>15</v>
      </c>
      <c r="C65" s="136">
        <v>828.30812999999989</v>
      </c>
      <c r="D65" s="136">
        <v>865.10645</v>
      </c>
      <c r="E65" s="40">
        <f t="shared" si="0"/>
        <v>36.798320000000103</v>
      </c>
      <c r="F65" s="137">
        <f t="shared" si="1"/>
        <v>1.0444258829138864</v>
      </c>
      <c r="H65" s="138">
        <v>-30.455200000000001</v>
      </c>
    </row>
    <row r="66" spans="1:8" s="16" customFormat="1" x14ac:dyDescent="0.25">
      <c r="A66" s="2" t="s">
        <v>78</v>
      </c>
      <c r="C66" s="136">
        <v>337.65791000000002</v>
      </c>
      <c r="D66" s="136">
        <v>324.87101000000001</v>
      </c>
      <c r="E66" s="40">
        <f t="shared" si="0"/>
        <v>-12.786900000000003</v>
      </c>
      <c r="F66" s="137">
        <f t="shared" si="1"/>
        <v>0.96213060727645916</v>
      </c>
      <c r="H66" s="138">
        <v>-89.715330000000009</v>
      </c>
    </row>
    <row r="67" spans="1:8" s="16" customFormat="1" x14ac:dyDescent="0.25">
      <c r="A67" s="2" t="s">
        <v>16</v>
      </c>
      <c r="C67" s="136">
        <v>2182.2688199999998</v>
      </c>
      <c r="D67" s="136">
        <v>2482.0918800000004</v>
      </c>
      <c r="E67" s="40">
        <f t="shared" si="0"/>
        <v>299.82306000000062</v>
      </c>
      <c r="F67" s="137">
        <f t="shared" si="1"/>
        <v>1.1373905255173837</v>
      </c>
      <c r="H67" s="138">
        <v>187.79621</v>
      </c>
    </row>
    <row r="68" spans="1:8" s="16" customFormat="1" x14ac:dyDescent="0.25">
      <c r="A68" s="2" t="s">
        <v>79</v>
      </c>
      <c r="B68" s="47"/>
      <c r="C68" s="136">
        <v>75.430790000000002</v>
      </c>
      <c r="D68" s="136">
        <v>80.666350000000008</v>
      </c>
      <c r="E68" s="40">
        <f t="shared" ref="E68:E108" si="2">D68-C68</f>
        <v>5.2355600000000067</v>
      </c>
      <c r="F68" s="137">
        <f t="shared" ref="F68:F108" si="3">D68/C68</f>
        <v>1.0694087918209527</v>
      </c>
      <c r="G68" s="47"/>
      <c r="H68" s="138">
        <v>-8.0863199999999988</v>
      </c>
    </row>
    <row r="69" spans="1:8" s="16" customFormat="1" x14ac:dyDescent="0.25">
      <c r="A69" s="2" t="s">
        <v>80</v>
      </c>
      <c r="B69" s="47"/>
      <c r="C69" s="136">
        <v>293.53030000000001</v>
      </c>
      <c r="D69" s="136">
        <v>297.88625000000002</v>
      </c>
      <c r="E69" s="40">
        <f t="shared" si="2"/>
        <v>4.3559500000000071</v>
      </c>
      <c r="F69" s="137">
        <f t="shared" si="3"/>
        <v>1.0148398649134349</v>
      </c>
      <c r="G69" s="47"/>
      <c r="H69" s="138">
        <v>-267.22174000000001</v>
      </c>
    </row>
    <row r="70" spans="1:8" s="16" customFormat="1" x14ac:dyDescent="0.25">
      <c r="A70" s="2" t="s">
        <v>81</v>
      </c>
      <c r="B70" s="47"/>
      <c r="C70" s="136">
        <v>50.541140000000006</v>
      </c>
      <c r="D70" s="136">
        <v>54.234250000000003</v>
      </c>
      <c r="E70" s="40">
        <f t="shared" si="2"/>
        <v>3.6931099999999972</v>
      </c>
      <c r="F70" s="137">
        <f t="shared" si="3"/>
        <v>1.0730713632498199</v>
      </c>
      <c r="G70" s="47"/>
      <c r="H70" s="138">
        <v>1.35728</v>
      </c>
    </row>
    <row r="71" spans="1:8" s="16" customFormat="1" x14ac:dyDescent="0.25">
      <c r="A71" s="2" t="s">
        <v>17</v>
      </c>
      <c r="B71" s="47"/>
      <c r="C71" s="136">
        <v>875.96893999999998</v>
      </c>
      <c r="D71" s="136">
        <v>928.98951999999997</v>
      </c>
      <c r="E71" s="40">
        <f t="shared" si="2"/>
        <v>53.020579999999995</v>
      </c>
      <c r="F71" s="137">
        <f t="shared" si="3"/>
        <v>1.0605279223713115</v>
      </c>
      <c r="G71" s="47"/>
      <c r="H71" s="138">
        <v>68.247740000000007</v>
      </c>
    </row>
    <row r="72" spans="1:8" s="16" customFormat="1" x14ac:dyDescent="0.25">
      <c r="A72" s="2" t="s">
        <v>82</v>
      </c>
      <c r="B72" s="47"/>
      <c r="C72" s="136">
        <v>842.97828999999979</v>
      </c>
      <c r="D72" s="136">
        <v>858.90640000000008</v>
      </c>
      <c r="E72" s="40">
        <f t="shared" si="2"/>
        <v>15.928110000000288</v>
      </c>
      <c r="F72" s="137">
        <f t="shared" si="3"/>
        <v>1.0188950417691069</v>
      </c>
      <c r="G72" s="47"/>
      <c r="H72" s="138">
        <v>163.48729</v>
      </c>
    </row>
    <row r="73" spans="1:8" s="16" customFormat="1" x14ac:dyDescent="0.25">
      <c r="A73" s="2" t="s">
        <v>18</v>
      </c>
      <c r="B73" s="47"/>
      <c r="C73" s="136">
        <v>541.45884999999998</v>
      </c>
      <c r="D73" s="136">
        <v>538.57534999999996</v>
      </c>
      <c r="E73" s="40">
        <f t="shared" si="2"/>
        <v>-2.8835000000000264</v>
      </c>
      <c r="F73" s="137">
        <f t="shared" si="3"/>
        <v>0.99467457222280142</v>
      </c>
      <c r="G73" s="47"/>
      <c r="H73" s="138">
        <v>6.1146199999999995</v>
      </c>
    </row>
    <row r="74" spans="1:8" s="16" customFormat="1" x14ac:dyDescent="0.25">
      <c r="A74" s="2" t="s">
        <v>83</v>
      </c>
      <c r="B74" s="47"/>
      <c r="C74" s="136">
        <v>229.37009</v>
      </c>
      <c r="D74" s="136">
        <v>217.8297</v>
      </c>
      <c r="E74" s="40">
        <f t="shared" si="2"/>
        <v>-11.540390000000002</v>
      </c>
      <c r="F74" s="137">
        <f t="shared" si="3"/>
        <v>0.94968659601607164</v>
      </c>
      <c r="G74" s="47"/>
      <c r="H74" s="138">
        <v>-14.404219999999999</v>
      </c>
    </row>
    <row r="75" spans="1:8" s="16" customFormat="1" x14ac:dyDescent="0.25">
      <c r="A75" s="2" t="s">
        <v>19</v>
      </c>
      <c r="B75" s="47"/>
      <c r="C75" s="136">
        <v>415.19451999999995</v>
      </c>
      <c r="D75" s="136">
        <v>427.59434999999996</v>
      </c>
      <c r="E75" s="40">
        <f t="shared" si="2"/>
        <v>12.399830000000009</v>
      </c>
      <c r="F75" s="137">
        <f t="shared" si="3"/>
        <v>1.0298651099730314</v>
      </c>
      <c r="G75" s="47"/>
      <c r="H75" s="138">
        <v>99.582899999999995</v>
      </c>
    </row>
    <row r="76" spans="1:8" s="16" customFormat="1" x14ac:dyDescent="0.25">
      <c r="A76" s="2" t="s">
        <v>84</v>
      </c>
      <c r="B76" s="47"/>
      <c r="C76" s="136">
        <v>165.69056</v>
      </c>
      <c r="D76" s="136">
        <v>128.67834999999999</v>
      </c>
      <c r="E76" s="40">
        <f t="shared" si="2"/>
        <v>-37.01221000000001</v>
      </c>
      <c r="F76" s="137">
        <f t="shared" si="3"/>
        <v>0.7766184748243955</v>
      </c>
      <c r="G76" s="47"/>
      <c r="H76" s="138">
        <v>-81.889099999999999</v>
      </c>
    </row>
    <row r="77" spans="1:8" s="16" customFormat="1" x14ac:dyDescent="0.25">
      <c r="A77" s="2" t="s">
        <v>85</v>
      </c>
      <c r="B77" s="47"/>
      <c r="C77" s="136">
        <v>61.710080000000005</v>
      </c>
      <c r="D77" s="136">
        <v>61.271940000000001</v>
      </c>
      <c r="E77" s="40">
        <f t="shared" si="2"/>
        <v>-0.43814000000000419</v>
      </c>
      <c r="F77" s="137">
        <f t="shared" si="3"/>
        <v>0.99290002540913891</v>
      </c>
      <c r="G77" s="47"/>
      <c r="H77" s="138">
        <v>1.32203</v>
      </c>
    </row>
    <row r="78" spans="1:8" s="16" customFormat="1" x14ac:dyDescent="0.25">
      <c r="A78" s="2" t="s">
        <v>86</v>
      </c>
      <c r="B78" s="47"/>
      <c r="C78" s="136">
        <v>145.67970000000003</v>
      </c>
      <c r="D78" s="136">
        <v>143.47663</v>
      </c>
      <c r="E78" s="40">
        <f t="shared" si="2"/>
        <v>-2.2030700000000252</v>
      </c>
      <c r="F78" s="137">
        <f t="shared" si="3"/>
        <v>0.98487730274018948</v>
      </c>
      <c r="G78" s="47"/>
      <c r="H78" s="138">
        <v>-54.000910000000005</v>
      </c>
    </row>
    <row r="79" spans="1:8" s="16" customFormat="1" x14ac:dyDescent="0.25">
      <c r="A79" s="2" t="s">
        <v>20</v>
      </c>
      <c r="B79" s="47"/>
      <c r="C79" s="136">
        <v>325.38996000000003</v>
      </c>
      <c r="D79" s="136">
        <v>294.18779999999992</v>
      </c>
      <c r="E79" s="40">
        <f t="shared" si="2"/>
        <v>-31.202160000000106</v>
      </c>
      <c r="F79" s="137">
        <f t="shared" si="3"/>
        <v>0.90410841194977221</v>
      </c>
      <c r="G79" s="47"/>
      <c r="H79" s="138">
        <v>2.3413400000000002</v>
      </c>
    </row>
    <row r="80" spans="1:8" s="16" customFormat="1" x14ac:dyDescent="0.25">
      <c r="A80" s="2" t="s">
        <v>87</v>
      </c>
      <c r="B80" s="47"/>
      <c r="C80" s="136">
        <v>216.41989000000001</v>
      </c>
      <c r="D80" s="136">
        <v>215.01787000000002</v>
      </c>
      <c r="E80" s="40">
        <f t="shared" si="2"/>
        <v>-1.4020199999999932</v>
      </c>
      <c r="F80" s="137">
        <f t="shared" si="3"/>
        <v>0.99352175994544678</v>
      </c>
      <c r="G80" s="47"/>
      <c r="H80" s="138">
        <v>23.107150000000001</v>
      </c>
    </row>
    <row r="81" spans="1:8" s="16" customFormat="1" x14ac:dyDescent="0.25">
      <c r="A81" s="2" t="s">
        <v>30</v>
      </c>
      <c r="B81" s="47"/>
      <c r="C81" s="136">
        <v>206.98704000000004</v>
      </c>
      <c r="D81" s="136">
        <v>197.81516000000002</v>
      </c>
      <c r="E81" s="40">
        <f t="shared" si="2"/>
        <v>-9.1718800000000158</v>
      </c>
      <c r="F81" s="137">
        <f t="shared" si="3"/>
        <v>0.95568862668889798</v>
      </c>
      <c r="G81" s="47"/>
      <c r="H81" s="138">
        <v>-14.81813</v>
      </c>
    </row>
    <row r="82" spans="1:8" s="16" customFormat="1" x14ac:dyDescent="0.25">
      <c r="A82" s="2" t="s">
        <v>88</v>
      </c>
      <c r="B82" s="47"/>
      <c r="C82" s="136">
        <v>270.92991999999998</v>
      </c>
      <c r="D82" s="136">
        <v>250.77414999999999</v>
      </c>
      <c r="E82" s="40">
        <f t="shared" si="2"/>
        <v>-20.15576999999999</v>
      </c>
      <c r="F82" s="137">
        <f t="shared" si="3"/>
        <v>0.92560522662096534</v>
      </c>
      <c r="G82" s="47"/>
      <c r="H82" s="138">
        <v>-67.529939999999996</v>
      </c>
    </row>
    <row r="83" spans="1:8" s="16" customFormat="1" x14ac:dyDescent="0.25">
      <c r="A83" s="2" t="s">
        <v>89</v>
      </c>
      <c r="B83" s="47"/>
      <c r="C83" s="136">
        <v>785.37325999999996</v>
      </c>
      <c r="D83" s="136">
        <v>719.52245999999991</v>
      </c>
      <c r="E83" s="40">
        <f t="shared" si="2"/>
        <v>-65.850800000000049</v>
      </c>
      <c r="F83" s="137">
        <f t="shared" si="3"/>
        <v>0.91615349878349561</v>
      </c>
      <c r="G83" s="47"/>
      <c r="H83" s="138">
        <v>-164.55562</v>
      </c>
    </row>
    <row r="84" spans="1:8" s="16" customFormat="1" x14ac:dyDescent="0.25">
      <c r="A84" s="2" t="s">
        <v>90</v>
      </c>
      <c r="B84" s="47"/>
      <c r="C84" s="136">
        <v>31.778049999999997</v>
      </c>
      <c r="D84" s="136">
        <v>30.99025</v>
      </c>
      <c r="E84" s="40">
        <f t="shared" si="2"/>
        <v>-0.78779999999999717</v>
      </c>
      <c r="F84" s="137">
        <f t="shared" si="3"/>
        <v>0.97520930327694755</v>
      </c>
      <c r="G84" s="47"/>
      <c r="H84" s="138">
        <v>-12.721969999999999</v>
      </c>
    </row>
    <row r="85" spans="1:8" s="16" customFormat="1" x14ac:dyDescent="0.25">
      <c r="A85" s="2" t="s">
        <v>91</v>
      </c>
      <c r="B85" s="47"/>
      <c r="C85" s="136">
        <v>135.12594000000001</v>
      </c>
      <c r="D85" s="136">
        <v>95.367899999999992</v>
      </c>
      <c r="E85" s="40">
        <f t="shared" si="2"/>
        <v>-39.758040000000022</v>
      </c>
      <c r="F85" s="137">
        <f t="shared" si="3"/>
        <v>0.70577048344677551</v>
      </c>
      <c r="G85" s="47"/>
      <c r="H85" s="138">
        <v>-86.216279999999998</v>
      </c>
    </row>
    <row r="86" spans="1:8" s="16" customFormat="1" x14ac:dyDescent="0.25">
      <c r="A86" s="2" t="s">
        <v>92</v>
      </c>
      <c r="B86" s="47"/>
      <c r="C86" s="136">
        <v>265.59136999999998</v>
      </c>
      <c r="D86" s="136">
        <v>276.82717000000002</v>
      </c>
      <c r="E86" s="40">
        <f t="shared" si="2"/>
        <v>11.23580000000004</v>
      </c>
      <c r="F86" s="137">
        <f t="shared" si="3"/>
        <v>1.0423048384441107</v>
      </c>
      <c r="G86" s="47"/>
      <c r="H86" s="138">
        <v>-35.554010000000005</v>
      </c>
    </row>
    <row r="87" spans="1:8" s="16" customFormat="1" x14ac:dyDescent="0.25">
      <c r="A87" s="2" t="s">
        <v>93</v>
      </c>
      <c r="B87" s="47"/>
      <c r="C87" s="136">
        <v>244.35955000000001</v>
      </c>
      <c r="D87" s="136">
        <v>205.09922999999998</v>
      </c>
      <c r="E87" s="40">
        <f t="shared" si="2"/>
        <v>-39.260320000000036</v>
      </c>
      <c r="F87" s="137">
        <f t="shared" si="3"/>
        <v>0.83933380135951297</v>
      </c>
      <c r="G87" s="47"/>
      <c r="H87" s="138">
        <v>-69.494199999999992</v>
      </c>
    </row>
    <row r="88" spans="1:8" s="16" customFormat="1" x14ac:dyDescent="0.25">
      <c r="A88" s="2" t="s">
        <v>94</v>
      </c>
      <c r="B88" s="47"/>
      <c r="C88" s="136">
        <v>88.63</v>
      </c>
      <c r="D88" s="136">
        <v>77.6965</v>
      </c>
      <c r="E88" s="40">
        <f t="shared" si="2"/>
        <v>-10.933499999999995</v>
      </c>
      <c r="F88" s="137">
        <f t="shared" si="3"/>
        <v>0.87663883560871037</v>
      </c>
      <c r="G88" s="47"/>
      <c r="H88" s="138">
        <v>-3.1137199999999998</v>
      </c>
    </row>
    <row r="89" spans="1:8" s="16" customFormat="1" x14ac:dyDescent="0.25">
      <c r="A89" s="2" t="s">
        <v>95</v>
      </c>
      <c r="B89" s="47"/>
      <c r="C89" s="136">
        <v>228.36456000000001</v>
      </c>
      <c r="D89" s="136">
        <v>234.74982</v>
      </c>
      <c r="E89" s="40">
        <f t="shared" si="2"/>
        <v>6.3852599999999882</v>
      </c>
      <c r="F89" s="137">
        <f t="shared" si="3"/>
        <v>1.0279608184387279</v>
      </c>
      <c r="G89" s="47"/>
      <c r="H89" s="138">
        <v>-108.94896</v>
      </c>
    </row>
    <row r="90" spans="1:8" s="16" customFormat="1" x14ac:dyDescent="0.25">
      <c r="A90" s="2" t="s">
        <v>96</v>
      </c>
      <c r="B90" s="47"/>
      <c r="C90" s="136">
        <v>225.13819000000001</v>
      </c>
      <c r="D90" s="136">
        <v>200.68835999999999</v>
      </c>
      <c r="E90" s="40">
        <f t="shared" si="2"/>
        <v>-24.44983000000002</v>
      </c>
      <c r="F90" s="137">
        <f t="shared" si="3"/>
        <v>0.89140078811151491</v>
      </c>
      <c r="G90" s="47"/>
      <c r="H90" s="138">
        <v>-35.772460000000002</v>
      </c>
    </row>
    <row r="91" spans="1:8" s="16" customFormat="1" x14ac:dyDescent="0.25">
      <c r="A91" s="2" t="s">
        <v>97</v>
      </c>
      <c r="B91" s="47"/>
      <c r="C91" s="136">
        <v>364.50368999999995</v>
      </c>
      <c r="D91" s="136">
        <v>427.48354999999998</v>
      </c>
      <c r="E91" s="40">
        <f t="shared" si="2"/>
        <v>62.979860000000031</v>
      </c>
      <c r="F91" s="137">
        <f t="shared" si="3"/>
        <v>1.1727825032443431</v>
      </c>
      <c r="G91" s="47"/>
      <c r="H91" s="138">
        <v>41.269440000000003</v>
      </c>
    </row>
    <row r="92" spans="1:8" s="16" customFormat="1" x14ac:dyDescent="0.25">
      <c r="A92" s="2" t="s">
        <v>98</v>
      </c>
      <c r="B92" s="47"/>
      <c r="C92" s="136">
        <v>578.83582999999999</v>
      </c>
      <c r="D92" s="136">
        <v>597.97169999999994</v>
      </c>
      <c r="E92" s="40">
        <f t="shared" si="2"/>
        <v>19.135869999999954</v>
      </c>
      <c r="F92" s="137">
        <f t="shared" si="3"/>
        <v>1.0330592354657795</v>
      </c>
      <c r="G92" s="47"/>
      <c r="H92" s="138">
        <v>-327.24736999999999</v>
      </c>
    </row>
    <row r="93" spans="1:8" s="16" customFormat="1" x14ac:dyDescent="0.25">
      <c r="A93" s="2" t="s">
        <v>99</v>
      </c>
      <c r="B93" s="47"/>
      <c r="C93" s="136">
        <v>267.50130000000001</v>
      </c>
      <c r="D93" s="136">
        <v>248.95994999999999</v>
      </c>
      <c r="E93" s="40">
        <f t="shared" si="2"/>
        <v>-18.541350000000023</v>
      </c>
      <c r="F93" s="137">
        <f t="shared" si="3"/>
        <v>0.93068687890488744</v>
      </c>
      <c r="G93" s="47"/>
      <c r="H93" s="138">
        <v>-54.219709999999999</v>
      </c>
    </row>
    <row r="94" spans="1:8" s="16" customFormat="1" x14ac:dyDescent="0.25">
      <c r="A94" s="2" t="s">
        <v>590</v>
      </c>
      <c r="B94" s="47"/>
      <c r="C94" s="136">
        <v>253.78036</v>
      </c>
      <c r="D94" s="136">
        <v>495.8861</v>
      </c>
      <c r="E94" s="40">
        <f t="shared" si="2"/>
        <v>242.10574</v>
      </c>
      <c r="F94" s="137">
        <f t="shared" si="3"/>
        <v>1.9539971493459936</v>
      </c>
      <c r="G94" s="47"/>
      <c r="H94" s="138">
        <v>-351.80878000000001</v>
      </c>
    </row>
    <row r="95" spans="1:8" s="16" customFormat="1" x14ac:dyDescent="0.25">
      <c r="A95" s="4" t="s">
        <v>22</v>
      </c>
      <c r="B95" s="47"/>
      <c r="C95" s="136">
        <v>314.51049999999998</v>
      </c>
      <c r="D95" s="136">
        <v>315.66875999999996</v>
      </c>
      <c r="E95" s="40">
        <f t="shared" si="2"/>
        <v>1.1582599999999843</v>
      </c>
      <c r="F95" s="137">
        <f t="shared" si="3"/>
        <v>1.0036827387320932</v>
      </c>
      <c r="G95" s="47"/>
      <c r="H95" s="138">
        <v>-54.280670000000001</v>
      </c>
    </row>
    <row r="96" spans="1:8" s="16" customFormat="1" x14ac:dyDescent="0.25">
      <c r="A96" s="2" t="s">
        <v>100</v>
      </c>
      <c r="B96" s="47"/>
      <c r="C96" s="136">
        <v>304.43915999999996</v>
      </c>
      <c r="D96" s="136">
        <v>301.16237000000001</v>
      </c>
      <c r="E96" s="40">
        <f t="shared" si="2"/>
        <v>-3.2767899999999486</v>
      </c>
      <c r="F96" s="137">
        <f t="shared" si="3"/>
        <v>0.98923663434099629</v>
      </c>
      <c r="G96" s="47"/>
      <c r="H96" s="138">
        <v>-135.57132999999999</v>
      </c>
    </row>
    <row r="97" spans="1:8" s="16" customFormat="1" x14ac:dyDescent="0.25">
      <c r="A97" s="2" t="s">
        <v>101</v>
      </c>
      <c r="B97" s="47"/>
      <c r="C97" s="136">
        <v>386.32885999999996</v>
      </c>
      <c r="D97" s="136">
        <v>282.42168000000004</v>
      </c>
      <c r="E97" s="40">
        <f t="shared" si="2"/>
        <v>-103.90717999999993</v>
      </c>
      <c r="F97" s="137">
        <f t="shared" si="3"/>
        <v>0.7310395604408122</v>
      </c>
      <c r="G97" s="47"/>
      <c r="H97" s="138">
        <v>-262.70051000000001</v>
      </c>
    </row>
    <row r="98" spans="1:8" s="16" customFormat="1" x14ac:dyDescent="0.25">
      <c r="A98" s="2" t="s">
        <v>23</v>
      </c>
      <c r="B98" s="47"/>
      <c r="C98" s="136">
        <v>707.84971999999993</v>
      </c>
      <c r="D98" s="136">
        <v>650.93344000000002</v>
      </c>
      <c r="E98" s="40">
        <f t="shared" si="2"/>
        <v>-56.916279999999915</v>
      </c>
      <c r="F98" s="137">
        <f t="shared" si="3"/>
        <v>0.91959270676832372</v>
      </c>
      <c r="G98" s="47"/>
      <c r="H98" s="138">
        <v>18.706949999999999</v>
      </c>
    </row>
    <row r="99" spans="1:8" s="16" customFormat="1" x14ac:dyDescent="0.25">
      <c r="A99" s="2" t="s">
        <v>102</v>
      </c>
      <c r="C99" s="136">
        <v>907.21659999999997</v>
      </c>
      <c r="D99" s="136">
        <v>891.37664999999981</v>
      </c>
      <c r="E99" s="40">
        <f t="shared" si="2"/>
        <v>-15.839950000000158</v>
      </c>
      <c r="F99" s="137">
        <f t="shared" si="3"/>
        <v>0.98254005713740233</v>
      </c>
      <c r="H99" s="138">
        <v>-215.63145</v>
      </c>
    </row>
    <row r="100" spans="1:8" s="16" customFormat="1" x14ac:dyDescent="0.25">
      <c r="A100" s="2" t="s">
        <v>24</v>
      </c>
      <c r="C100" s="136">
        <v>363.12395000000009</v>
      </c>
      <c r="D100" s="136">
        <v>373.20531</v>
      </c>
      <c r="E100" s="40">
        <f t="shared" si="2"/>
        <v>10.081359999999904</v>
      </c>
      <c r="F100" s="137">
        <f t="shared" si="3"/>
        <v>1.0277628616895138</v>
      </c>
      <c r="H100" s="138">
        <v>14.465339999999999</v>
      </c>
    </row>
    <row r="101" spans="1:8" s="16" customFormat="1" x14ac:dyDescent="0.25">
      <c r="A101" s="3" t="s">
        <v>103</v>
      </c>
      <c r="C101" s="136">
        <v>499.09487000000013</v>
      </c>
      <c r="D101" s="136">
        <v>480.06351999999998</v>
      </c>
      <c r="E101" s="40">
        <f t="shared" si="2"/>
        <v>-19.031350000000145</v>
      </c>
      <c r="F101" s="137">
        <f t="shared" si="3"/>
        <v>0.96186827165745037</v>
      </c>
      <c r="H101" s="138">
        <v>-452.48298999999997</v>
      </c>
    </row>
    <row r="102" spans="1:8" s="16" customFormat="1" x14ac:dyDescent="0.25">
      <c r="A102" s="143" t="s">
        <v>104</v>
      </c>
      <c r="C102" s="136">
        <v>593.58094999999992</v>
      </c>
      <c r="D102" s="136">
        <v>610.65948000000014</v>
      </c>
      <c r="E102" s="40">
        <f t="shared" si="2"/>
        <v>17.078530000000228</v>
      </c>
      <c r="F102" s="137">
        <f t="shared" si="3"/>
        <v>1.0287720318517639</v>
      </c>
      <c r="H102" s="138">
        <v>1.6440899999999998</v>
      </c>
    </row>
    <row r="103" spans="1:8" s="16" customFormat="1" x14ac:dyDescent="0.25">
      <c r="A103" s="2" t="s">
        <v>25</v>
      </c>
      <c r="C103" s="136">
        <v>416.50271000000004</v>
      </c>
      <c r="D103" s="136">
        <v>403.35921000000002</v>
      </c>
      <c r="E103" s="40">
        <f t="shared" si="2"/>
        <v>-13.143500000000017</v>
      </c>
      <c r="F103" s="137">
        <f t="shared" si="3"/>
        <v>0.96844318251854833</v>
      </c>
      <c r="H103" s="138">
        <v>-9.797600000000001</v>
      </c>
    </row>
    <row r="104" spans="1:8" s="16" customFormat="1" x14ac:dyDescent="0.25">
      <c r="A104" s="2" t="s">
        <v>105</v>
      </c>
      <c r="C104" s="136">
        <v>473.41926999999993</v>
      </c>
      <c r="D104" s="136">
        <v>481.95204999999999</v>
      </c>
      <c r="E104" s="40">
        <f t="shared" si="2"/>
        <v>8.5327800000000593</v>
      </c>
      <c r="F104" s="137">
        <f t="shared" si="3"/>
        <v>1.0180237276780053</v>
      </c>
      <c r="H104" s="138">
        <v>10.956440000000001</v>
      </c>
    </row>
    <row r="105" spans="1:8" s="16" customFormat="1" x14ac:dyDescent="0.25">
      <c r="A105" s="2" t="s">
        <v>106</v>
      </c>
      <c r="C105" s="136">
        <v>102.27202</v>
      </c>
      <c r="D105" s="136">
        <v>101.00098</v>
      </c>
      <c r="E105" s="40">
        <f t="shared" si="2"/>
        <v>-1.2710399999999993</v>
      </c>
      <c r="F105" s="137">
        <f t="shared" si="3"/>
        <v>0.98757196738658337</v>
      </c>
      <c r="H105" s="138">
        <v>-8.2379099999999994</v>
      </c>
    </row>
    <row r="106" spans="1:8" s="16" customFormat="1" x14ac:dyDescent="0.25">
      <c r="A106" s="2" t="s">
        <v>107</v>
      </c>
      <c r="C106" s="136">
        <v>260.83878999999996</v>
      </c>
      <c r="D106" s="136">
        <v>279.73355000000004</v>
      </c>
      <c r="E106" s="40">
        <f t="shared" si="2"/>
        <v>18.894760000000076</v>
      </c>
      <c r="F106" s="137">
        <f t="shared" si="3"/>
        <v>1.072438459019075</v>
      </c>
      <c r="H106" s="138">
        <v>-80.733729999999994</v>
      </c>
    </row>
    <row r="107" spans="1:8" s="16" customFormat="1" x14ac:dyDescent="0.25">
      <c r="A107" s="2" t="s">
        <v>108</v>
      </c>
      <c r="C107" s="136">
        <v>248.36022</v>
      </c>
      <c r="D107" s="136">
        <v>252.36449999999999</v>
      </c>
      <c r="E107" s="40">
        <f t="shared" si="2"/>
        <v>4.0042799999999943</v>
      </c>
      <c r="F107" s="137">
        <f t="shared" si="3"/>
        <v>1.0161228718512167</v>
      </c>
      <c r="H107" s="138">
        <v>106.23583000000001</v>
      </c>
    </row>
    <row r="108" spans="1:8" s="16" customFormat="1" x14ac:dyDescent="0.25">
      <c r="A108" s="2" t="s">
        <v>109</v>
      </c>
      <c r="C108" s="136">
        <v>133.99666999999999</v>
      </c>
      <c r="D108" s="136">
        <v>139.49959000000001</v>
      </c>
      <c r="E108" s="40">
        <f t="shared" si="2"/>
        <v>5.5029200000000174</v>
      </c>
      <c r="F108" s="137">
        <f t="shared" si="3"/>
        <v>1.0410675877243816</v>
      </c>
      <c r="H108" s="138">
        <v>-0.15368000000000001</v>
      </c>
    </row>
    <row r="109" spans="1:8" s="114" customFormat="1" ht="22.5" customHeight="1" x14ac:dyDescent="0.25">
      <c r="A109" s="17" t="s">
        <v>224</v>
      </c>
      <c r="B109" s="43"/>
      <c r="C109" s="43">
        <f>SUM(C3:C108)</f>
        <v>57173.287089999983</v>
      </c>
      <c r="D109" s="43">
        <f t="shared" ref="D109:H109" si="4">SUM(D3:D108)</f>
        <v>56973.285719999993</v>
      </c>
      <c r="E109" s="43">
        <f t="shared" si="4"/>
        <v>-200.00136999999916</v>
      </c>
      <c r="F109" s="174">
        <f>D109/C109</f>
        <v>0.99650183888001476</v>
      </c>
      <c r="G109" s="43"/>
      <c r="H109" s="43">
        <f t="shared" si="4"/>
        <v>-5340.27207</v>
      </c>
    </row>
    <row r="110" spans="1:8" s="23" customFormat="1" ht="27.75" customHeight="1" x14ac:dyDescent="0.15">
      <c r="A110" s="23" t="s">
        <v>225</v>
      </c>
      <c r="B110" s="124"/>
      <c r="C110" s="44"/>
      <c r="D110" s="44"/>
      <c r="E110" s="44"/>
      <c r="F110" s="44"/>
      <c r="G110" s="124"/>
      <c r="H110" s="44"/>
    </row>
  </sheetData>
  <printOptions horizontalCentered="1"/>
  <pageMargins left="0.70866141732283472" right="0.70866141732283472" top="0.55118110236220474" bottom="0.35433070866141736" header="0.31496062992125984" footer="3.937007874015748E-2"/>
  <pageSetup paperSize="9" firstPageNumber="75" orientation="portrait" useFirstPageNumber="1" horizontalDpi="1200" verticalDpi="1200" r:id="rId1"/>
  <headerFooter>
    <oddFooter>&amp;C&amp;"Arial Narrow,Corsivo"&amp;7- pagina &amp;P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18</vt:i4>
      </vt:variant>
      <vt:variant>
        <vt:lpstr>Intervalli denominati</vt:lpstr>
      </vt:variant>
      <vt:variant>
        <vt:i4>32</vt:i4>
      </vt:variant>
    </vt:vector>
  </HeadingPairs>
  <TitlesOfParts>
    <vt:vector size="50" baseType="lpstr">
      <vt:lpstr>indice</vt:lpstr>
      <vt:lpstr>tab8</vt:lpstr>
      <vt:lpstr>tab9</vt:lpstr>
      <vt:lpstr>tab9a</vt:lpstr>
      <vt:lpstr>tab9b</vt:lpstr>
      <vt:lpstr>tab9c</vt:lpstr>
      <vt:lpstr>tab9d</vt:lpstr>
      <vt:lpstr>tab9e</vt:lpstr>
      <vt:lpstr>tab10</vt:lpstr>
      <vt:lpstr>tab10a</vt:lpstr>
      <vt:lpstr>tab10b</vt:lpstr>
      <vt:lpstr>tab10c</vt:lpstr>
      <vt:lpstr>tab11</vt:lpstr>
      <vt:lpstr>tab11a</vt:lpstr>
      <vt:lpstr>tab11b</vt:lpstr>
      <vt:lpstr>tab12</vt:lpstr>
      <vt:lpstr>tab13</vt:lpstr>
      <vt:lpstr>tab14</vt:lpstr>
      <vt:lpstr>'tab10'!Print_Titles</vt:lpstr>
      <vt:lpstr>tab10a!Print_Titles</vt:lpstr>
      <vt:lpstr>tab10b!Print_Titles</vt:lpstr>
      <vt:lpstr>tab10c!Print_Titles</vt:lpstr>
      <vt:lpstr>'tab11'!Print_Titles</vt:lpstr>
      <vt:lpstr>tab11a!Print_Titles</vt:lpstr>
      <vt:lpstr>tab11b!Print_Titles</vt:lpstr>
      <vt:lpstr>'tab12'!Print_Titles</vt:lpstr>
      <vt:lpstr>'tab8'!Print_Titles</vt:lpstr>
      <vt:lpstr>'tab9'!Print_Titles</vt:lpstr>
      <vt:lpstr>tab9a!Print_Titles</vt:lpstr>
      <vt:lpstr>tab9b!Print_Titles</vt:lpstr>
      <vt:lpstr>tab9c!Print_Titles</vt:lpstr>
      <vt:lpstr>tab9d!Print_Titles</vt:lpstr>
      <vt:lpstr>tab9e!Print_Titles</vt:lpstr>
      <vt:lpstr>'tab10'!Titoli_stampa</vt:lpstr>
      <vt:lpstr>tab10a!Titoli_stampa</vt:lpstr>
      <vt:lpstr>tab10b!Titoli_stampa</vt:lpstr>
      <vt:lpstr>tab10c!Titoli_stampa</vt:lpstr>
      <vt:lpstr>'tab11'!Titoli_stampa</vt:lpstr>
      <vt:lpstr>tab11a!Titoli_stampa</vt:lpstr>
      <vt:lpstr>tab11b!Titoli_stampa</vt:lpstr>
      <vt:lpstr>'tab12'!Titoli_stampa</vt:lpstr>
      <vt:lpstr>'tab13'!Titoli_stampa</vt:lpstr>
      <vt:lpstr>'tab14'!Titoli_stampa</vt:lpstr>
      <vt:lpstr>'tab8'!Titoli_stampa</vt:lpstr>
      <vt:lpstr>'tab9'!Titoli_stampa</vt:lpstr>
      <vt:lpstr>tab9a!Titoli_stampa</vt:lpstr>
      <vt:lpstr>tab9b!Titoli_stampa</vt:lpstr>
      <vt:lpstr>tab9c!Titoli_stampa</vt:lpstr>
      <vt:lpstr>tab9d!Titoli_stampa</vt:lpstr>
      <vt:lpstr>tab9e!Titoli_stampa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Baroni Daniela / isel029</dc:creator>
  <cp:lastModifiedBy>Baroni Daniela</cp:lastModifiedBy>
  <cp:lastPrinted>2025-11-18T16:02:48Z</cp:lastPrinted>
  <dcterms:created xsi:type="dcterms:W3CDTF">2024-11-07T07:31:23Z</dcterms:created>
  <dcterms:modified xsi:type="dcterms:W3CDTF">2025-12-09T08:11:05Z</dcterms:modified>
</cp:coreProperties>
</file>